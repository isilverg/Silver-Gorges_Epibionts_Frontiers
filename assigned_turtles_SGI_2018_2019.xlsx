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n\Desktop\Epibionts\SIA Assignments\"/>
    </mc:Choice>
  </mc:AlternateContent>
  <bookViews>
    <workbookView xWindow="0" yWindow="0" windowWidth="28800" windowHeight="11730" activeTab="2"/>
  </bookViews>
  <sheets>
    <sheet name="2018 Turtles" sheetId="1" r:id="rId1"/>
    <sheet name="2019 Turtles" sheetId="4" r:id="rId2"/>
    <sheet name="Summary and Comparison" sheetId="3" r:id="rId3"/>
  </sheets>
  <definedNames>
    <definedName name="_xlnm._FilterDatabase" localSheetId="0" hidden="1">'2018 Turtles'!$A$1:$G$28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2" i="4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U10" i="3" l="1"/>
  <c r="T10" i="3"/>
  <c r="S10" i="3"/>
  <c r="R10" i="3"/>
  <c r="Q10" i="3"/>
  <c r="P10" i="3"/>
  <c r="Q16" i="3"/>
  <c r="R16" i="3"/>
  <c r="S16" i="3"/>
  <c r="T16" i="3"/>
  <c r="U16" i="3"/>
  <c r="P16" i="3"/>
  <c r="R15" i="3"/>
  <c r="S15" i="3"/>
  <c r="T15" i="3"/>
  <c r="U15" i="3"/>
  <c r="Q15" i="3"/>
  <c r="Q13" i="3"/>
  <c r="R13" i="3"/>
  <c r="S13" i="3"/>
  <c r="T13" i="3"/>
  <c r="U13" i="3"/>
  <c r="P13" i="3"/>
  <c r="H16" i="3" l="1"/>
  <c r="H13" i="3"/>
  <c r="H10" i="3"/>
  <c r="J16" i="3" l="1"/>
  <c r="K16" i="3"/>
  <c r="L16" i="3"/>
  <c r="M16" i="3"/>
  <c r="I16" i="3"/>
  <c r="J15" i="3"/>
  <c r="K15" i="3"/>
  <c r="L15" i="3"/>
  <c r="M15" i="3"/>
  <c r="I15" i="3"/>
  <c r="J13" i="3"/>
  <c r="K13" i="3"/>
  <c r="L13" i="3"/>
  <c r="M13" i="3"/>
  <c r="I13" i="3"/>
  <c r="I10" i="3"/>
  <c r="J10" i="3"/>
  <c r="K10" i="3"/>
  <c r="L10" i="3"/>
  <c r="M10" i="3"/>
  <c r="K7" i="3"/>
  <c r="L7" i="3"/>
  <c r="M7" i="3"/>
  <c r="J7" i="3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" i="1"/>
  <c r="L6" i="3" l="1"/>
  <c r="M6" i="3"/>
  <c r="K6" i="3"/>
</calcChain>
</file>

<file path=xl/sharedStrings.xml><?xml version="1.0" encoding="utf-8"?>
<sst xmlns="http://schemas.openxmlformats.org/spreadsheetml/2006/main" count="393" uniqueCount="167">
  <si>
    <t>Turtle</t>
  </si>
  <si>
    <t>nitrogen_epi</t>
  </si>
  <si>
    <t>nitrogen</t>
  </si>
  <si>
    <t>carbon_epi</t>
  </si>
  <si>
    <t>carbon</t>
  </si>
  <si>
    <t>346stg</t>
  </si>
  <si>
    <t>348stg</t>
  </si>
  <si>
    <t>355stg</t>
  </si>
  <si>
    <t>357stg</t>
  </si>
  <si>
    <t>358stg</t>
  </si>
  <si>
    <t>361stg</t>
  </si>
  <si>
    <t>369stg</t>
  </si>
  <si>
    <t>371stg</t>
  </si>
  <si>
    <t>372stg</t>
  </si>
  <si>
    <t>374stg</t>
  </si>
  <si>
    <t>377stg</t>
  </si>
  <si>
    <t>380stg</t>
  </si>
  <si>
    <t>383stg</t>
  </si>
  <si>
    <t>395stg</t>
  </si>
  <si>
    <t>405stg</t>
  </si>
  <si>
    <t>406stg</t>
  </si>
  <si>
    <t>410stg</t>
  </si>
  <si>
    <t>411stg</t>
  </si>
  <si>
    <t>413stg</t>
  </si>
  <si>
    <t>416stg</t>
  </si>
  <si>
    <t>418stg</t>
  </si>
  <si>
    <t>420stg</t>
  </si>
  <si>
    <t>421stg</t>
  </si>
  <si>
    <t>429stg</t>
  </si>
  <si>
    <t>434stg</t>
  </si>
  <si>
    <t>441stg</t>
  </si>
  <si>
    <t>442stg</t>
  </si>
  <si>
    <t>EGOM</t>
  </si>
  <si>
    <t>NGOM</t>
  </si>
  <si>
    <t>SNWA</t>
  </si>
  <si>
    <t>SAB</t>
  </si>
  <si>
    <t>SAT</t>
  </si>
  <si>
    <t>NGMRU</t>
  </si>
  <si>
    <t>St. Joseph Peninsula / Western Panhandle</t>
  </si>
  <si>
    <t>FL</t>
  </si>
  <si>
    <t>SJP / WPAN</t>
  </si>
  <si>
    <t>Nesting</t>
  </si>
  <si>
    <t>1998-2001</t>
  </si>
  <si>
    <t>Foley et al. (2013)</t>
  </si>
  <si>
    <t>2010-2013</t>
  </si>
  <si>
    <t>Hart et al. (2014)</t>
  </si>
  <si>
    <t>Hart et al. (2012); Lamont et al. (2015)</t>
  </si>
  <si>
    <t>Gulf Shores</t>
  </si>
  <si>
    <t>AL</t>
  </si>
  <si>
    <t>GHSO</t>
  </si>
  <si>
    <t>Lamont et al. (2015)</t>
  </si>
  <si>
    <t>METHOD</t>
  </si>
  <si>
    <t>RECOVERY UNIT</t>
  </si>
  <si>
    <t>SITE</t>
  </si>
  <si>
    <t>STATE</t>
  </si>
  <si>
    <t>SITE CODE      (Fig. 4,5)</t>
  </si>
  <si>
    <t>LIFE STAGE</t>
  </si>
  <si>
    <t>YEAR RANGE</t>
  </si>
  <si>
    <t>Number of turtles assigned/tracked to different foraging areas</t>
  </si>
  <si>
    <t>Primary or consensus reference/s</t>
  </si>
  <si>
    <t>Other reference/s</t>
  </si>
  <si>
    <t>MAB</t>
  </si>
  <si>
    <t>EGoM</t>
  </si>
  <si>
    <t>NGoM</t>
  </si>
  <si>
    <t>SGoM</t>
  </si>
  <si>
    <t>Includes one turtle that migrated to the western Gulf of Mexico (area not shown in Fig 4 and 5)</t>
  </si>
  <si>
    <t>Hart et al. (2012)</t>
  </si>
  <si>
    <t>Hart KM, Lamont MM, Fujisaki I, Tucker AD, Carthy RR. Common coastal foraging areas for loggerheads in the Gulf of Mexico: opportunities for marine conservation. Biol Conserv. 2012;145: 185-194. doi: 10.1016/j.biocon.2011.10.030.</t>
  </si>
  <si>
    <t>Foley AM, Schroeder BA, Hardy R, MacPherson SL, Nicholas M, Coyne MS. Postnesting migratory behavior of loggerhead sea turtles Caretta caretta from three Florida rookeries. Endanger Species Res. 2013;21: 129-142. doi: 10.3354/esr00512.</t>
  </si>
  <si>
    <t>Hart KM, Lamont MM, Sartain AR, Fujisaki I, Stephens BS (2013) Movements and habitat-use of loggerhead sea turtles in the northern Gulf of Mexico during the reproductive period. PLoS One. 2013;8: e66921. doi: 10.1371/journal.pone.0066921.</t>
  </si>
  <si>
    <t>Lamont MM, Putman NF, Fujisaki I, Hart K. Spatial requirements of different life-stagesof the loggerhead turtle (Caretta caretta) from a distinct population segment in the Northern Gulf of Mexico. Herpetol Conserv Bio. 2015;10: 26-43.</t>
  </si>
  <si>
    <t>sum</t>
  </si>
  <si>
    <t>*** cell 5L</t>
  </si>
  <si>
    <t>%</t>
  </si>
  <si>
    <t># assigned turtles</t>
  </si>
  <si>
    <t>DFA Assignment</t>
  </si>
  <si>
    <t>SGOM</t>
  </si>
  <si>
    <t>Dis1_1</t>
  </si>
  <si>
    <t>Dis2_1</t>
  </si>
  <si>
    <t>P(EGOM)</t>
  </si>
  <si>
    <t>P(NGOM)</t>
  </si>
  <si>
    <t>P(SAB)</t>
  </si>
  <si>
    <t>P(SGOM)</t>
  </si>
  <si>
    <t>P(SNWA)</t>
  </si>
  <si>
    <t>Agreement</t>
  </si>
  <si>
    <t># assigned</t>
  </si>
  <si>
    <t>Iso_2018</t>
  </si>
  <si>
    <t>Iso_2019</t>
  </si>
  <si>
    <t>Sum</t>
  </si>
  <si>
    <t>DFA_2018</t>
  </si>
  <si>
    <t>DFA_2019</t>
  </si>
  <si>
    <t>2019 includes one turtle (501STG2019) that assigned to both NGOM and SGOM with biological replicates</t>
  </si>
  <si>
    <t>MaxP</t>
  </si>
  <si>
    <t>Power</t>
  </si>
  <si>
    <t>&gt;.6?</t>
  </si>
  <si>
    <t>ISO Assignment</t>
  </si>
  <si>
    <t>444STG2019</t>
  </si>
  <si>
    <t>445STG2019</t>
  </si>
  <si>
    <t>446STG2019</t>
  </si>
  <si>
    <t>448STG2019</t>
  </si>
  <si>
    <t>449STG2019</t>
  </si>
  <si>
    <t>452STG2019</t>
  </si>
  <si>
    <t>458STG2019</t>
  </si>
  <si>
    <t>459STG2019</t>
  </si>
  <si>
    <t>461STG2019</t>
  </si>
  <si>
    <t>466STG2019</t>
  </si>
  <si>
    <t>467STG2019</t>
  </si>
  <si>
    <t>469STG2019</t>
  </si>
  <si>
    <t>471STG2019</t>
  </si>
  <si>
    <t>472STG2019</t>
  </si>
  <si>
    <t>478STG2019</t>
  </si>
  <si>
    <t>479STG2019</t>
  </si>
  <si>
    <t>481STG2019</t>
  </si>
  <si>
    <t>486STG2019</t>
  </si>
  <si>
    <t>489STG2019</t>
  </si>
  <si>
    <t>490STG2019</t>
  </si>
  <si>
    <t>493STG2019</t>
  </si>
  <si>
    <t>495STG2019</t>
  </si>
  <si>
    <t>501STG2019</t>
  </si>
  <si>
    <t>501BSTG2019</t>
  </si>
  <si>
    <t>502STG2019</t>
  </si>
  <si>
    <t>504STG2019</t>
  </si>
  <si>
    <t>510STG2019</t>
  </si>
  <si>
    <t>512STG2019</t>
  </si>
  <si>
    <t>513STG2019</t>
  </si>
  <si>
    <t>517STG2019</t>
  </si>
  <si>
    <t>521STG2019</t>
  </si>
  <si>
    <t>523STG2019</t>
  </si>
  <si>
    <t>525STG2019</t>
  </si>
  <si>
    <t>526STG2019</t>
  </si>
  <si>
    <t>528STG2019</t>
  </si>
  <si>
    <t>529STG2019</t>
  </si>
  <si>
    <t>530STG2019</t>
  </si>
  <si>
    <t>532STG2019</t>
  </si>
  <si>
    <t>534STG2019</t>
  </si>
  <si>
    <t>535STG2019</t>
  </si>
  <si>
    <t>540STG2019</t>
  </si>
  <si>
    <t>542STG2019</t>
  </si>
  <si>
    <t>543STG2019</t>
  </si>
  <si>
    <t>544STG2019</t>
  </si>
  <si>
    <t>547STG2019</t>
  </si>
  <si>
    <t>549STG2019</t>
  </si>
  <si>
    <t>552STG2019</t>
  </si>
  <si>
    <t>553STG2019</t>
  </si>
  <si>
    <t>554STG2019</t>
  </si>
  <si>
    <t>563STG2019</t>
  </si>
  <si>
    <t>564STG2019</t>
  </si>
  <si>
    <t>565STG2019</t>
  </si>
  <si>
    <t>569STG2019</t>
  </si>
  <si>
    <t>575STG2019</t>
  </si>
  <si>
    <t>576STG2019</t>
  </si>
  <si>
    <t>581STG2019</t>
  </si>
  <si>
    <t>583STG2019</t>
  </si>
  <si>
    <t>584STG2019</t>
  </si>
  <si>
    <t>588STG2019</t>
  </si>
  <si>
    <t>590STG2019</t>
  </si>
  <si>
    <t>592STG2019</t>
  </si>
  <si>
    <t>609STG2019</t>
  </si>
  <si>
    <t>613STG2019</t>
  </si>
  <si>
    <t>619STG2019</t>
  </si>
  <si>
    <t>626STG2019</t>
  </si>
  <si>
    <t>Dis1_2</t>
  </si>
  <si>
    <t>Dis2_2</t>
  </si>
  <si>
    <t>Dis3_2</t>
  </si>
  <si>
    <t>Dis4_2</t>
  </si>
  <si>
    <t>Dis5_2</t>
  </si>
  <si>
    <t>Agreement?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</si>
</sst>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wrapText="1"/>
    </xf>
    <xf numFmtId="164" fontId="16" fillId="0" borderId="0" xfId="0" applyNumberFormat="1" applyFont="1"/>
    <xf numFmtId="0" fontId="0" fillId="33" borderId="0" xfId="0" applyFill="1"/>
    <xf numFmtId="1" fontId="0" fillId="33" borderId="0" xfId="0" applyNumberFormat="1" applyFont="1" applyFill="1"/>
    <xf numFmtId="2" fontId="16" fillId="33" borderId="0" xfId="0" applyNumberFormat="1" applyFont="1" applyFill="1"/>
    <xf numFmtId="0" fontId="0" fillId="0" borderId="10" xfId="0" applyBorder="1"/>
    <xf numFmtId="2" fontId="16" fillId="0" borderId="10" xfId="0" applyNumberFormat="1" applyFont="1" applyBorder="1"/>
    <xf numFmtId="0" fontId="0" fillId="34" borderId="0" xfId="0" applyFill="1"/>
    <xf numFmtId="2" fontId="0" fillId="0" borderId="0" xfId="0" applyNumberFormat="1"/>
    <xf numFmtId="165" fontId="0" fillId="0" borderId="0" xfId="0" applyNumberFormat="1"/>
    <xf numFmtId="2" fontId="16" fillId="35" borderId="0" xfId="0" applyNumberFormat="1" applyFont="1" applyFill="1"/>
    <xf numFmtId="0" fontId="0" fillId="35" borderId="0" xfId="0" applyFill="1"/>
    <xf numFmtId="0" fontId="0" fillId="0" borderId="0" xfId="0" applyFill="1"/>
    <xf numFmtId="2" fontId="16" fillId="0" borderId="0" xfId="0" applyNumberFormat="1" applyFont="1" applyFill="1"/>
    <xf numFmtId="1" fontId="0" fillId="0" borderId="0" xfId="0" applyNumberFormat="1"/>
    <xf numFmtId="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Q1" sqref="Q1:S1"/>
    </sheetView>
  </sheetViews>
  <sheetFormatPr defaultRowHeight="15" x14ac:dyDescent="0.25"/>
  <cols>
    <col min="2" max="2" width="12.42578125" bestFit="1" customWidth="1"/>
    <col min="7" max="7" width="15.42578125" bestFit="1" customWidth="1"/>
    <col min="9" max="9" width="15.5703125" bestFit="1" customWidth="1"/>
    <col min="10" max="11" width="8.28515625" bestFit="1" customWidth="1"/>
    <col min="19" max="19" width="13.7109375" bestFit="1" customWidth="1"/>
    <col min="21" max="21" width="1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/>
      <c r="G1" t="s">
        <v>95</v>
      </c>
      <c r="H1" s="8"/>
      <c r="I1" t="s">
        <v>75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92</v>
      </c>
      <c r="R1" t="s">
        <v>94</v>
      </c>
      <c r="S1" t="s">
        <v>93</v>
      </c>
      <c r="T1" s="8"/>
      <c r="U1" t="s">
        <v>84</v>
      </c>
    </row>
    <row r="2" spans="1:21" x14ac:dyDescent="0.25">
      <c r="A2" t="s">
        <v>5</v>
      </c>
      <c r="B2">
        <v>11.39</v>
      </c>
      <c r="C2">
        <v>10.32183908</v>
      </c>
      <c r="D2">
        <v>-16.829999999999998</v>
      </c>
      <c r="E2">
        <v>-18.422222219999998</v>
      </c>
      <c r="F2" s="8"/>
      <c r="G2" t="s">
        <v>32</v>
      </c>
      <c r="H2" s="8"/>
      <c r="I2" s="9" t="s">
        <v>32</v>
      </c>
      <c r="J2" s="10">
        <v>-2.5538200124883339</v>
      </c>
      <c r="K2" s="10">
        <v>-0.12145480087342442</v>
      </c>
      <c r="L2" s="10">
        <v>0.44556741529750021</v>
      </c>
      <c r="M2" s="10">
        <v>0.37869528301174038</v>
      </c>
      <c r="N2" s="10">
        <v>2.1760179181899118E-2</v>
      </c>
      <c r="O2" s="10">
        <v>0.15397711582832549</v>
      </c>
      <c r="P2" s="10">
        <v>6.6805348500000002E-9</v>
      </c>
      <c r="Q2" s="10">
        <f>MAX(L2:P2)</f>
        <v>0.44556741529750021</v>
      </c>
      <c r="R2" s="10" t="str">
        <f>IF(Q2&gt;0.6, "YES", "NO")</f>
        <v>NO</v>
      </c>
      <c r="S2" s="10">
        <f>(Q2/(1-Q2)/(0.2/0.8))</f>
        <v>3.2145831799304148</v>
      </c>
      <c r="T2" s="8"/>
      <c r="U2" t="str">
        <f>IF(G2=I2, "YES", "NO")</f>
        <v>YES</v>
      </c>
    </row>
    <row r="3" spans="1:21" x14ac:dyDescent="0.25">
      <c r="A3" t="s">
        <v>6</v>
      </c>
      <c r="B3">
        <v>11.63</v>
      </c>
      <c r="C3">
        <v>10.597701150000001</v>
      </c>
      <c r="D3">
        <v>-13.97</v>
      </c>
      <c r="E3">
        <v>-15.244444440000001</v>
      </c>
      <c r="F3" s="8"/>
      <c r="G3" t="s">
        <v>76</v>
      </c>
      <c r="H3" s="8"/>
      <c r="I3" s="9" t="s">
        <v>76</v>
      </c>
      <c r="J3" s="10">
        <v>-0.84396269588554951</v>
      </c>
      <c r="K3" s="10">
        <v>1.2979644687967893</v>
      </c>
      <c r="L3" s="10">
        <v>0.1429911773536284</v>
      </c>
      <c r="M3" s="10">
        <v>0.1802945063596004</v>
      </c>
      <c r="N3" s="10">
        <v>0.13290418114559294</v>
      </c>
      <c r="O3" s="10">
        <v>0.54377122060994199</v>
      </c>
      <c r="P3" s="10">
        <v>3.8914531236240003E-5</v>
      </c>
      <c r="Q3" s="10">
        <f t="shared" ref="Q3:Q28" si="0">MAX(L3:P3)</f>
        <v>0.54377122060994199</v>
      </c>
      <c r="R3" s="10" t="str">
        <f t="shared" ref="R3:R28" si="1">IF(Q3&gt;0.6, "YES", "NO")</f>
        <v>NO</v>
      </c>
      <c r="S3" s="10">
        <f t="shared" ref="S3:S28" si="2">(Q3/(1-Q3)/(0.2/0.8))</f>
        <v>4.7675310736593275</v>
      </c>
      <c r="T3" s="8"/>
      <c r="U3" t="str">
        <f>IF(G3=I3, "YES", "NO")</f>
        <v>YES</v>
      </c>
    </row>
    <row r="4" spans="1:21" x14ac:dyDescent="0.25">
      <c r="A4" t="s">
        <v>7</v>
      </c>
      <c r="B4">
        <v>11.21</v>
      </c>
      <c r="C4">
        <v>10.11494253</v>
      </c>
      <c r="D4">
        <v>-15.71</v>
      </c>
      <c r="E4">
        <v>-17.17777778</v>
      </c>
      <c r="F4" s="8"/>
      <c r="G4" t="s">
        <v>32</v>
      </c>
      <c r="H4" s="8"/>
      <c r="I4" s="9" t="s">
        <v>32</v>
      </c>
      <c r="J4" s="10">
        <v>-1.7388011826374008</v>
      </c>
      <c r="K4" s="10">
        <v>0.27138788522595902</v>
      </c>
      <c r="L4" s="10">
        <v>0.40117891444048837</v>
      </c>
      <c r="M4" s="10">
        <v>0.25161674036903359</v>
      </c>
      <c r="N4" s="10">
        <v>4.1713411841598637E-2</v>
      </c>
      <c r="O4" s="10">
        <v>0.30549044419496829</v>
      </c>
      <c r="P4" s="10">
        <v>4.8915391117000005E-7</v>
      </c>
      <c r="Q4" s="10">
        <f t="shared" si="0"/>
        <v>0.40117891444048837</v>
      </c>
      <c r="R4" s="10" t="str">
        <f t="shared" si="1"/>
        <v>NO</v>
      </c>
      <c r="S4" s="10">
        <f t="shared" si="2"/>
        <v>2.6797915044400598</v>
      </c>
      <c r="T4" s="8"/>
      <c r="U4" t="str">
        <f>IF(G4=I4, "YES", "NO")</f>
        <v>YES</v>
      </c>
    </row>
    <row r="5" spans="1:21" x14ac:dyDescent="0.25">
      <c r="A5" t="s">
        <v>8</v>
      </c>
      <c r="B5">
        <v>10.51</v>
      </c>
      <c r="C5">
        <v>9.3103448279999999</v>
      </c>
      <c r="D5">
        <v>-13.22</v>
      </c>
      <c r="E5">
        <v>-14.41111111</v>
      </c>
      <c r="F5" s="8"/>
      <c r="G5" t="s">
        <v>76</v>
      </c>
      <c r="H5" s="8"/>
      <c r="I5" s="9" t="s">
        <v>76</v>
      </c>
      <c r="J5" s="10">
        <v>0.23229743145621207</v>
      </c>
      <c r="K5" s="10">
        <v>0.96637622051712579</v>
      </c>
      <c r="L5" s="10">
        <v>0.18726047453681186</v>
      </c>
      <c r="M5" s="10">
        <v>3.6191994423544149E-2</v>
      </c>
      <c r="N5" s="10">
        <v>6.7584978248942093E-2</v>
      </c>
      <c r="O5" s="10">
        <v>0.70153917679786537</v>
      </c>
      <c r="P5" s="10">
        <v>7.4233759928365199E-3</v>
      </c>
      <c r="Q5" s="10">
        <f t="shared" si="0"/>
        <v>0.70153917679786537</v>
      </c>
      <c r="R5" s="10" t="str">
        <f t="shared" si="1"/>
        <v>YES</v>
      </c>
      <c r="S5" s="10">
        <f t="shared" si="2"/>
        <v>9.4020939736233746</v>
      </c>
      <c r="T5" s="8"/>
      <c r="U5" t="str">
        <f>IF(G5=I5, "YES", "NO")</f>
        <v>YES</v>
      </c>
    </row>
    <row r="6" spans="1:21" x14ac:dyDescent="0.25">
      <c r="A6" t="s">
        <v>9</v>
      </c>
      <c r="B6">
        <v>15.45</v>
      </c>
      <c r="C6">
        <v>14.98850575</v>
      </c>
      <c r="D6">
        <v>-17.100000000000001</v>
      </c>
      <c r="E6">
        <v>-18.722222219999999</v>
      </c>
      <c r="F6" s="8"/>
      <c r="G6" t="s">
        <v>33</v>
      </c>
      <c r="H6" s="8"/>
      <c r="I6" s="9" t="s">
        <v>33</v>
      </c>
      <c r="J6" s="10">
        <v>-4.8822041173105379</v>
      </c>
      <c r="K6" s="10">
        <v>2.1736079493399547</v>
      </c>
      <c r="L6" s="10">
        <v>1.2905062577312999E-3</v>
      </c>
      <c r="M6" s="10">
        <v>0.97745572814365866</v>
      </c>
      <c r="N6" s="10">
        <v>1.7972154934401831E-2</v>
      </c>
      <c r="O6" s="10">
        <v>3.2816106642061999E-3</v>
      </c>
      <c r="P6" s="10">
        <v>1.87E-15</v>
      </c>
      <c r="Q6" s="10">
        <f t="shared" si="0"/>
        <v>0.97745572814365866</v>
      </c>
      <c r="R6" s="10" t="str">
        <f t="shared" si="1"/>
        <v>YES</v>
      </c>
      <c r="S6" s="10">
        <f t="shared" si="2"/>
        <v>173.428662388795</v>
      </c>
      <c r="T6" s="8"/>
      <c r="U6" t="str">
        <f>IF(G6=I6, "YES", "NO")</f>
        <v>YES</v>
      </c>
    </row>
    <row r="7" spans="1:21" x14ac:dyDescent="0.25">
      <c r="A7" t="s">
        <v>10</v>
      </c>
      <c r="B7">
        <v>6.18</v>
      </c>
      <c r="C7">
        <v>4.3333333329999997</v>
      </c>
      <c r="D7">
        <v>-10.25</v>
      </c>
      <c r="E7">
        <v>-11.11111111</v>
      </c>
      <c r="F7" s="8"/>
      <c r="G7" t="s">
        <v>34</v>
      </c>
      <c r="H7" s="8"/>
      <c r="I7" s="9" t="s">
        <v>34</v>
      </c>
      <c r="J7" s="10">
        <v>4.4384502309933076</v>
      </c>
      <c r="K7" s="10">
        <v>-0.28412225868444052</v>
      </c>
      <c r="L7" s="10">
        <v>8.4729490389999997E-8</v>
      </c>
      <c r="M7" s="10">
        <v>1.16194E-11</v>
      </c>
      <c r="N7" s="10">
        <v>8.4128741999999998E-10</v>
      </c>
      <c r="O7" s="10">
        <v>3.1678483388000002E-7</v>
      </c>
      <c r="P7" s="10">
        <v>0.99999959763276891</v>
      </c>
      <c r="Q7" s="10">
        <f t="shared" si="0"/>
        <v>0.99999959763276891</v>
      </c>
      <c r="R7" s="10" t="str">
        <f t="shared" si="1"/>
        <v>YES</v>
      </c>
      <c r="S7" s="10">
        <f t="shared" si="2"/>
        <v>9941163.3986740895</v>
      </c>
      <c r="T7" s="8"/>
      <c r="U7" t="str">
        <f>IF(G7=I7, "YES", "NO")</f>
        <v>YES</v>
      </c>
    </row>
    <row r="8" spans="1:21" x14ac:dyDescent="0.25">
      <c r="A8" t="s">
        <v>11</v>
      </c>
      <c r="B8">
        <v>11.55</v>
      </c>
      <c r="C8">
        <v>10.50574713</v>
      </c>
      <c r="D8">
        <v>-14.61</v>
      </c>
      <c r="E8">
        <v>-15.955555560000001</v>
      </c>
      <c r="F8" s="8"/>
      <c r="G8" t="s">
        <v>76</v>
      </c>
      <c r="H8" s="8"/>
      <c r="I8" s="9" t="s">
        <v>76</v>
      </c>
      <c r="J8" s="10">
        <v>-1.2126321281538885</v>
      </c>
      <c r="K8" s="10">
        <v>0.96468818285985414</v>
      </c>
      <c r="L8" s="10">
        <v>0.21011462582733731</v>
      </c>
      <c r="M8" s="10">
        <v>0.23211034133521599</v>
      </c>
      <c r="N8" s="10">
        <v>9.7225200828488373E-2</v>
      </c>
      <c r="O8" s="10">
        <v>0.46054311031984763</v>
      </c>
      <c r="P8" s="10">
        <v>6.7216891108899996E-6</v>
      </c>
      <c r="Q8" s="10">
        <f t="shared" si="0"/>
        <v>0.46054311031984763</v>
      </c>
      <c r="R8" s="10" t="str">
        <f t="shared" si="1"/>
        <v>NO</v>
      </c>
      <c r="S8" s="10">
        <f t="shared" si="2"/>
        <v>3.4148649809100169</v>
      </c>
      <c r="T8" s="8"/>
      <c r="U8" t="str">
        <f>IF(G8=I8, "YES", "NO")</f>
        <v>YES</v>
      </c>
    </row>
    <row r="9" spans="1:21" x14ac:dyDescent="0.25">
      <c r="A9" t="s">
        <v>12</v>
      </c>
      <c r="B9">
        <v>11.35</v>
      </c>
      <c r="C9">
        <v>10.275862070000001</v>
      </c>
      <c r="D9">
        <v>-14.26</v>
      </c>
      <c r="E9">
        <v>-15.56666667</v>
      </c>
      <c r="F9" s="8"/>
      <c r="G9" t="s">
        <v>76</v>
      </c>
      <c r="H9" s="8"/>
      <c r="I9" s="9" t="s">
        <v>76</v>
      </c>
      <c r="J9" s="10">
        <v>-0.88164013202651326</v>
      </c>
      <c r="K9" s="10">
        <v>1.0019244000678187</v>
      </c>
      <c r="L9" s="10">
        <v>0.20575710980583348</v>
      </c>
      <c r="M9" s="10">
        <v>0.16252254588379608</v>
      </c>
      <c r="N9" s="10">
        <v>9.7845261877532508E-2</v>
      </c>
      <c r="O9" s="10">
        <v>0.53384020949026512</v>
      </c>
      <c r="P9" s="10">
        <v>3.4872942572839998E-5</v>
      </c>
      <c r="Q9" s="10">
        <f t="shared" si="0"/>
        <v>0.53384020949026512</v>
      </c>
      <c r="R9" s="10" t="str">
        <f t="shared" si="1"/>
        <v>NO</v>
      </c>
      <c r="S9" s="10">
        <f t="shared" si="2"/>
        <v>4.5807486648003106</v>
      </c>
      <c r="T9" s="8"/>
      <c r="U9" t="str">
        <f>IF(G9=I9, "YES", "NO")</f>
        <v>YES</v>
      </c>
    </row>
    <row r="10" spans="1:21" x14ac:dyDescent="0.25">
      <c r="A10" t="s">
        <v>13</v>
      </c>
      <c r="B10">
        <v>8.69</v>
      </c>
      <c r="C10">
        <v>7.2183908050000003</v>
      </c>
      <c r="D10">
        <v>-12.79</v>
      </c>
      <c r="E10">
        <v>-13.93333333</v>
      </c>
      <c r="F10" s="8"/>
      <c r="G10" t="s">
        <v>32</v>
      </c>
      <c r="H10" s="8"/>
      <c r="I10" s="9" t="s">
        <v>34</v>
      </c>
      <c r="J10" s="10">
        <v>1.4745329840122263</v>
      </c>
      <c r="K10" s="10">
        <v>7.5468787264055592E-2</v>
      </c>
      <c r="L10" s="10">
        <v>9.435821836464868E-2</v>
      </c>
      <c r="M10" s="10">
        <v>8.6739837411216E-4</v>
      </c>
      <c r="N10" s="10">
        <v>3.5767583460064901E-3</v>
      </c>
      <c r="O10" s="10">
        <v>0.18459425445675887</v>
      </c>
      <c r="P10" s="10">
        <v>0.71660337045847389</v>
      </c>
      <c r="Q10" s="10">
        <f t="shared" si="0"/>
        <v>0.71660337045847389</v>
      </c>
      <c r="R10" s="10" t="str">
        <f t="shared" si="1"/>
        <v>YES</v>
      </c>
      <c r="S10" s="10">
        <f t="shared" si="2"/>
        <v>10.114493903724709</v>
      </c>
      <c r="T10" s="8"/>
      <c r="U10" t="str">
        <f>IF(G10=I10, "YES", "NO")</f>
        <v>NO</v>
      </c>
    </row>
    <row r="11" spans="1:21" x14ac:dyDescent="0.25">
      <c r="A11" t="s">
        <v>14</v>
      </c>
      <c r="B11">
        <v>8.4</v>
      </c>
      <c r="C11">
        <v>6.8850574709999997</v>
      </c>
      <c r="D11">
        <v>-16.25</v>
      </c>
      <c r="E11">
        <v>-17.777777780000001</v>
      </c>
      <c r="F11" s="8"/>
      <c r="G11" t="s">
        <v>76</v>
      </c>
      <c r="H11" s="8"/>
      <c r="I11" s="9" t="s">
        <v>32</v>
      </c>
      <c r="J11" s="10">
        <v>-0.5942212446208579</v>
      </c>
      <c r="K11" s="10">
        <v>-1.6415227177032778</v>
      </c>
      <c r="L11" s="10">
        <v>0.89738840289279587</v>
      </c>
      <c r="M11" s="10">
        <v>5.1220072202212896E-3</v>
      </c>
      <c r="N11" s="10">
        <v>9.6384703222223995E-4</v>
      </c>
      <c r="O11" s="10">
        <v>9.6477792815588728E-2</v>
      </c>
      <c r="P11" s="10">
        <v>4.7950039171709997E-5</v>
      </c>
      <c r="Q11" s="10">
        <f t="shared" si="0"/>
        <v>0.89738840289279587</v>
      </c>
      <c r="R11" s="10" t="str">
        <f t="shared" si="1"/>
        <v>YES</v>
      </c>
      <c r="S11" s="10">
        <f t="shared" si="2"/>
        <v>34.981948559098775</v>
      </c>
      <c r="T11" s="8"/>
      <c r="U11" t="str">
        <f>IF(G11=I11, "YES", "NO")</f>
        <v>NO</v>
      </c>
    </row>
    <row r="12" spans="1:21" x14ac:dyDescent="0.25">
      <c r="A12" t="s">
        <v>15</v>
      </c>
      <c r="B12">
        <v>6.7</v>
      </c>
      <c r="C12">
        <v>4.9310344830000004</v>
      </c>
      <c r="D12">
        <v>-13.44</v>
      </c>
      <c r="E12">
        <v>-14.65555556</v>
      </c>
      <c r="F12" s="8"/>
      <c r="G12" t="s">
        <v>34</v>
      </c>
      <c r="H12" s="8"/>
      <c r="I12" s="9" t="s">
        <v>34</v>
      </c>
      <c r="J12" s="10">
        <v>2.1132159275147142</v>
      </c>
      <c r="K12" s="10">
        <v>-1.3986663740146001</v>
      </c>
      <c r="L12" s="10">
        <v>2.2963457633009769E-2</v>
      </c>
      <c r="M12" s="10">
        <v>7.5752816977E-6</v>
      </c>
      <c r="N12" s="10">
        <v>2.678027490387E-5</v>
      </c>
      <c r="O12" s="10">
        <v>9.0829663537344493E-3</v>
      </c>
      <c r="P12" s="10">
        <v>0.96791922045665424</v>
      </c>
      <c r="Q12" s="10">
        <f t="shared" si="0"/>
        <v>0.96791922045665424</v>
      </c>
      <c r="R12" s="10" t="str">
        <f t="shared" si="1"/>
        <v>YES</v>
      </c>
      <c r="S12" s="10">
        <f t="shared" si="2"/>
        <v>120.68524945272677</v>
      </c>
      <c r="T12" s="8"/>
      <c r="U12" t="str">
        <f>IF(G12=I12, "YES", "NO")</f>
        <v>YES</v>
      </c>
    </row>
    <row r="13" spans="1:21" x14ac:dyDescent="0.25">
      <c r="A13" t="s">
        <v>16</v>
      </c>
      <c r="B13">
        <v>13</v>
      </c>
      <c r="C13">
        <v>12.17241379</v>
      </c>
      <c r="D13">
        <v>-14.28</v>
      </c>
      <c r="E13">
        <v>-15.58888889</v>
      </c>
      <c r="F13" s="8"/>
      <c r="G13" t="s">
        <v>76</v>
      </c>
      <c r="H13" s="8"/>
      <c r="I13" s="9" t="s">
        <v>33</v>
      </c>
      <c r="J13" s="10">
        <v>-1.770263318079655</v>
      </c>
      <c r="K13" s="10">
        <v>1.9746995564638308</v>
      </c>
      <c r="L13" s="10">
        <v>4.0184167692600012E-2</v>
      </c>
      <c r="M13" s="10">
        <v>0.50164104196919801</v>
      </c>
      <c r="N13" s="10">
        <v>0.20624812036774967</v>
      </c>
      <c r="O13" s="10">
        <v>0.25192645007389503</v>
      </c>
      <c r="P13" s="10">
        <v>2.1989655720999999E-7</v>
      </c>
      <c r="Q13" s="10">
        <f t="shared" si="0"/>
        <v>0.50164104196919801</v>
      </c>
      <c r="R13" s="10" t="str">
        <f t="shared" si="1"/>
        <v>NO</v>
      </c>
      <c r="S13" s="10">
        <f t="shared" si="2"/>
        <v>4.026343131877189</v>
      </c>
      <c r="T13" s="8"/>
      <c r="U13" t="str">
        <f>IF(G13=I13, "YES", "NO")</f>
        <v>NO</v>
      </c>
    </row>
    <row r="14" spans="1:21" x14ac:dyDescent="0.25">
      <c r="A14" t="s">
        <v>17</v>
      </c>
      <c r="B14">
        <v>8.4700000000000006</v>
      </c>
      <c r="C14">
        <v>6.9655172409999997</v>
      </c>
      <c r="D14">
        <v>-14.49</v>
      </c>
      <c r="E14">
        <v>-15.82222222</v>
      </c>
      <c r="F14" s="8"/>
      <c r="G14" t="s">
        <v>76</v>
      </c>
      <c r="H14" s="8"/>
      <c r="I14" s="9" t="s">
        <v>32</v>
      </c>
      <c r="J14" s="10">
        <v>0.49923561857249155</v>
      </c>
      <c r="K14" s="10">
        <v>-0.8142586273364576</v>
      </c>
      <c r="L14" s="10">
        <v>0.6714668139194131</v>
      </c>
      <c r="M14" s="10">
        <v>4.2899544392988598E-3</v>
      </c>
      <c r="N14" s="10">
        <v>3.9482636331789299E-3</v>
      </c>
      <c r="O14" s="10">
        <v>0.30273881047204654</v>
      </c>
      <c r="P14" s="10">
        <v>1.755615753606251E-2</v>
      </c>
      <c r="Q14" s="10">
        <f t="shared" si="0"/>
        <v>0.6714668139194131</v>
      </c>
      <c r="R14" s="10" t="str">
        <f t="shared" si="1"/>
        <v>YES</v>
      </c>
      <c r="S14" s="10">
        <f t="shared" si="2"/>
        <v>8.1753301324598233</v>
      </c>
      <c r="T14" s="8"/>
      <c r="U14" t="str">
        <f>IF(G14=I14, "YES", "NO")</f>
        <v>NO</v>
      </c>
    </row>
    <row r="15" spans="1:21" x14ac:dyDescent="0.25">
      <c r="A15" t="s">
        <v>18</v>
      </c>
      <c r="B15">
        <v>15.74</v>
      </c>
      <c r="C15">
        <v>15.32183908</v>
      </c>
      <c r="D15">
        <v>-14.31</v>
      </c>
      <c r="E15">
        <v>-15.622222219999999</v>
      </c>
      <c r="F15" s="8"/>
      <c r="G15" t="s">
        <v>33</v>
      </c>
      <c r="H15" s="8"/>
      <c r="I15" s="9" t="s">
        <v>33</v>
      </c>
      <c r="J15" s="10">
        <v>-3.2438529281564161</v>
      </c>
      <c r="K15" s="10">
        <v>3.5915296850503982</v>
      </c>
      <c r="L15" s="10">
        <v>6.5895293336057001E-4</v>
      </c>
      <c r="M15" s="10">
        <v>0.80517306848893921</v>
      </c>
      <c r="N15" s="10">
        <v>0.17624290270033174</v>
      </c>
      <c r="O15" s="10">
        <v>1.792507586517501E-2</v>
      </c>
      <c r="P15" s="10">
        <v>1.2193409999999999E-11</v>
      </c>
      <c r="Q15" s="10">
        <f t="shared" si="0"/>
        <v>0.80517306848893921</v>
      </c>
      <c r="R15" s="10" t="str">
        <f t="shared" si="1"/>
        <v>YES</v>
      </c>
      <c r="S15" s="10">
        <f t="shared" si="2"/>
        <v>16.531042443548984</v>
      </c>
      <c r="T15" s="8"/>
      <c r="U15" t="str">
        <f>IF(G15=I15, "YES", "NO")</f>
        <v>YES</v>
      </c>
    </row>
    <row r="16" spans="1:21" x14ac:dyDescent="0.25">
      <c r="A16" t="s">
        <v>19</v>
      </c>
      <c r="B16">
        <v>10.36</v>
      </c>
      <c r="C16">
        <v>9.1379310339999993</v>
      </c>
      <c r="D16">
        <v>-13.43</v>
      </c>
      <c r="E16">
        <v>-14.644444439999999</v>
      </c>
      <c r="F16" s="8"/>
      <c r="G16" t="s">
        <v>76</v>
      </c>
      <c r="H16" s="8"/>
      <c r="I16" s="9" t="s">
        <v>76</v>
      </c>
      <c r="J16" s="10">
        <v>0.17701092877579505</v>
      </c>
      <c r="K16" s="10">
        <v>0.78339224473459534</v>
      </c>
      <c r="L16" s="10">
        <v>0.23048872036320797</v>
      </c>
      <c r="M16" s="10">
        <v>3.4678743861399478E-2</v>
      </c>
      <c r="N16" s="10">
        <v>5.5282100626917283E-2</v>
      </c>
      <c r="O16" s="10">
        <v>0.67372674113826969</v>
      </c>
      <c r="P16" s="10">
        <v>5.8236940102055499E-3</v>
      </c>
      <c r="Q16" s="10">
        <f t="shared" si="0"/>
        <v>0.67372674113826969</v>
      </c>
      <c r="R16" s="10" t="str">
        <f t="shared" si="1"/>
        <v>YES</v>
      </c>
      <c r="S16" s="10">
        <f t="shared" si="2"/>
        <v>8.2596623883759346</v>
      </c>
      <c r="T16" s="8"/>
      <c r="U16" t="str">
        <f>IF(G16=I16, "YES", "NO")</f>
        <v>YES</v>
      </c>
    </row>
    <row r="17" spans="1:21" x14ac:dyDescent="0.25">
      <c r="A17" t="s">
        <v>20</v>
      </c>
      <c r="B17">
        <v>10</v>
      </c>
      <c r="C17">
        <v>8.7241379309999996</v>
      </c>
      <c r="D17">
        <v>-17.04</v>
      </c>
      <c r="E17">
        <v>-18.65555556</v>
      </c>
      <c r="F17" s="8"/>
      <c r="G17" t="s">
        <v>32</v>
      </c>
      <c r="H17" s="8"/>
      <c r="I17" s="9" t="s">
        <v>32</v>
      </c>
      <c r="J17" s="10">
        <v>-1.9509480862078039</v>
      </c>
      <c r="K17" s="10">
        <v>-1.0422031681776733</v>
      </c>
      <c r="L17" s="10">
        <v>0.81581047941064577</v>
      </c>
      <c r="M17" s="10">
        <v>6.7815401674252873E-2</v>
      </c>
      <c r="N17" s="10">
        <v>4.3703161509159698E-3</v>
      </c>
      <c r="O17" s="10">
        <v>0.11200370529450994</v>
      </c>
      <c r="P17" s="10">
        <v>9.746967564E-8</v>
      </c>
      <c r="Q17" s="10">
        <f t="shared" si="0"/>
        <v>0.81581047941064577</v>
      </c>
      <c r="R17" s="10" t="str">
        <f t="shared" si="1"/>
        <v>YES</v>
      </c>
      <c r="S17" s="10">
        <f t="shared" si="2"/>
        <v>17.71676210026029</v>
      </c>
      <c r="T17" s="8"/>
      <c r="U17" t="str">
        <f>IF(G17=I17, "YES", "NO")</f>
        <v>YES</v>
      </c>
    </row>
    <row r="18" spans="1:21" x14ac:dyDescent="0.25">
      <c r="A18" t="s">
        <v>21</v>
      </c>
      <c r="B18">
        <v>11.03</v>
      </c>
      <c r="C18">
        <v>9.9080459770000004</v>
      </c>
      <c r="D18">
        <v>-15.01</v>
      </c>
      <c r="E18">
        <v>-16.399999999999999</v>
      </c>
      <c r="F18" s="8"/>
      <c r="G18" t="s">
        <v>32</v>
      </c>
      <c r="H18" s="8"/>
      <c r="I18" s="9" t="s">
        <v>76</v>
      </c>
      <c r="J18" s="10">
        <v>-1.1935872371108509</v>
      </c>
      <c r="K18" s="10">
        <v>0.47675400337473484</v>
      </c>
      <c r="L18" s="10">
        <v>0.35496356582815775</v>
      </c>
      <c r="M18" s="10">
        <v>0.16446016276532666</v>
      </c>
      <c r="N18" s="10">
        <v>5.3660079015294418E-2</v>
      </c>
      <c r="O18" s="10">
        <v>0.42690843193319716</v>
      </c>
      <c r="P18" s="10">
        <v>7.7604580241199998E-6</v>
      </c>
      <c r="Q18" s="10">
        <f t="shared" si="0"/>
        <v>0.42690843193319716</v>
      </c>
      <c r="R18" s="10" t="str">
        <f t="shared" si="1"/>
        <v>NO</v>
      </c>
      <c r="S18" s="10">
        <f t="shared" si="2"/>
        <v>2.9796874057894653</v>
      </c>
      <c r="T18" s="8"/>
      <c r="U18" t="str">
        <f>IF(G18=I18, "YES", "NO")</f>
        <v>NO</v>
      </c>
    </row>
    <row r="19" spans="1:21" x14ac:dyDescent="0.25">
      <c r="A19" t="s">
        <v>22</v>
      </c>
      <c r="B19">
        <v>10.86</v>
      </c>
      <c r="C19">
        <v>9.7126436779999992</v>
      </c>
      <c r="D19">
        <v>-14.75</v>
      </c>
      <c r="E19">
        <v>-16.11111111</v>
      </c>
      <c r="F19" s="8"/>
      <c r="G19" t="s">
        <v>32</v>
      </c>
      <c r="H19" s="8"/>
      <c r="I19" s="9" t="s">
        <v>76</v>
      </c>
      <c r="J19" s="10">
        <v>-0.93633376351226971</v>
      </c>
      <c r="K19" s="10">
        <v>0.49166580972192442</v>
      </c>
      <c r="L19" s="10">
        <v>0.35144183933923429</v>
      </c>
      <c r="M19" s="10">
        <v>0.12244557780379711</v>
      </c>
      <c r="N19" s="10">
        <v>5.255488244212126E-2</v>
      </c>
      <c r="O19" s="10">
        <v>0.47353000386334076</v>
      </c>
      <c r="P19" s="10">
        <v>2.7696551506460001E-5</v>
      </c>
      <c r="Q19" s="10">
        <f t="shared" si="0"/>
        <v>0.47353000386334076</v>
      </c>
      <c r="R19" s="10" t="str">
        <f t="shared" si="1"/>
        <v>NO</v>
      </c>
      <c r="S19" s="10">
        <f t="shared" si="2"/>
        <v>3.597773908015252</v>
      </c>
      <c r="T19" s="8"/>
      <c r="U19" t="str">
        <f>IF(G19=I19, "YES", "NO")</f>
        <v>NO</v>
      </c>
    </row>
    <row r="20" spans="1:21" x14ac:dyDescent="0.25">
      <c r="A20" t="s">
        <v>23</v>
      </c>
      <c r="B20">
        <v>11.37</v>
      </c>
      <c r="C20">
        <v>10.298850570000001</v>
      </c>
      <c r="D20">
        <v>-14.24</v>
      </c>
      <c r="E20">
        <v>-15.544444439999999</v>
      </c>
      <c r="F20" s="8"/>
      <c r="G20" t="s">
        <v>76</v>
      </c>
      <c r="H20" s="8"/>
      <c r="I20" s="9" t="s">
        <v>76</v>
      </c>
      <c r="J20" s="10">
        <v>-0.87940773162661934</v>
      </c>
      <c r="K20" s="10">
        <v>1.0227512815038011</v>
      </c>
      <c r="L20" s="10">
        <v>0.2007928907805886</v>
      </c>
      <c r="M20" s="10">
        <v>0.16398949872382854</v>
      </c>
      <c r="N20" s="10">
        <v>0.10010146598778639</v>
      </c>
      <c r="O20" s="10">
        <v>0.53508103247037375</v>
      </c>
      <c r="P20" s="10">
        <v>3.5112037422799999E-5</v>
      </c>
      <c r="Q20" s="10">
        <f t="shared" si="0"/>
        <v>0.53508103247037375</v>
      </c>
      <c r="R20" s="10" t="str">
        <f t="shared" si="1"/>
        <v>NO</v>
      </c>
      <c r="S20" s="10">
        <f t="shared" si="2"/>
        <v>4.6036498387110996</v>
      </c>
      <c r="T20" s="8"/>
      <c r="U20" t="str">
        <f>IF(G20=I20, "YES", "NO")</f>
        <v>YES</v>
      </c>
    </row>
    <row r="21" spans="1:21" x14ac:dyDescent="0.25">
      <c r="A21" t="s">
        <v>24</v>
      </c>
      <c r="B21">
        <v>12.53</v>
      </c>
      <c r="C21">
        <v>11.63218391</v>
      </c>
      <c r="D21">
        <v>-14.95</v>
      </c>
      <c r="E21">
        <v>-16.333333329999999</v>
      </c>
      <c r="F21" s="8"/>
      <c r="G21" t="s">
        <v>76</v>
      </c>
      <c r="H21" s="8"/>
      <c r="I21" s="9" t="s">
        <v>33</v>
      </c>
      <c r="J21" s="10">
        <v>-1.9512030780435676</v>
      </c>
      <c r="K21" s="10">
        <v>1.395993293937968</v>
      </c>
      <c r="L21" s="10">
        <v>9.1232803201011417E-2</v>
      </c>
      <c r="M21" s="10">
        <v>0.51968893726730048</v>
      </c>
      <c r="N21" s="10">
        <v>0.12873089350727943</v>
      </c>
      <c r="O21" s="10">
        <v>0.26034724943642051</v>
      </c>
      <c r="P21" s="10">
        <v>1.165879881E-7</v>
      </c>
      <c r="Q21" s="10">
        <f t="shared" si="0"/>
        <v>0.51968893726730048</v>
      </c>
      <c r="R21" s="10" t="str">
        <f t="shared" si="1"/>
        <v>NO</v>
      </c>
      <c r="S21" s="10">
        <f t="shared" si="2"/>
        <v>4.3279364361134052</v>
      </c>
      <c r="T21" s="8"/>
      <c r="U21" t="str">
        <f>IF(G21=I21, "YES", "NO")</f>
        <v>NO</v>
      </c>
    </row>
    <row r="22" spans="1:21" x14ac:dyDescent="0.25">
      <c r="A22" t="s">
        <v>25</v>
      </c>
      <c r="B22">
        <v>11.53</v>
      </c>
      <c r="C22">
        <v>10.48275862</v>
      </c>
      <c r="D22">
        <v>-16.32</v>
      </c>
      <c r="E22">
        <v>-17.855555559999999</v>
      </c>
      <c r="F22" s="8"/>
      <c r="G22" t="s">
        <v>33</v>
      </c>
      <c r="H22" s="8"/>
      <c r="I22" s="9" t="s">
        <v>33</v>
      </c>
      <c r="J22" s="10">
        <v>-2.3005080036375336</v>
      </c>
      <c r="K22" s="10">
        <v>0.18949129523320885</v>
      </c>
      <c r="L22" s="10">
        <v>0.36673460265128832</v>
      </c>
      <c r="M22" s="10">
        <v>0.39345408516374325</v>
      </c>
      <c r="N22" s="10">
        <v>3.4880958988193253E-2</v>
      </c>
      <c r="O22" s="10">
        <v>0.20493032727215046</v>
      </c>
      <c r="P22" s="10">
        <v>2.5924624959999999E-8</v>
      </c>
      <c r="Q22" s="10">
        <f t="shared" si="0"/>
        <v>0.39345408516374325</v>
      </c>
      <c r="R22" s="10" t="str">
        <f t="shared" si="1"/>
        <v>NO</v>
      </c>
      <c r="S22" s="10">
        <f t="shared" si="2"/>
        <v>2.5947192160709562</v>
      </c>
      <c r="T22" s="8"/>
      <c r="U22" t="str">
        <f>IF(G22=I22, "YES", "NO")</f>
        <v>YES</v>
      </c>
    </row>
    <row r="23" spans="1:21" x14ac:dyDescent="0.25">
      <c r="A23" t="s">
        <v>26</v>
      </c>
      <c r="B23">
        <v>10.97</v>
      </c>
      <c r="C23">
        <v>9.8390804599999999</v>
      </c>
      <c r="D23">
        <v>-15.39</v>
      </c>
      <c r="E23">
        <v>-16.82222222</v>
      </c>
      <c r="F23" s="8"/>
      <c r="G23" t="s">
        <v>32</v>
      </c>
      <c r="H23" s="8"/>
      <c r="I23" s="9" t="s">
        <v>32</v>
      </c>
      <c r="J23" s="10">
        <v>-1.4058500458294088</v>
      </c>
      <c r="K23" s="10">
        <v>0.27143406980918705</v>
      </c>
      <c r="L23" s="10">
        <v>0.4203789253701245</v>
      </c>
      <c r="M23" s="10">
        <v>0.17633329161294081</v>
      </c>
      <c r="N23" s="10">
        <v>4.1244959007254473E-2</v>
      </c>
      <c r="O23" s="10">
        <v>0.36204017949639883</v>
      </c>
      <c r="P23" s="10">
        <v>2.6445132813999999E-6</v>
      </c>
      <c r="Q23" s="10">
        <f t="shared" si="0"/>
        <v>0.4203789253701245</v>
      </c>
      <c r="R23" s="10" t="str">
        <f t="shared" si="1"/>
        <v>NO</v>
      </c>
      <c r="S23" s="10">
        <f t="shared" si="2"/>
        <v>2.9010603221324405</v>
      </c>
      <c r="T23" s="8"/>
      <c r="U23" t="str">
        <f>IF(G23=I23, "YES", "NO")</f>
        <v>YES</v>
      </c>
    </row>
    <row r="24" spans="1:21" x14ac:dyDescent="0.25">
      <c r="A24" t="s">
        <v>27</v>
      </c>
      <c r="B24">
        <v>12.66</v>
      </c>
      <c r="C24">
        <v>11.7816092</v>
      </c>
      <c r="D24">
        <v>-14.61</v>
      </c>
      <c r="E24">
        <v>-15.955555560000001</v>
      </c>
      <c r="F24" s="8"/>
      <c r="G24" t="s">
        <v>76</v>
      </c>
      <c r="H24" s="8"/>
      <c r="I24" s="9" t="s">
        <v>33</v>
      </c>
      <c r="J24" s="10">
        <v>-1.8017900828587532</v>
      </c>
      <c r="K24" s="10">
        <v>1.6251063050802665</v>
      </c>
      <c r="L24" s="10">
        <v>6.9417014444023414E-2</v>
      </c>
      <c r="M24" s="10">
        <v>0.49106756241654126</v>
      </c>
      <c r="N24" s="10">
        <v>0.16111038754188534</v>
      </c>
      <c r="O24" s="10">
        <v>0.27840480412150298</v>
      </c>
      <c r="P24" s="10">
        <v>2.3147604714999999E-7</v>
      </c>
      <c r="Q24" s="10">
        <f t="shared" si="0"/>
        <v>0.49106756241654126</v>
      </c>
      <c r="R24" s="10" t="str">
        <f t="shared" si="1"/>
        <v>NO</v>
      </c>
      <c r="S24" s="10">
        <f t="shared" si="2"/>
        <v>3.8595894162160742</v>
      </c>
      <c r="T24" s="8"/>
      <c r="U24" t="str">
        <f>IF(G24=I24, "YES", "NO")</f>
        <v>NO</v>
      </c>
    </row>
    <row r="25" spans="1:21" x14ac:dyDescent="0.25">
      <c r="A25" t="s">
        <v>28</v>
      </c>
      <c r="B25">
        <v>11.34</v>
      </c>
      <c r="C25">
        <v>10.26436782</v>
      </c>
      <c r="D25">
        <v>-14.2</v>
      </c>
      <c r="E25">
        <v>-15.5</v>
      </c>
      <c r="F25" s="8"/>
      <c r="G25" t="s">
        <v>76</v>
      </c>
      <c r="H25" s="8"/>
      <c r="I25" s="9" t="s">
        <v>76</v>
      </c>
      <c r="J25" s="10">
        <v>-0.83778884645689544</v>
      </c>
      <c r="K25" s="10">
        <v>1.0227570570972455</v>
      </c>
      <c r="L25" s="10">
        <v>0.20088561295028676</v>
      </c>
      <c r="M25" s="10">
        <v>0.15601919737568828</v>
      </c>
      <c r="N25" s="10">
        <v>9.9423714357987303E-2</v>
      </c>
      <c r="O25" s="10">
        <v>0.54362835010906796</v>
      </c>
      <c r="P25" s="10">
        <v>4.3125206969690001E-5</v>
      </c>
      <c r="Q25" s="10">
        <f t="shared" si="0"/>
        <v>0.54362835010906796</v>
      </c>
      <c r="R25" s="10" t="str">
        <f t="shared" si="1"/>
        <v>NO</v>
      </c>
      <c r="S25" s="10">
        <f t="shared" si="2"/>
        <v>4.7647863335857021</v>
      </c>
      <c r="T25" s="8"/>
      <c r="U25" t="str">
        <f>IF(G25=I25, "YES", "NO")</f>
        <v>YES</v>
      </c>
    </row>
    <row r="26" spans="1:21" x14ac:dyDescent="0.25">
      <c r="A26" t="s">
        <v>29</v>
      </c>
      <c r="B26">
        <v>10.96</v>
      </c>
      <c r="C26">
        <v>9.8275862069999995</v>
      </c>
      <c r="D26">
        <v>-16.2</v>
      </c>
      <c r="E26">
        <v>-17.722222219999999</v>
      </c>
      <c r="F26" s="8"/>
      <c r="G26" t="s">
        <v>32</v>
      </c>
      <c r="H26" s="8"/>
      <c r="I26" s="9" t="s">
        <v>32</v>
      </c>
      <c r="J26" s="10">
        <v>-1.9208803177557687</v>
      </c>
      <c r="K26" s="10">
        <v>-9.6077597710746865E-2</v>
      </c>
      <c r="L26" s="10">
        <v>0.52347517039215496</v>
      </c>
      <c r="M26" s="10">
        <v>0.21636807251034418</v>
      </c>
      <c r="N26" s="10">
        <v>2.4256724284577799E-2</v>
      </c>
      <c r="O26" s="10">
        <v>0.23589985079188974</v>
      </c>
      <c r="P26" s="10">
        <v>1.8202103322999999E-7</v>
      </c>
      <c r="Q26" s="10">
        <f t="shared" si="0"/>
        <v>0.52347517039215496</v>
      </c>
      <c r="R26" s="10" t="str">
        <f t="shared" si="1"/>
        <v>NO</v>
      </c>
      <c r="S26" s="10">
        <f t="shared" si="2"/>
        <v>4.3941061440424631</v>
      </c>
      <c r="T26" s="8"/>
      <c r="U26" t="str">
        <f>IF(G26=I26, "YES", "NO")</f>
        <v>YES</v>
      </c>
    </row>
    <row r="27" spans="1:21" x14ac:dyDescent="0.25">
      <c r="A27" t="s">
        <v>30</v>
      </c>
      <c r="B27">
        <v>11.29</v>
      </c>
      <c r="C27">
        <v>10.20689655</v>
      </c>
      <c r="D27">
        <v>-13.82</v>
      </c>
      <c r="E27">
        <v>-15.07777778</v>
      </c>
      <c r="F27" s="8"/>
      <c r="G27" t="s">
        <v>76</v>
      </c>
      <c r="H27" s="8"/>
      <c r="I27" s="9" t="s">
        <v>76</v>
      </c>
      <c r="J27" s="10">
        <v>-0.56714101275803408</v>
      </c>
      <c r="K27" s="10">
        <v>1.1626301469846796</v>
      </c>
      <c r="L27" s="10">
        <v>0.1688044988816613</v>
      </c>
      <c r="M27" s="10">
        <v>0.12047018735990203</v>
      </c>
      <c r="N27" s="10">
        <v>0.10971352783247003</v>
      </c>
      <c r="O27" s="10">
        <v>0.60085421406272033</v>
      </c>
      <c r="P27" s="10">
        <v>1.5757186324624999E-4</v>
      </c>
      <c r="Q27" s="10">
        <f t="shared" si="0"/>
        <v>0.60085421406272033</v>
      </c>
      <c r="R27" s="10" t="str">
        <f t="shared" si="1"/>
        <v>YES</v>
      </c>
      <c r="S27" s="10">
        <f t="shared" si="2"/>
        <v>6.0214010542717986</v>
      </c>
      <c r="T27" s="8"/>
      <c r="U27" t="str">
        <f>IF(G27=I27, "YES", "NO")</f>
        <v>YES</v>
      </c>
    </row>
    <row r="28" spans="1:21" x14ac:dyDescent="0.25">
      <c r="A28" t="s">
        <v>31</v>
      </c>
      <c r="B28">
        <v>10.7</v>
      </c>
      <c r="C28">
        <v>9.5287356320000001</v>
      </c>
      <c r="D28">
        <v>-13.88</v>
      </c>
      <c r="E28">
        <v>-15.144444439999999</v>
      </c>
      <c r="F28" s="8"/>
      <c r="G28" t="s">
        <v>32</v>
      </c>
      <c r="H28" s="8"/>
      <c r="I28" s="9" t="s">
        <v>76</v>
      </c>
      <c r="J28" s="10">
        <v>-0.29252853554257108</v>
      </c>
      <c r="K28" s="10">
        <v>0.78481472777895345</v>
      </c>
      <c r="L28" s="10">
        <v>0.25053175066838596</v>
      </c>
      <c r="M28" s="10">
        <v>6.6646286317336059E-2</v>
      </c>
      <c r="N28" s="10">
        <v>6.5436981459696689E-2</v>
      </c>
      <c r="O28" s="10">
        <v>0.61675820908833912</v>
      </c>
      <c r="P28" s="10">
        <v>6.2677246624222001E-4</v>
      </c>
      <c r="Q28" s="10">
        <f t="shared" si="0"/>
        <v>0.61675820908833912</v>
      </c>
      <c r="R28" s="10" t="str">
        <f t="shared" si="1"/>
        <v>YES</v>
      </c>
      <c r="S28" s="10">
        <f t="shared" si="2"/>
        <v>6.4372750959250675</v>
      </c>
      <c r="T28" s="8"/>
      <c r="U28" t="str">
        <f>IF(G28=I28, "YES", "NO")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topLeftCell="A37" workbookViewId="0">
      <selection activeCell="I56" sqref="I56"/>
    </sheetView>
  </sheetViews>
  <sheetFormatPr defaultRowHeight="15" x14ac:dyDescent="0.25"/>
  <cols>
    <col min="7" max="7" width="15" bestFit="1" customWidth="1"/>
    <col min="9" max="9" width="15.570312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/>
      <c r="G1" t="s">
        <v>95</v>
      </c>
      <c r="H1" s="8"/>
      <c r="I1" t="s">
        <v>75</v>
      </c>
      <c r="J1" t="s">
        <v>77</v>
      </c>
      <c r="K1" t="s">
        <v>78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92</v>
      </c>
      <c r="R1" t="s">
        <v>94</v>
      </c>
      <c r="S1" t="s">
        <v>93</v>
      </c>
      <c r="T1" s="8"/>
      <c r="U1" t="s">
        <v>166</v>
      </c>
    </row>
    <row r="2" spans="1:21" x14ac:dyDescent="0.25">
      <c r="A2" t="s">
        <v>96</v>
      </c>
      <c r="B2">
        <v>11.13</v>
      </c>
      <c r="C2">
        <v>10.022988509999999</v>
      </c>
      <c r="D2">
        <v>-17.72</v>
      </c>
      <c r="E2">
        <v>-19.41111111</v>
      </c>
      <c r="F2" s="8"/>
      <c r="G2" t="s">
        <v>32</v>
      </c>
      <c r="H2" s="8"/>
      <c r="I2" t="s">
        <v>33</v>
      </c>
      <c r="J2" s="10">
        <v>-2.5228362788929122</v>
      </c>
      <c r="K2" s="10">
        <v>0.58074645650174439</v>
      </c>
      <c r="L2" s="10">
        <v>0.20639250278830931</v>
      </c>
      <c r="M2" s="10">
        <v>0.57081704635361763</v>
      </c>
      <c r="N2" s="10">
        <v>4.9914092722970149E-2</v>
      </c>
      <c r="O2" s="10">
        <v>0.17287635099875068</v>
      </c>
      <c r="P2" s="10">
        <v>7.13635225E-9</v>
      </c>
      <c r="Q2" s="10">
        <f>MAX(L2:P2)</f>
        <v>0.57081704635361763</v>
      </c>
      <c r="R2" t="str">
        <f>IF(Q2&gt;0.6, "YES", "NO")</f>
        <v>NO</v>
      </c>
      <c r="S2">
        <f>(Q2/(1-Q2)/(0.2/0.8))</f>
        <v>5.3200346519254547</v>
      </c>
      <c r="T2" s="8"/>
      <c r="U2" t="str">
        <f>IF(G2=I2, "YES", "NO")</f>
        <v>NO</v>
      </c>
    </row>
    <row r="3" spans="1:21" x14ac:dyDescent="0.25">
      <c r="A3" t="s">
        <v>97</v>
      </c>
      <c r="B3">
        <v>11.91</v>
      </c>
      <c r="C3">
        <v>10.919540230000001</v>
      </c>
      <c r="D3">
        <v>-15.08</v>
      </c>
      <c r="E3">
        <v>-16.47777778</v>
      </c>
      <c r="F3" s="8"/>
      <c r="G3" t="s">
        <v>35</v>
      </c>
      <c r="H3" s="8"/>
      <c r="I3" t="s">
        <v>33</v>
      </c>
      <c r="J3" s="10">
        <v>-1.3523132337776502</v>
      </c>
      <c r="K3" s="10">
        <v>2.0449837496957661</v>
      </c>
      <c r="L3" s="10">
        <v>4.3294834767828028E-2</v>
      </c>
      <c r="M3" s="10">
        <v>0.36841587555282812</v>
      </c>
      <c r="N3" s="10">
        <v>0.24257567759224088</v>
      </c>
      <c r="O3" s="10">
        <v>0.3457116224424383</v>
      </c>
      <c r="P3" s="10">
        <v>1.9896446645300002E-6</v>
      </c>
      <c r="Q3" s="10">
        <f t="shared" ref="Q3:Q66" si="0">MAX(L3:P3)</f>
        <v>0.36841587555282812</v>
      </c>
      <c r="R3" t="str">
        <f t="shared" ref="R3:R66" si="1">IF(Q3&gt;0.6, "YES", "NO")</f>
        <v>NO</v>
      </c>
      <c r="S3">
        <f t="shared" ref="S3:S66" si="2">(Q3/(1-Q3)/(0.2/0.8))</f>
        <v>2.3332814191636246</v>
      </c>
      <c r="T3" s="8"/>
      <c r="U3" t="str">
        <f t="shared" ref="U3:U66" si="3">IF(G3=I3, "YES", "NO")</f>
        <v>NO</v>
      </c>
    </row>
    <row r="4" spans="1:21" x14ac:dyDescent="0.25">
      <c r="A4" t="s">
        <v>98</v>
      </c>
      <c r="B4">
        <v>10.32</v>
      </c>
      <c r="C4">
        <v>9.0919540229999996</v>
      </c>
      <c r="D4">
        <v>-17.13</v>
      </c>
      <c r="E4">
        <v>-18.755555560000001</v>
      </c>
      <c r="F4" s="8"/>
      <c r="G4" t="s">
        <v>32</v>
      </c>
      <c r="H4" s="8"/>
      <c r="I4" t="s">
        <v>32</v>
      </c>
      <c r="J4" s="10">
        <v>-1.8026871811454424</v>
      </c>
      <c r="K4" s="10">
        <v>0.39636097614644061</v>
      </c>
      <c r="L4" s="10">
        <v>0.35085028868280443</v>
      </c>
      <c r="M4" s="10">
        <v>0.29521939773922617</v>
      </c>
      <c r="N4" s="10">
        <v>4.9088033818285477E-2</v>
      </c>
      <c r="O4" s="10">
        <v>0.30484192715877223</v>
      </c>
      <c r="P4" s="10">
        <v>3.5260091166999998E-7</v>
      </c>
      <c r="Q4" s="10">
        <f t="shared" si="0"/>
        <v>0.35085028868280443</v>
      </c>
      <c r="R4" t="str">
        <f t="shared" si="1"/>
        <v>NO</v>
      </c>
      <c r="S4">
        <f t="shared" si="2"/>
        <v>2.1619067685997484</v>
      </c>
      <c r="T4" s="8"/>
      <c r="U4" t="str">
        <f t="shared" si="3"/>
        <v>YES</v>
      </c>
    </row>
    <row r="5" spans="1:21" x14ac:dyDescent="0.25">
      <c r="A5" t="s">
        <v>99</v>
      </c>
      <c r="B5">
        <v>12.61</v>
      </c>
      <c r="C5">
        <v>11.724137929999999</v>
      </c>
      <c r="D5">
        <v>-14.12</v>
      </c>
      <c r="E5">
        <v>-15.41111111</v>
      </c>
      <c r="F5" s="8"/>
      <c r="G5" t="s">
        <v>76</v>
      </c>
      <c r="H5" s="8"/>
      <c r="I5" t="s">
        <v>35</v>
      </c>
      <c r="J5" s="10">
        <v>-1.1279653690660734</v>
      </c>
      <c r="K5" s="10">
        <v>2.7915833754838353</v>
      </c>
      <c r="L5" s="10">
        <v>1.3100571752501681E-2</v>
      </c>
      <c r="M5" s="10">
        <v>0.31014390988498108</v>
      </c>
      <c r="N5" s="10">
        <v>0.38894947100638472</v>
      </c>
      <c r="O5" s="10">
        <v>0.28780228810515734</v>
      </c>
      <c r="P5" s="10">
        <v>3.7592509750599999E-6</v>
      </c>
      <c r="Q5" s="10">
        <f t="shared" si="0"/>
        <v>0.38894947100638472</v>
      </c>
      <c r="R5" t="str">
        <f t="shared" si="1"/>
        <v>NO</v>
      </c>
      <c r="S5">
        <f t="shared" si="2"/>
        <v>2.5461034893266499</v>
      </c>
      <c r="T5" s="8"/>
      <c r="U5" t="str">
        <f t="shared" si="3"/>
        <v>NO</v>
      </c>
    </row>
    <row r="6" spans="1:21" x14ac:dyDescent="0.25">
      <c r="A6" t="s">
        <v>100</v>
      </c>
      <c r="B6">
        <v>11.54</v>
      </c>
      <c r="C6">
        <v>10.49425287</v>
      </c>
      <c r="D6">
        <v>-14.58</v>
      </c>
      <c r="E6">
        <v>-15.92222222</v>
      </c>
      <c r="F6" s="8"/>
      <c r="G6" t="s">
        <v>76</v>
      </c>
      <c r="H6" s="8"/>
      <c r="I6" t="s">
        <v>76</v>
      </c>
      <c r="J6" s="10">
        <v>-0.8928998963433088</v>
      </c>
      <c r="K6" s="10">
        <v>2.0540198293100005</v>
      </c>
      <c r="L6" s="10">
        <v>4.8053869571165551E-2</v>
      </c>
      <c r="M6" s="10">
        <v>0.23840747636898843</v>
      </c>
      <c r="N6" s="10">
        <v>0.25366759131582123</v>
      </c>
      <c r="O6" s="10">
        <v>0.45984962816881714</v>
      </c>
      <c r="P6" s="10">
        <v>2.1434575207680002E-5</v>
      </c>
      <c r="Q6" s="10">
        <f t="shared" si="0"/>
        <v>0.45984962816881714</v>
      </c>
      <c r="R6" t="str">
        <f t="shared" si="1"/>
        <v>NO</v>
      </c>
      <c r="S6">
        <f t="shared" si="2"/>
        <v>3.4053452679102278</v>
      </c>
      <c r="T6" s="8"/>
      <c r="U6" t="str">
        <f t="shared" si="3"/>
        <v>YES</v>
      </c>
    </row>
    <row r="7" spans="1:21" x14ac:dyDescent="0.25">
      <c r="A7" t="s">
        <v>101</v>
      </c>
      <c r="B7">
        <v>14.51</v>
      </c>
      <c r="C7">
        <v>13.908045980000001</v>
      </c>
      <c r="D7">
        <v>-15.1</v>
      </c>
      <c r="E7">
        <v>-16.5</v>
      </c>
      <c r="F7" s="8"/>
      <c r="G7" t="s">
        <v>33</v>
      </c>
      <c r="H7" s="8"/>
      <c r="I7" t="s">
        <v>33</v>
      </c>
      <c r="J7" s="10">
        <v>-2.5684433709537249</v>
      </c>
      <c r="K7" s="10">
        <v>3.3805767408726748</v>
      </c>
      <c r="L7" s="10">
        <v>1.8203270623326699E-3</v>
      </c>
      <c r="M7" s="10">
        <v>0.68215381151320575</v>
      </c>
      <c r="N7" s="10">
        <v>0.26714618782700711</v>
      </c>
      <c r="O7" s="10">
        <v>4.8879672832161269E-2</v>
      </c>
      <c r="P7" s="10">
        <v>7.6529308000000002E-10</v>
      </c>
      <c r="Q7" s="10">
        <f t="shared" si="0"/>
        <v>0.68215381151320575</v>
      </c>
      <c r="R7" t="str">
        <f t="shared" si="1"/>
        <v>YES</v>
      </c>
      <c r="S7">
        <f t="shared" si="2"/>
        <v>8.584703371914717</v>
      </c>
      <c r="T7" s="8"/>
      <c r="U7" t="str">
        <f t="shared" si="3"/>
        <v>YES</v>
      </c>
    </row>
    <row r="8" spans="1:21" x14ac:dyDescent="0.25">
      <c r="A8" t="s">
        <v>102</v>
      </c>
      <c r="B8">
        <v>11.5</v>
      </c>
      <c r="C8">
        <v>10.448275860000001</v>
      </c>
      <c r="D8">
        <v>-14.64</v>
      </c>
      <c r="E8">
        <v>-15.98888889</v>
      </c>
      <c r="F8" s="8"/>
      <c r="G8" t="s">
        <v>76</v>
      </c>
      <c r="H8" s="8"/>
      <c r="I8" t="s">
        <v>76</v>
      </c>
      <c r="J8" s="10">
        <v>-0.91251379651303033</v>
      </c>
      <c r="K8" s="10">
        <v>2.0047969281380462</v>
      </c>
      <c r="L8" s="10">
        <v>5.1721883639020208E-2</v>
      </c>
      <c r="M8" s="10">
        <v>0.24126807251692872</v>
      </c>
      <c r="N8" s="10">
        <v>0.24481114459712619</v>
      </c>
      <c r="O8" s="10">
        <v>0.46217893310232694</v>
      </c>
      <c r="P8" s="10">
        <v>1.9966144598000001E-5</v>
      </c>
      <c r="Q8" s="10">
        <f t="shared" si="0"/>
        <v>0.46217893310232694</v>
      </c>
      <c r="R8" t="str">
        <f t="shared" si="1"/>
        <v>NO</v>
      </c>
      <c r="S8">
        <f t="shared" si="2"/>
        <v>3.4374178443274856</v>
      </c>
      <c r="T8" s="8"/>
      <c r="U8" t="str">
        <f t="shared" si="3"/>
        <v>YES</v>
      </c>
    </row>
    <row r="9" spans="1:21" x14ac:dyDescent="0.25">
      <c r="A9" t="s">
        <v>103</v>
      </c>
      <c r="B9">
        <v>11.68</v>
      </c>
      <c r="C9">
        <v>10.65517241</v>
      </c>
      <c r="D9">
        <v>-15.62</v>
      </c>
      <c r="E9">
        <v>-17.077777780000002</v>
      </c>
      <c r="F9" s="8"/>
      <c r="G9" t="s">
        <v>33</v>
      </c>
      <c r="H9" s="8"/>
      <c r="I9" t="s">
        <v>33</v>
      </c>
      <c r="J9" s="10">
        <v>-1.5603526676229187</v>
      </c>
      <c r="K9" s="10">
        <v>1.7063397406200007</v>
      </c>
      <c r="L9" s="10">
        <v>6.8429734355031122E-2</v>
      </c>
      <c r="M9" s="10">
        <v>0.41626242969979343</v>
      </c>
      <c r="N9" s="10">
        <v>0.18333139093451298</v>
      </c>
      <c r="O9" s="10">
        <v>0.33197563346092807</v>
      </c>
      <c r="P9" s="10">
        <v>8.1154973442999995E-7</v>
      </c>
      <c r="Q9" s="10">
        <f t="shared" si="0"/>
        <v>0.41626242969979343</v>
      </c>
      <c r="R9" t="str">
        <f t="shared" si="1"/>
        <v>NO</v>
      </c>
      <c r="S9">
        <f t="shared" si="2"/>
        <v>2.8523943009919104</v>
      </c>
      <c r="T9" s="8"/>
      <c r="U9" t="str">
        <f t="shared" si="3"/>
        <v>YES</v>
      </c>
    </row>
    <row r="10" spans="1:21" x14ac:dyDescent="0.25">
      <c r="A10" t="s">
        <v>104</v>
      </c>
      <c r="B10">
        <v>10.95</v>
      </c>
      <c r="C10">
        <v>9.8160919539999991</v>
      </c>
      <c r="D10">
        <v>-16.46</v>
      </c>
      <c r="E10">
        <v>-18.011111110000002</v>
      </c>
      <c r="F10" s="8"/>
      <c r="G10" t="s">
        <v>32</v>
      </c>
      <c r="H10" s="8"/>
      <c r="I10" t="s">
        <v>33</v>
      </c>
      <c r="J10" s="10">
        <v>-1.7077098252628744</v>
      </c>
      <c r="K10" s="10">
        <v>0.99035541140184069</v>
      </c>
      <c r="L10" s="10">
        <v>0.18114193258902878</v>
      </c>
      <c r="M10" s="10">
        <v>0.38055183755970701</v>
      </c>
      <c r="N10" s="10">
        <v>9.6911174748853982E-2</v>
      </c>
      <c r="O10" s="10">
        <v>0.34139453711104495</v>
      </c>
      <c r="P10" s="10">
        <v>5.1799136541000002E-7</v>
      </c>
      <c r="Q10" s="10">
        <f t="shared" si="0"/>
        <v>0.38055183755970701</v>
      </c>
      <c r="R10" t="str">
        <f t="shared" si="1"/>
        <v>NO</v>
      </c>
      <c r="S10">
        <f t="shared" si="2"/>
        <v>2.4573603451209682</v>
      </c>
      <c r="T10" s="8"/>
      <c r="U10" t="str">
        <f t="shared" si="3"/>
        <v>NO</v>
      </c>
    </row>
    <row r="11" spans="1:21" x14ac:dyDescent="0.25">
      <c r="A11" t="s">
        <v>105</v>
      </c>
      <c r="B11">
        <v>11.45</v>
      </c>
      <c r="C11">
        <v>10.390804599999999</v>
      </c>
      <c r="D11">
        <v>-14.88</v>
      </c>
      <c r="E11">
        <v>-16.255555560000001</v>
      </c>
      <c r="F11" s="8"/>
      <c r="G11" t="s">
        <v>32</v>
      </c>
      <c r="H11" s="8"/>
      <c r="I11" t="s">
        <v>76</v>
      </c>
      <c r="J11" s="10">
        <v>-1.0245176450239093</v>
      </c>
      <c r="K11" s="10">
        <v>1.8837456884884691</v>
      </c>
      <c r="L11" s="10">
        <v>6.1107844856332097E-2</v>
      </c>
      <c r="M11" s="10">
        <v>0.26458544270954848</v>
      </c>
      <c r="N11" s="10">
        <v>0.22365158277735997</v>
      </c>
      <c r="O11" s="10">
        <v>0.45064305480490263</v>
      </c>
      <c r="P11" s="10">
        <v>1.207485185689E-5</v>
      </c>
      <c r="Q11" s="10">
        <f t="shared" si="0"/>
        <v>0.45064305480490263</v>
      </c>
      <c r="R11" t="str">
        <f t="shared" si="1"/>
        <v>NO</v>
      </c>
      <c r="S11">
        <f t="shared" si="2"/>
        <v>3.2812404302624212</v>
      </c>
      <c r="T11" s="8"/>
      <c r="U11" t="str">
        <f t="shared" si="3"/>
        <v>NO</v>
      </c>
    </row>
    <row r="12" spans="1:21" x14ac:dyDescent="0.25">
      <c r="A12" t="s">
        <v>106</v>
      </c>
      <c r="B12">
        <v>8.41</v>
      </c>
      <c r="C12">
        <v>6.896551724</v>
      </c>
      <c r="D12">
        <v>-16.2</v>
      </c>
      <c r="E12">
        <v>-17.722222219999999</v>
      </c>
      <c r="F12" s="8"/>
      <c r="G12" t="s">
        <v>76</v>
      </c>
      <c r="H12" s="8"/>
      <c r="I12" t="s">
        <v>32</v>
      </c>
      <c r="J12" s="10">
        <v>-0.38646279409503137</v>
      </c>
      <c r="K12" s="10">
        <v>-0.21965783740241474</v>
      </c>
      <c r="L12" s="10">
        <v>0.56793829957730502</v>
      </c>
      <c r="M12" s="10">
        <v>2.9665104750519481E-2</v>
      </c>
      <c r="N12" s="10">
        <v>1.517636036518588E-2</v>
      </c>
      <c r="O12" s="10">
        <v>0.38688351134604215</v>
      </c>
      <c r="P12" s="10">
        <v>3.3672396094747999E-4</v>
      </c>
      <c r="Q12" s="10">
        <f t="shared" si="0"/>
        <v>0.56793829957730502</v>
      </c>
      <c r="R12" t="str">
        <f t="shared" si="1"/>
        <v>NO</v>
      </c>
      <c r="S12">
        <f t="shared" si="2"/>
        <v>5.2579369939217395</v>
      </c>
      <c r="T12" s="8"/>
      <c r="U12" t="str">
        <f t="shared" si="3"/>
        <v>NO</v>
      </c>
    </row>
    <row r="13" spans="1:21" x14ac:dyDescent="0.25">
      <c r="A13" t="s">
        <v>107</v>
      </c>
      <c r="B13">
        <v>10.64</v>
      </c>
      <c r="C13">
        <v>9.4597701149999995</v>
      </c>
      <c r="D13">
        <v>-15.9</v>
      </c>
      <c r="E13">
        <v>-17.38888889</v>
      </c>
      <c r="F13" s="8"/>
      <c r="G13" t="s">
        <v>76</v>
      </c>
      <c r="H13" s="8"/>
      <c r="I13" t="s">
        <v>76</v>
      </c>
      <c r="J13" s="10">
        <v>-1.2456127728322386</v>
      </c>
      <c r="K13" s="10">
        <v>1.0580389832022483</v>
      </c>
      <c r="L13" s="10">
        <v>0.18657590012332442</v>
      </c>
      <c r="M13" s="10">
        <v>0.25216619453009587</v>
      </c>
      <c r="N13" s="10">
        <v>0.10748708167839517</v>
      </c>
      <c r="O13" s="10">
        <v>0.45376526821521573</v>
      </c>
      <c r="P13" s="10">
        <v>5.5554529686200002E-6</v>
      </c>
      <c r="Q13" s="10">
        <f t="shared" si="0"/>
        <v>0.45376526821521573</v>
      </c>
      <c r="R13" t="str">
        <f t="shared" si="1"/>
        <v>NO</v>
      </c>
      <c r="S13">
        <f t="shared" si="2"/>
        <v>3.3228591432300112</v>
      </c>
      <c r="T13" s="8"/>
      <c r="U13" t="str">
        <f t="shared" si="3"/>
        <v>YES</v>
      </c>
    </row>
    <row r="14" spans="1:21" x14ac:dyDescent="0.25">
      <c r="A14" t="s">
        <v>108</v>
      </c>
      <c r="B14">
        <v>13.39</v>
      </c>
      <c r="C14">
        <v>12.62068966</v>
      </c>
      <c r="D14">
        <v>-14.95</v>
      </c>
      <c r="E14">
        <v>-16.333333329999999</v>
      </c>
      <c r="F14" s="8"/>
      <c r="G14" t="s">
        <v>33</v>
      </c>
      <c r="H14" s="8"/>
      <c r="I14" t="s">
        <v>33</v>
      </c>
      <c r="J14" s="10">
        <v>-1.9631372232250968</v>
      </c>
      <c r="K14" s="10">
        <v>2.864684562013208</v>
      </c>
      <c r="L14" s="10">
        <v>7.5187966015490904E-3</v>
      </c>
      <c r="M14" s="10">
        <v>0.55434829877023895</v>
      </c>
      <c r="N14" s="10">
        <v>0.30526026965337155</v>
      </c>
      <c r="O14" s="10">
        <v>0.13287259718203209</v>
      </c>
      <c r="P14" s="10">
        <v>3.7792808359999999E-8</v>
      </c>
      <c r="Q14" s="10">
        <f t="shared" si="0"/>
        <v>0.55434829877023895</v>
      </c>
      <c r="R14" t="str">
        <f t="shared" si="1"/>
        <v>NO</v>
      </c>
      <c r="S14">
        <f t="shared" si="2"/>
        <v>4.9756192761345526</v>
      </c>
      <c r="T14" s="8"/>
      <c r="U14" t="str">
        <f t="shared" si="3"/>
        <v>YES</v>
      </c>
    </row>
    <row r="15" spans="1:21" x14ac:dyDescent="0.25">
      <c r="A15" t="s">
        <v>109</v>
      </c>
      <c r="B15">
        <v>11.35</v>
      </c>
      <c r="C15">
        <v>10.275862070000001</v>
      </c>
      <c r="D15">
        <v>-15.45</v>
      </c>
      <c r="E15">
        <v>-16.88888889</v>
      </c>
      <c r="F15" s="8"/>
      <c r="G15" t="s">
        <v>32</v>
      </c>
      <c r="H15" s="8"/>
      <c r="I15" t="s">
        <v>76</v>
      </c>
      <c r="J15" s="10">
        <v>-1.3112597149593643</v>
      </c>
      <c r="K15" s="10">
        <v>1.6056818942767093</v>
      </c>
      <c r="L15" s="10">
        <v>8.6868507449275462E-2</v>
      </c>
      <c r="M15" s="10">
        <v>0.32844893108602691</v>
      </c>
      <c r="N15" s="10">
        <v>0.17702325125103349</v>
      </c>
      <c r="O15" s="10">
        <v>0.40765612216012309</v>
      </c>
      <c r="P15" s="10">
        <v>3.1880535410800001E-6</v>
      </c>
      <c r="Q15" s="10">
        <f t="shared" si="0"/>
        <v>0.40765612216012309</v>
      </c>
      <c r="R15" t="str">
        <f t="shared" si="1"/>
        <v>NO</v>
      </c>
      <c r="S15">
        <f t="shared" si="2"/>
        <v>2.7528342060138331</v>
      </c>
      <c r="T15" s="8"/>
      <c r="U15" t="str">
        <f t="shared" si="3"/>
        <v>NO</v>
      </c>
    </row>
    <row r="16" spans="1:21" x14ac:dyDescent="0.25">
      <c r="A16" t="s">
        <v>110</v>
      </c>
      <c r="B16">
        <v>11.65</v>
      </c>
      <c r="C16">
        <v>10.62068966</v>
      </c>
      <c r="D16">
        <v>-14.12</v>
      </c>
      <c r="E16">
        <v>-15.41111111</v>
      </c>
      <c r="F16" s="8"/>
      <c r="G16" t="s">
        <v>76</v>
      </c>
      <c r="H16" s="8"/>
      <c r="I16" t="s">
        <v>76</v>
      </c>
      <c r="J16" s="10">
        <v>-0.68164138839139099</v>
      </c>
      <c r="K16" s="10">
        <v>2.2965874421651016</v>
      </c>
      <c r="L16" s="10">
        <v>3.366498449806337E-2</v>
      </c>
      <c r="M16" s="10">
        <v>0.19702637625601843</v>
      </c>
      <c r="N16" s="10">
        <v>0.29819990005568792</v>
      </c>
      <c r="O16" s="10">
        <v>0.47105489413860185</v>
      </c>
      <c r="P16" s="10">
        <v>5.3845051628500002E-5</v>
      </c>
      <c r="Q16" s="10">
        <f t="shared" si="0"/>
        <v>0.47105489413860185</v>
      </c>
      <c r="R16" t="str">
        <f t="shared" si="1"/>
        <v>NO</v>
      </c>
      <c r="S16">
        <f t="shared" si="2"/>
        <v>3.5622214019466476</v>
      </c>
      <c r="T16" s="8"/>
      <c r="U16" t="str">
        <f t="shared" si="3"/>
        <v>YES</v>
      </c>
    </row>
    <row r="17" spans="1:21" x14ac:dyDescent="0.25">
      <c r="A17" t="s">
        <v>111</v>
      </c>
      <c r="B17">
        <v>11.63</v>
      </c>
      <c r="C17">
        <v>10.597701150000001</v>
      </c>
      <c r="D17">
        <v>-13.56</v>
      </c>
      <c r="E17">
        <v>-14.788888890000001</v>
      </c>
      <c r="F17" s="8"/>
      <c r="G17" t="s">
        <v>76</v>
      </c>
      <c r="H17" s="8"/>
      <c r="I17" t="s">
        <v>76</v>
      </c>
      <c r="J17" s="10">
        <v>-0.34462430497635665</v>
      </c>
      <c r="K17" s="10">
        <v>2.5087314892055952</v>
      </c>
      <c r="L17" s="10">
        <v>2.4487881862610389E-2</v>
      </c>
      <c r="M17" s="10">
        <v>0.13776655335345575</v>
      </c>
      <c r="N17" s="10">
        <v>0.33214705996980676</v>
      </c>
      <c r="O17" s="10">
        <v>0.50534511038750429</v>
      </c>
      <c r="P17" s="10">
        <v>2.5339442662289998E-4</v>
      </c>
      <c r="Q17" s="10">
        <f t="shared" si="0"/>
        <v>0.50534511038750429</v>
      </c>
      <c r="R17" t="str">
        <f t="shared" si="1"/>
        <v>NO</v>
      </c>
      <c r="S17">
        <f t="shared" si="2"/>
        <v>4.0864458918692437</v>
      </c>
      <c r="T17" s="8"/>
      <c r="U17" t="str">
        <f t="shared" si="3"/>
        <v>YES</v>
      </c>
    </row>
    <row r="18" spans="1:21" x14ac:dyDescent="0.25">
      <c r="A18" t="s">
        <v>112</v>
      </c>
      <c r="B18">
        <v>10.119999999999999</v>
      </c>
      <c r="C18">
        <v>8.8620689660000007</v>
      </c>
      <c r="D18">
        <v>-13.81</v>
      </c>
      <c r="E18">
        <v>-15.06666667</v>
      </c>
      <c r="F18" s="8"/>
      <c r="G18" t="s">
        <v>76</v>
      </c>
      <c r="H18" s="8"/>
      <c r="I18" t="s">
        <v>76</v>
      </c>
      <c r="J18" s="10">
        <v>0.20622470272446236</v>
      </c>
      <c r="K18" s="10">
        <v>1.6244656386798013</v>
      </c>
      <c r="L18" s="10">
        <v>8.5190975118176124E-2</v>
      </c>
      <c r="M18" s="10">
        <v>5.3176488704322372E-2</v>
      </c>
      <c r="N18" s="10">
        <v>0.13903117010802113</v>
      </c>
      <c r="O18" s="10">
        <v>0.71696899336707354</v>
      </c>
      <c r="P18" s="10">
        <v>5.6323727024068602E-3</v>
      </c>
      <c r="Q18" s="10">
        <f t="shared" si="0"/>
        <v>0.71696899336707354</v>
      </c>
      <c r="R18" t="str">
        <f t="shared" si="1"/>
        <v>YES</v>
      </c>
      <c r="S18">
        <f t="shared" si="2"/>
        <v>10.13272717920885</v>
      </c>
      <c r="T18" s="8"/>
      <c r="U18" t="str">
        <f t="shared" si="3"/>
        <v>YES</v>
      </c>
    </row>
    <row r="19" spans="1:21" x14ac:dyDescent="0.25">
      <c r="A19" t="s">
        <v>113</v>
      </c>
      <c r="B19">
        <v>11.08</v>
      </c>
      <c r="C19">
        <v>9.9655172410000006</v>
      </c>
      <c r="D19">
        <v>-15.47</v>
      </c>
      <c r="E19">
        <v>-16.91111111</v>
      </c>
      <c r="F19" s="8"/>
      <c r="G19" t="s">
        <v>32</v>
      </c>
      <c r="H19" s="8"/>
      <c r="I19" t="s">
        <v>76</v>
      </c>
      <c r="J19" s="10">
        <v>-1.1960168378668268</v>
      </c>
      <c r="K19" s="10">
        <v>1.4552412813675657</v>
      </c>
      <c r="L19" s="10">
        <v>0.11097291782540573</v>
      </c>
      <c r="M19" s="10">
        <v>0.28123717317706654</v>
      </c>
      <c r="N19" s="10">
        <v>0.15714113096613655</v>
      </c>
      <c r="O19" s="10">
        <v>0.45064256958011589</v>
      </c>
      <c r="P19" s="10">
        <v>6.20845127531E-6</v>
      </c>
      <c r="Q19" s="10">
        <f t="shared" si="0"/>
        <v>0.45064256958011589</v>
      </c>
      <c r="R19" t="str">
        <f t="shared" si="1"/>
        <v>NO</v>
      </c>
      <c r="S19">
        <f t="shared" si="2"/>
        <v>3.2812339990427102</v>
      </c>
      <c r="T19" s="8"/>
      <c r="U19" t="str">
        <f t="shared" si="3"/>
        <v>NO</v>
      </c>
    </row>
    <row r="20" spans="1:21" x14ac:dyDescent="0.25">
      <c r="A20" t="s">
        <v>114</v>
      </c>
      <c r="B20">
        <v>10.24</v>
      </c>
      <c r="C20">
        <v>9</v>
      </c>
      <c r="D20">
        <v>-17.79</v>
      </c>
      <c r="E20">
        <v>-19.488888889999998</v>
      </c>
      <c r="F20" s="8"/>
      <c r="G20" t="s">
        <v>32</v>
      </c>
      <c r="H20" s="8"/>
      <c r="I20" t="s">
        <v>32</v>
      </c>
      <c r="J20" s="10">
        <v>-2.1507510947420378</v>
      </c>
      <c r="K20" s="10">
        <v>8.9245516109894396E-2</v>
      </c>
      <c r="L20" s="10">
        <v>0.42599594874678187</v>
      </c>
      <c r="M20" s="10">
        <v>0.32053508769992922</v>
      </c>
      <c r="N20" s="10">
        <v>3.1387841893809831E-2</v>
      </c>
      <c r="O20" s="10">
        <v>0.2220810645201293</v>
      </c>
      <c r="P20" s="10">
        <v>5.7139349840000001E-8</v>
      </c>
      <c r="Q20" s="10">
        <f t="shared" si="0"/>
        <v>0.42599594874678187</v>
      </c>
      <c r="R20" t="str">
        <f t="shared" si="1"/>
        <v>NO</v>
      </c>
      <c r="S20">
        <f t="shared" si="2"/>
        <v>2.9685919311315563</v>
      </c>
      <c r="T20" s="8"/>
      <c r="U20" t="str">
        <f t="shared" si="3"/>
        <v>YES</v>
      </c>
    </row>
    <row r="21" spans="1:21" x14ac:dyDescent="0.25">
      <c r="A21" t="s">
        <v>115</v>
      </c>
      <c r="B21">
        <v>11.51</v>
      </c>
      <c r="C21">
        <v>10.459770109999999</v>
      </c>
      <c r="D21">
        <v>-14.26</v>
      </c>
      <c r="E21">
        <v>-15.56666667</v>
      </c>
      <c r="F21" s="8"/>
      <c r="G21" t="s">
        <v>76</v>
      </c>
      <c r="H21" s="8"/>
      <c r="I21" t="s">
        <v>76</v>
      </c>
      <c r="J21" s="10">
        <v>-0.69813544801450078</v>
      </c>
      <c r="K21" s="10">
        <v>2.1630838548971987</v>
      </c>
      <c r="L21" s="10">
        <v>4.1556547932925438E-2</v>
      </c>
      <c r="M21" s="10">
        <v>0.19684621384614628</v>
      </c>
      <c r="N21" s="10">
        <v>0.27206964574145476</v>
      </c>
      <c r="O21" s="10">
        <v>0.48947377523710239</v>
      </c>
      <c r="P21" s="10">
        <v>5.3817242371279998E-5</v>
      </c>
      <c r="Q21" s="10">
        <f t="shared" si="0"/>
        <v>0.48947377523710239</v>
      </c>
      <c r="R21" t="str">
        <f t="shared" si="1"/>
        <v>NO</v>
      </c>
      <c r="S21">
        <f t="shared" si="2"/>
        <v>3.835052943377609</v>
      </c>
      <c r="T21" s="8"/>
      <c r="U21" t="str">
        <f t="shared" si="3"/>
        <v>YES</v>
      </c>
    </row>
    <row r="22" spans="1:21" x14ac:dyDescent="0.25">
      <c r="A22" t="s">
        <v>116</v>
      </c>
      <c r="B22">
        <v>8.11</v>
      </c>
      <c r="C22">
        <v>6.551724138</v>
      </c>
      <c r="D22">
        <v>-14.54</v>
      </c>
      <c r="E22">
        <v>-15.877777780000001</v>
      </c>
      <c r="F22" s="8"/>
      <c r="G22" t="s">
        <v>32</v>
      </c>
      <c r="H22" s="8"/>
      <c r="I22" t="s">
        <v>76</v>
      </c>
      <c r="J22" s="10">
        <v>0.71053779410252993</v>
      </c>
      <c r="K22" s="10">
        <v>0.29597891210156835</v>
      </c>
      <c r="L22" s="10">
        <v>0.30631401048842155</v>
      </c>
      <c r="M22" s="10">
        <v>1.038952564665648E-2</v>
      </c>
      <c r="N22" s="10">
        <v>2.196552458140303E-2</v>
      </c>
      <c r="O22" s="10">
        <v>0.59454191972873682</v>
      </c>
      <c r="P22" s="10">
        <v>6.6789019554782086E-2</v>
      </c>
      <c r="Q22" s="10">
        <f t="shared" si="0"/>
        <v>0.59454191972873682</v>
      </c>
      <c r="R22" t="str">
        <f t="shared" si="1"/>
        <v>NO</v>
      </c>
      <c r="S22">
        <f t="shared" si="2"/>
        <v>5.8653848440358729</v>
      </c>
      <c r="T22" s="8"/>
      <c r="U22" t="str">
        <f t="shared" si="3"/>
        <v>NO</v>
      </c>
    </row>
    <row r="23" spans="1:21" x14ac:dyDescent="0.25">
      <c r="A23" t="s">
        <v>117</v>
      </c>
      <c r="B23">
        <v>11.55</v>
      </c>
      <c r="C23">
        <v>10.50574713</v>
      </c>
      <c r="D23">
        <v>-14.76</v>
      </c>
      <c r="E23">
        <v>-16.122222220000001</v>
      </c>
      <c r="F23" s="8"/>
      <c r="G23" t="s">
        <v>76</v>
      </c>
      <c r="H23" s="8"/>
      <c r="I23" t="s">
        <v>76</v>
      </c>
      <c r="J23" s="10">
        <v>-0.99989764911259016</v>
      </c>
      <c r="K23" s="10">
        <v>1.9847610404063243</v>
      </c>
      <c r="L23" s="10">
        <v>5.2528622015874861E-2</v>
      </c>
      <c r="M23" s="10">
        <v>0.26302570103347944</v>
      </c>
      <c r="N23" s="10">
        <v>0.24115124744408228</v>
      </c>
      <c r="O23" s="10">
        <v>0.44328150137005817</v>
      </c>
      <c r="P23" s="10">
        <v>1.292813650521E-5</v>
      </c>
      <c r="Q23" s="10">
        <f t="shared" si="0"/>
        <v>0.44328150137005817</v>
      </c>
      <c r="R23" t="str">
        <f t="shared" si="1"/>
        <v>NO</v>
      </c>
      <c r="S23">
        <f t="shared" si="2"/>
        <v>3.1849597414919977</v>
      </c>
      <c r="T23" s="8"/>
      <c r="U23" t="str">
        <f t="shared" si="3"/>
        <v>YES</v>
      </c>
    </row>
    <row r="24" spans="1:21" x14ac:dyDescent="0.25">
      <c r="A24" t="s">
        <v>118</v>
      </c>
      <c r="B24">
        <v>14.25</v>
      </c>
      <c r="C24">
        <v>13.609195400000001</v>
      </c>
      <c r="D24">
        <v>-17.25</v>
      </c>
      <c r="E24">
        <v>-18.88888889</v>
      </c>
      <c r="F24" s="8"/>
      <c r="G24" t="s">
        <v>33</v>
      </c>
      <c r="H24" s="8"/>
      <c r="I24" t="s">
        <v>76</v>
      </c>
      <c r="J24" s="10">
        <v>0.23688605882156644</v>
      </c>
      <c r="K24" s="10">
        <v>-7.9755249101873815E-2</v>
      </c>
      <c r="L24" s="10">
        <v>0.47624288564885403</v>
      </c>
      <c r="M24" s="10">
        <v>1.4926350708621521E-2</v>
      </c>
      <c r="N24" s="10">
        <v>1.5714760580070718E-2</v>
      </c>
      <c r="O24" s="10">
        <v>0.48613412191235578</v>
      </c>
      <c r="P24" s="10">
        <v>6.98188115009786E-3</v>
      </c>
      <c r="Q24" s="10">
        <f t="shared" si="0"/>
        <v>0.48613412191235578</v>
      </c>
      <c r="R24" t="str">
        <f t="shared" si="1"/>
        <v>NO</v>
      </c>
      <c r="S24">
        <f t="shared" si="2"/>
        <v>3.784132339913346</v>
      </c>
      <c r="T24" s="8"/>
      <c r="U24" t="str">
        <f t="shared" si="3"/>
        <v>NO</v>
      </c>
    </row>
    <row r="25" spans="1:21" x14ac:dyDescent="0.25">
      <c r="A25" t="s">
        <v>119</v>
      </c>
      <c r="B25">
        <v>8.06</v>
      </c>
      <c r="C25">
        <v>6.4942528739999998</v>
      </c>
      <c r="D25">
        <v>-15.4</v>
      </c>
      <c r="E25">
        <v>-16.833333329999999</v>
      </c>
      <c r="F25" s="8"/>
      <c r="G25" t="s">
        <v>76</v>
      </c>
      <c r="H25" s="8"/>
      <c r="I25" t="s">
        <v>33</v>
      </c>
      <c r="J25" s="10">
        <v>-3.6927506675113762</v>
      </c>
      <c r="K25" s="10">
        <v>2.3832278484810026</v>
      </c>
      <c r="L25" s="10">
        <v>3.5316553935900502E-3</v>
      </c>
      <c r="M25" s="10">
        <v>0.91385460221809733</v>
      </c>
      <c r="N25" s="10">
        <v>6.4521930670319597E-2</v>
      </c>
      <c r="O25" s="10">
        <v>1.8091811715784091E-2</v>
      </c>
      <c r="P25" s="10">
        <v>2.2090199999999998E-12</v>
      </c>
      <c r="Q25" s="10">
        <f t="shared" si="0"/>
        <v>0.91385460221809733</v>
      </c>
      <c r="R25" t="str">
        <f t="shared" si="1"/>
        <v>YES</v>
      </c>
      <c r="S25">
        <f t="shared" si="2"/>
        <v>42.433124728577383</v>
      </c>
      <c r="T25" s="8"/>
      <c r="U25" t="str">
        <f t="shared" si="3"/>
        <v>NO</v>
      </c>
    </row>
    <row r="26" spans="1:21" x14ac:dyDescent="0.25">
      <c r="A26" t="s">
        <v>120</v>
      </c>
      <c r="B26">
        <v>15.16</v>
      </c>
      <c r="C26">
        <v>14.65517241</v>
      </c>
      <c r="D26">
        <v>-16.34</v>
      </c>
      <c r="E26">
        <v>-17.877777779999999</v>
      </c>
      <c r="F26" s="8"/>
      <c r="G26" t="s">
        <v>33</v>
      </c>
      <c r="H26" s="8"/>
      <c r="I26" t="s">
        <v>33</v>
      </c>
      <c r="J26" s="10">
        <v>-3.5877427532687634</v>
      </c>
      <c r="K26" s="10">
        <v>3.2189531399174021</v>
      </c>
      <c r="L26" s="10">
        <v>9.0270904130321998E-4</v>
      </c>
      <c r="M26" s="10">
        <v>0.87609926358323087</v>
      </c>
      <c r="N26" s="10">
        <v>0.10939620959520067</v>
      </c>
      <c r="O26" s="10">
        <v>1.3601817778129971E-2</v>
      </c>
      <c r="P26" s="10">
        <v>2.13537E-12</v>
      </c>
      <c r="Q26" s="10">
        <f t="shared" si="0"/>
        <v>0.87609926358323087</v>
      </c>
      <c r="R26" t="str">
        <f t="shared" si="1"/>
        <v>YES</v>
      </c>
      <c r="S26">
        <f t="shared" si="2"/>
        <v>28.283908196841249</v>
      </c>
      <c r="T26" s="8"/>
      <c r="U26" t="str">
        <f t="shared" si="3"/>
        <v>YES</v>
      </c>
    </row>
    <row r="27" spans="1:21" x14ac:dyDescent="0.25">
      <c r="A27" t="s">
        <v>121</v>
      </c>
      <c r="B27">
        <v>13.74</v>
      </c>
      <c r="C27">
        <v>13.022988509999999</v>
      </c>
      <c r="D27">
        <v>-17.32</v>
      </c>
      <c r="E27">
        <v>-18.966666669999999</v>
      </c>
      <c r="F27" s="8"/>
      <c r="G27" t="s">
        <v>33</v>
      </c>
      <c r="H27" s="8"/>
      <c r="I27" t="s">
        <v>33</v>
      </c>
      <c r="J27" s="10">
        <v>-3.4934621665967711</v>
      </c>
      <c r="K27" s="10">
        <v>2.0928670032963499</v>
      </c>
      <c r="L27" s="10">
        <v>7.3063375473719399E-3</v>
      </c>
      <c r="M27" s="10">
        <v>0.898241321663095</v>
      </c>
      <c r="N27" s="10">
        <v>6.6381833049410338E-2</v>
      </c>
      <c r="O27" s="10">
        <v>2.8070507730922359E-2</v>
      </c>
      <c r="P27" s="10">
        <v>9.2003099999999992E-12</v>
      </c>
      <c r="Q27" s="10">
        <f t="shared" si="0"/>
        <v>0.898241321663095</v>
      </c>
      <c r="R27" t="str">
        <f t="shared" si="1"/>
        <v>YES</v>
      </c>
      <c r="S27">
        <f t="shared" si="2"/>
        <v>35.308686643479263</v>
      </c>
      <c r="T27" s="8"/>
      <c r="U27" t="str">
        <f t="shared" si="3"/>
        <v>YES</v>
      </c>
    </row>
    <row r="28" spans="1:21" x14ac:dyDescent="0.25">
      <c r="A28" t="s">
        <v>122</v>
      </c>
      <c r="B28">
        <v>11.29</v>
      </c>
      <c r="C28">
        <v>10.20689655</v>
      </c>
      <c r="D28">
        <v>-16.14</v>
      </c>
      <c r="E28">
        <v>-17.65555556</v>
      </c>
      <c r="F28" s="8"/>
      <c r="G28" t="s">
        <v>33</v>
      </c>
      <c r="H28" s="8"/>
      <c r="I28" t="s">
        <v>33</v>
      </c>
      <c r="J28" s="10">
        <v>-1.6841127526647384</v>
      </c>
      <c r="K28" s="10">
        <v>1.2966020252839927</v>
      </c>
      <c r="L28" s="10">
        <v>0.12007338693034356</v>
      </c>
      <c r="M28" s="10">
        <v>0.4168985531194786</v>
      </c>
      <c r="N28" s="10">
        <v>0.12883886015229695</v>
      </c>
      <c r="O28" s="10">
        <v>0.33418868028633875</v>
      </c>
      <c r="P28" s="10">
        <v>5.1951154218000001E-7</v>
      </c>
      <c r="Q28" s="10">
        <f t="shared" si="0"/>
        <v>0.4168985531194786</v>
      </c>
      <c r="R28" t="str">
        <f t="shared" si="1"/>
        <v>NO</v>
      </c>
      <c r="S28">
        <f t="shared" si="2"/>
        <v>2.859869790066921</v>
      </c>
      <c r="T28" s="8"/>
      <c r="U28" t="str">
        <f t="shared" si="3"/>
        <v>YES</v>
      </c>
    </row>
    <row r="29" spans="1:21" x14ac:dyDescent="0.25">
      <c r="A29" t="s">
        <v>123</v>
      </c>
      <c r="B29">
        <v>11.9</v>
      </c>
      <c r="C29">
        <v>10.908045980000001</v>
      </c>
      <c r="D29">
        <v>-17.16</v>
      </c>
      <c r="E29">
        <v>-18.788888889999999</v>
      </c>
      <c r="F29" s="8"/>
      <c r="G29" t="s">
        <v>32</v>
      </c>
      <c r="H29" s="8"/>
      <c r="I29" t="s">
        <v>33</v>
      </c>
      <c r="J29" s="10">
        <v>-2.5487081080784204</v>
      </c>
      <c r="K29" s="10">
        <v>1.201792394281596</v>
      </c>
      <c r="L29" s="10">
        <v>8.2125942549442138E-2</v>
      </c>
      <c r="M29" s="10">
        <v>0.68777685656602883</v>
      </c>
      <c r="N29" s="10">
        <v>8.2515009644061998E-2</v>
      </c>
      <c r="O29" s="10">
        <v>0.1475821866675861</v>
      </c>
      <c r="P29" s="10">
        <v>4.5728809499999999E-9</v>
      </c>
      <c r="Q29" s="10">
        <f t="shared" si="0"/>
        <v>0.68777685656602883</v>
      </c>
      <c r="R29" t="str">
        <f t="shared" si="1"/>
        <v>YES</v>
      </c>
      <c r="S29">
        <f t="shared" si="2"/>
        <v>8.8113501004640238</v>
      </c>
      <c r="T29" s="8"/>
      <c r="U29" t="str">
        <f t="shared" si="3"/>
        <v>NO</v>
      </c>
    </row>
    <row r="30" spans="1:21" x14ac:dyDescent="0.25">
      <c r="A30" t="s">
        <v>124</v>
      </c>
      <c r="B30">
        <v>8.24</v>
      </c>
      <c r="C30">
        <v>6.7011494249999997</v>
      </c>
      <c r="D30">
        <v>-15.18</v>
      </c>
      <c r="E30">
        <v>-16.58888889</v>
      </c>
      <c r="F30" s="8"/>
      <c r="G30" t="s">
        <v>76</v>
      </c>
      <c r="H30" s="8"/>
      <c r="I30" t="s">
        <v>76</v>
      </c>
      <c r="J30" s="10">
        <v>0.27791506649345976</v>
      </c>
      <c r="K30" s="10">
        <v>0.10384836952108678</v>
      </c>
      <c r="L30" s="10">
        <v>0.41412828264983742</v>
      </c>
      <c r="M30" s="10">
        <v>1.698095227885334E-2</v>
      </c>
      <c r="N30" s="10">
        <v>2.0643337907903531E-2</v>
      </c>
      <c r="O30" s="10">
        <v>0.53936292083629944</v>
      </c>
      <c r="P30" s="10">
        <v>8.8845063271062799E-3</v>
      </c>
      <c r="Q30" s="10">
        <f t="shared" si="0"/>
        <v>0.53936292083629944</v>
      </c>
      <c r="R30" t="str">
        <f t="shared" si="1"/>
        <v>NO</v>
      </c>
      <c r="S30">
        <f t="shared" si="2"/>
        <v>4.6836257455915433</v>
      </c>
      <c r="T30" s="8"/>
      <c r="U30" t="str">
        <f t="shared" si="3"/>
        <v>YES</v>
      </c>
    </row>
    <row r="31" spans="1:21" x14ac:dyDescent="0.25">
      <c r="A31" t="s">
        <v>125</v>
      </c>
      <c r="B31">
        <v>14.29</v>
      </c>
      <c r="C31">
        <v>13.65517241</v>
      </c>
      <c r="D31">
        <v>-16.510000000000002</v>
      </c>
      <c r="E31">
        <v>-18.06666667</v>
      </c>
      <c r="F31" s="8"/>
      <c r="G31" t="s">
        <v>33</v>
      </c>
      <c r="H31" s="8"/>
      <c r="I31" t="s">
        <v>33</v>
      </c>
      <c r="J31" s="10">
        <v>-3.2793101998457672</v>
      </c>
      <c r="K31" s="10">
        <v>2.7010237336281424</v>
      </c>
      <c r="L31" s="10">
        <v>3.1506657861305899E-3</v>
      </c>
      <c r="M31" s="10">
        <v>0.85819063187414046</v>
      </c>
      <c r="N31" s="10">
        <v>0.11073217421878857</v>
      </c>
      <c r="O31" s="10">
        <v>2.7926528100349009E-2</v>
      </c>
      <c r="P31" s="10">
        <v>2.059132E-11</v>
      </c>
      <c r="Q31" s="10">
        <f t="shared" si="0"/>
        <v>0.85819063187414046</v>
      </c>
      <c r="R31" t="str">
        <f t="shared" si="1"/>
        <v>YES</v>
      </c>
      <c r="S31">
        <f t="shared" si="2"/>
        <v>24.206881201599426</v>
      </c>
      <c r="T31" s="8"/>
      <c r="U31" t="str">
        <f t="shared" si="3"/>
        <v>YES</v>
      </c>
    </row>
    <row r="32" spans="1:21" x14ac:dyDescent="0.25">
      <c r="A32" t="s">
        <v>126</v>
      </c>
      <c r="B32">
        <v>12.39</v>
      </c>
      <c r="C32">
        <v>11.47126437</v>
      </c>
      <c r="D32">
        <v>-14.1</v>
      </c>
      <c r="E32">
        <v>-15.38888889</v>
      </c>
      <c r="F32" s="8"/>
      <c r="G32" t="s">
        <v>35</v>
      </c>
      <c r="H32" s="8"/>
      <c r="I32" t="s">
        <v>35</v>
      </c>
      <c r="J32" s="10">
        <v>-1.0073736669644404</v>
      </c>
      <c r="K32" s="10">
        <v>2.6872284529580739</v>
      </c>
      <c r="L32" s="10">
        <v>1.6353003085691761E-2</v>
      </c>
      <c r="M32" s="10">
        <v>0.27926175979276424</v>
      </c>
      <c r="N32" s="10">
        <v>0.37450063108065662</v>
      </c>
      <c r="O32" s="10">
        <v>0.32987692494265564</v>
      </c>
      <c r="P32" s="10">
        <v>7.6810982316000001E-6</v>
      </c>
      <c r="Q32" s="10">
        <f t="shared" si="0"/>
        <v>0.37450063108065662</v>
      </c>
      <c r="R32" t="str">
        <f t="shared" si="1"/>
        <v>NO</v>
      </c>
      <c r="S32">
        <f t="shared" si="2"/>
        <v>2.3948905446710218</v>
      </c>
      <c r="T32" s="8"/>
      <c r="U32" t="str">
        <f t="shared" si="3"/>
        <v>YES</v>
      </c>
    </row>
    <row r="33" spans="1:21" x14ac:dyDescent="0.25">
      <c r="A33" t="s">
        <v>127</v>
      </c>
      <c r="B33">
        <v>11.01</v>
      </c>
      <c r="C33">
        <v>9.8850574709999997</v>
      </c>
      <c r="D33">
        <v>-17.2</v>
      </c>
      <c r="E33">
        <v>-18.833333329999999</v>
      </c>
      <c r="F33" s="8"/>
      <c r="G33" t="s">
        <v>32</v>
      </c>
      <c r="H33" s="8"/>
      <c r="I33" t="s">
        <v>33</v>
      </c>
      <c r="J33" s="10">
        <v>-2.1670063988544612</v>
      </c>
      <c r="K33" s="10">
        <v>0.72290172979582845</v>
      </c>
      <c r="L33" s="10">
        <v>0.2102342823143008</v>
      </c>
      <c r="M33" s="10">
        <v>0.48393280153246199</v>
      </c>
      <c r="N33" s="10">
        <v>6.6126063220579248E-2</v>
      </c>
      <c r="O33" s="10">
        <v>0.23970680473037295</v>
      </c>
      <c r="P33" s="10">
        <v>4.8202284929999998E-8</v>
      </c>
      <c r="Q33" s="10">
        <f t="shared" si="0"/>
        <v>0.48393280153246199</v>
      </c>
      <c r="R33" t="str">
        <f t="shared" si="1"/>
        <v>NO</v>
      </c>
      <c r="S33">
        <f t="shared" si="2"/>
        <v>3.7509285842580256</v>
      </c>
      <c r="T33" s="8"/>
      <c r="U33" t="str">
        <f t="shared" si="3"/>
        <v>NO</v>
      </c>
    </row>
    <row r="34" spans="1:21" x14ac:dyDescent="0.25">
      <c r="A34" t="s">
        <v>128</v>
      </c>
      <c r="B34">
        <v>12.44</v>
      </c>
      <c r="C34">
        <v>11.52873563</v>
      </c>
      <c r="D34">
        <v>-14.9</v>
      </c>
      <c r="E34">
        <v>-16.277777780000001</v>
      </c>
      <c r="F34" s="8"/>
      <c r="G34" t="s">
        <v>76</v>
      </c>
      <c r="H34" s="8"/>
      <c r="I34" t="s">
        <v>33</v>
      </c>
      <c r="J34" s="10">
        <v>-1.4936197631506403</v>
      </c>
      <c r="K34" s="10">
        <v>2.3925798612853972</v>
      </c>
      <c r="L34" s="10">
        <v>2.281377349528977E-2</v>
      </c>
      <c r="M34" s="10">
        <v>0.42069430666083446</v>
      </c>
      <c r="N34" s="10">
        <v>0.29000932712016503</v>
      </c>
      <c r="O34" s="10">
        <v>0.26648186003292035</v>
      </c>
      <c r="P34" s="10">
        <v>7.3269079046999999E-7</v>
      </c>
      <c r="Q34" s="10">
        <f t="shared" si="0"/>
        <v>0.42069430666083446</v>
      </c>
      <c r="R34" t="str">
        <f t="shared" si="1"/>
        <v>NO</v>
      </c>
      <c r="S34">
        <f t="shared" si="2"/>
        <v>2.9048173459916677</v>
      </c>
      <c r="T34" s="8"/>
      <c r="U34" t="str">
        <f t="shared" si="3"/>
        <v>NO</v>
      </c>
    </row>
    <row r="35" spans="1:21" x14ac:dyDescent="0.25">
      <c r="A35" t="s">
        <v>129</v>
      </c>
      <c r="B35">
        <v>12.65</v>
      </c>
      <c r="C35">
        <v>11.770114939999999</v>
      </c>
      <c r="D35">
        <v>-17.09</v>
      </c>
      <c r="E35">
        <v>-18.711111110000001</v>
      </c>
      <c r="F35" s="8"/>
      <c r="G35" t="s">
        <v>33</v>
      </c>
      <c r="H35" s="8"/>
      <c r="I35" t="s">
        <v>33</v>
      </c>
      <c r="J35" s="10">
        <v>-2.8607206311566031</v>
      </c>
      <c r="K35" s="10">
        <v>1.6163803910936734</v>
      </c>
      <c r="L35" s="10">
        <v>3.1773142230998697E-2</v>
      </c>
      <c r="M35" s="10">
        <v>0.79602098324567172</v>
      </c>
      <c r="N35" s="10">
        <v>8.6970537979845094E-2</v>
      </c>
      <c r="O35" s="10">
        <v>8.5235335974494258E-2</v>
      </c>
      <c r="P35" s="10">
        <v>5.6899040000000004E-10</v>
      </c>
      <c r="Q35" s="10">
        <f t="shared" si="0"/>
        <v>0.79602098324567172</v>
      </c>
      <c r="R35" t="str">
        <f t="shared" si="1"/>
        <v>YES</v>
      </c>
      <c r="S35">
        <f t="shared" si="2"/>
        <v>15.609860188793773</v>
      </c>
      <c r="T35" s="8"/>
      <c r="U35" t="str">
        <f t="shared" si="3"/>
        <v>YES</v>
      </c>
    </row>
    <row r="36" spans="1:21" x14ac:dyDescent="0.25">
      <c r="A36" t="s">
        <v>130</v>
      </c>
      <c r="B36">
        <v>6.51</v>
      </c>
      <c r="C36">
        <v>4.7126436780000001</v>
      </c>
      <c r="D36">
        <v>-9.2200000000000006</v>
      </c>
      <c r="E36">
        <v>-9.9666666670000001</v>
      </c>
      <c r="F36" s="8"/>
      <c r="G36" t="s">
        <v>34</v>
      </c>
      <c r="H36" s="8"/>
      <c r="I36" t="s">
        <v>34</v>
      </c>
      <c r="J36" s="10">
        <v>4.5268833843749476</v>
      </c>
      <c r="K36" s="10">
        <v>1.5994189580910474</v>
      </c>
      <c r="L36" s="10">
        <v>8.7752708500000003E-9</v>
      </c>
      <c r="M36" s="10">
        <v>2.8321520000000001E-11</v>
      </c>
      <c r="N36" s="10">
        <v>6.3591926199999999E-9</v>
      </c>
      <c r="O36" s="10">
        <v>3.5334654467000002E-7</v>
      </c>
      <c r="P36" s="10">
        <v>0.99999963149067039</v>
      </c>
      <c r="Q36" s="10">
        <f t="shared" si="0"/>
        <v>0.99999963149067039</v>
      </c>
      <c r="R36" t="str">
        <f t="shared" si="1"/>
        <v>YES</v>
      </c>
      <c r="S36">
        <f t="shared" si="2"/>
        <v>10854538.011914242</v>
      </c>
      <c r="T36" s="8"/>
      <c r="U36" t="str">
        <f t="shared" si="3"/>
        <v>YES</v>
      </c>
    </row>
    <row r="37" spans="1:21" x14ac:dyDescent="0.25">
      <c r="A37" t="s">
        <v>131</v>
      </c>
      <c r="B37">
        <v>11.51</v>
      </c>
      <c r="C37">
        <v>10.459770109999999</v>
      </c>
      <c r="D37">
        <v>-14.14</v>
      </c>
      <c r="E37">
        <v>-15.43333333</v>
      </c>
      <c r="F37" s="8"/>
      <c r="G37" t="s">
        <v>76</v>
      </c>
      <c r="H37" s="8"/>
      <c r="I37" t="s">
        <v>76</v>
      </c>
      <c r="J37" s="10">
        <v>-0.62613801323433549</v>
      </c>
      <c r="K37" s="10">
        <v>2.2131119773551218</v>
      </c>
      <c r="L37" s="10">
        <v>3.8671206104188421E-2</v>
      </c>
      <c r="M37" s="10">
        <v>0.18312814290793938</v>
      </c>
      <c r="N37" s="10">
        <v>0.2803072669382165</v>
      </c>
      <c r="O37" s="10">
        <v>0.49781841413726846</v>
      </c>
      <c r="P37" s="10">
        <v>7.4969912387130006E-5</v>
      </c>
      <c r="Q37" s="10">
        <f t="shared" si="0"/>
        <v>0.49781841413726846</v>
      </c>
      <c r="R37" t="str">
        <f t="shared" si="1"/>
        <v>NO</v>
      </c>
      <c r="S37">
        <f t="shared" si="2"/>
        <v>3.9652462627201488</v>
      </c>
      <c r="T37" s="8"/>
      <c r="U37" t="str">
        <f t="shared" si="3"/>
        <v>YES</v>
      </c>
    </row>
    <row r="38" spans="1:21" x14ac:dyDescent="0.25">
      <c r="A38" t="s">
        <v>132</v>
      </c>
      <c r="B38">
        <v>9.57</v>
      </c>
      <c r="C38">
        <v>8.2298850570000006</v>
      </c>
      <c r="D38">
        <v>-15.62</v>
      </c>
      <c r="E38">
        <v>-17.077777780000002</v>
      </c>
      <c r="F38" s="8"/>
      <c r="G38" t="s">
        <v>76</v>
      </c>
      <c r="H38" s="8"/>
      <c r="I38" t="s">
        <v>76</v>
      </c>
      <c r="J38" s="10">
        <v>-0.5900143898006025</v>
      </c>
      <c r="K38" s="10">
        <v>0.61438479359098253</v>
      </c>
      <c r="L38" s="10">
        <v>0.30727032887512024</v>
      </c>
      <c r="M38" s="10">
        <v>8.71458241365098E-2</v>
      </c>
      <c r="N38" s="10">
        <v>5.7259231916158698E-2</v>
      </c>
      <c r="O38" s="10">
        <v>0.54817426230150157</v>
      </c>
      <c r="P38" s="10">
        <v>1.5035277070972E-4</v>
      </c>
      <c r="Q38" s="10">
        <f t="shared" si="0"/>
        <v>0.54817426230150157</v>
      </c>
      <c r="R38" t="str">
        <f t="shared" si="1"/>
        <v>NO</v>
      </c>
      <c r="S38">
        <f t="shared" si="2"/>
        <v>4.8529706615987083</v>
      </c>
      <c r="T38" s="8"/>
      <c r="U38" t="str">
        <f t="shared" si="3"/>
        <v>YES</v>
      </c>
    </row>
    <row r="39" spans="1:21" x14ac:dyDescent="0.25">
      <c r="A39" t="s">
        <v>133</v>
      </c>
      <c r="B39">
        <v>11</v>
      </c>
      <c r="C39">
        <v>9.8735632179999993</v>
      </c>
      <c r="D39">
        <v>-15.07</v>
      </c>
      <c r="E39">
        <v>-16.466666669999999</v>
      </c>
      <c r="F39" s="8"/>
      <c r="G39" t="s">
        <v>32</v>
      </c>
      <c r="H39" s="8"/>
      <c r="I39" t="s">
        <v>76</v>
      </c>
      <c r="J39" s="10">
        <v>-0.92862492406810482</v>
      </c>
      <c r="K39" s="10">
        <v>1.5732406975711131</v>
      </c>
      <c r="L39" s="10">
        <v>9.791789162177976E-2</v>
      </c>
      <c r="M39" s="10">
        <v>0.22040641959232463</v>
      </c>
      <c r="N39" s="10">
        <v>0.17330104391042717</v>
      </c>
      <c r="O39" s="10">
        <v>0.50835169744663489</v>
      </c>
      <c r="P39" s="10">
        <v>2.2947428833609999E-5</v>
      </c>
      <c r="Q39" s="10">
        <f t="shared" si="0"/>
        <v>0.50835169744663489</v>
      </c>
      <c r="R39" t="str">
        <f t="shared" si="1"/>
        <v>NO</v>
      </c>
      <c r="S39">
        <f t="shared" si="2"/>
        <v>4.1358971021075108</v>
      </c>
      <c r="T39" s="8"/>
      <c r="U39" t="str">
        <f t="shared" si="3"/>
        <v>NO</v>
      </c>
    </row>
    <row r="40" spans="1:21" x14ac:dyDescent="0.25">
      <c r="A40" t="s">
        <v>134</v>
      </c>
      <c r="B40">
        <v>9.52</v>
      </c>
      <c r="C40">
        <v>8.1724137930000005</v>
      </c>
      <c r="D40">
        <v>-13.73</v>
      </c>
      <c r="E40">
        <v>-14.97777778</v>
      </c>
      <c r="F40" s="8"/>
      <c r="G40" t="s">
        <v>32</v>
      </c>
      <c r="H40" s="8"/>
      <c r="I40" t="s">
        <v>76</v>
      </c>
      <c r="J40" s="10">
        <v>0.52690693283189916</v>
      </c>
      <c r="K40" s="10">
        <v>1.3489605106377205</v>
      </c>
      <c r="L40" s="10">
        <v>0.11043654416990632</v>
      </c>
      <c r="M40" s="10">
        <v>2.9020652159374379E-2</v>
      </c>
      <c r="N40" s="10">
        <v>9.0780566902225357E-2</v>
      </c>
      <c r="O40" s="10">
        <v>0.74263712211842259</v>
      </c>
      <c r="P40" s="10">
        <v>2.7125114650071429E-2</v>
      </c>
      <c r="Q40" s="10">
        <f t="shared" si="0"/>
        <v>0.74263712211842259</v>
      </c>
      <c r="R40" t="str">
        <f t="shared" si="1"/>
        <v>YES</v>
      </c>
      <c r="S40">
        <f t="shared" si="2"/>
        <v>11.542257037709044</v>
      </c>
      <c r="T40" s="8"/>
      <c r="U40" t="str">
        <f t="shared" si="3"/>
        <v>NO</v>
      </c>
    </row>
    <row r="41" spans="1:21" x14ac:dyDescent="0.25">
      <c r="A41" t="s">
        <v>135</v>
      </c>
      <c r="B41">
        <v>11.28</v>
      </c>
      <c r="C41">
        <v>10.1954023</v>
      </c>
      <c r="D41">
        <v>-15.23</v>
      </c>
      <c r="E41">
        <v>-16.644444440000001</v>
      </c>
      <c r="F41" s="8"/>
      <c r="G41" t="s">
        <v>32</v>
      </c>
      <c r="H41" s="8"/>
      <c r="I41" t="s">
        <v>76</v>
      </c>
      <c r="J41" s="10">
        <v>-1.1499281558551822</v>
      </c>
      <c r="K41" s="10">
        <v>1.6533717427975629</v>
      </c>
      <c r="L41" s="10">
        <v>8.4213837476552117E-2</v>
      </c>
      <c r="M41" s="10">
        <v>0.28459219464010538</v>
      </c>
      <c r="N41" s="10">
        <v>0.18606310402707485</v>
      </c>
      <c r="O41" s="10">
        <v>0.44512369469699486</v>
      </c>
      <c r="P41" s="10">
        <v>7.1691592729100001E-6</v>
      </c>
      <c r="Q41" s="10">
        <f t="shared" si="0"/>
        <v>0.44512369469699486</v>
      </c>
      <c r="R41" t="str">
        <f t="shared" si="1"/>
        <v>NO</v>
      </c>
      <c r="S41">
        <f t="shared" si="2"/>
        <v>3.2088138595424298</v>
      </c>
      <c r="T41" s="8"/>
      <c r="U41" t="str">
        <f t="shared" si="3"/>
        <v>NO</v>
      </c>
    </row>
    <row r="42" spans="1:21" x14ac:dyDescent="0.25">
      <c r="A42" t="s">
        <v>136</v>
      </c>
      <c r="B42">
        <v>14.68</v>
      </c>
      <c r="C42">
        <v>14.10344828</v>
      </c>
      <c r="D42">
        <v>-14.09</v>
      </c>
      <c r="E42">
        <v>-15.377777780000001</v>
      </c>
      <c r="F42" s="8"/>
      <c r="G42" t="s">
        <v>33</v>
      </c>
      <c r="H42" s="8"/>
      <c r="I42" t="s">
        <v>33</v>
      </c>
      <c r="J42" s="10">
        <v>-2.0614882623937163</v>
      </c>
      <c r="K42" s="10">
        <v>3.8752238088170969</v>
      </c>
      <c r="L42" s="10">
        <v>1.0462591004581599E-3</v>
      </c>
      <c r="M42" s="10">
        <v>0.50087208871059674</v>
      </c>
      <c r="N42" s="10">
        <v>0.43537395392272255</v>
      </c>
      <c r="O42" s="10">
        <v>6.2707689612359799E-2</v>
      </c>
      <c r="P42" s="10">
        <v>8.6538627199999998E-9</v>
      </c>
      <c r="Q42" s="10">
        <f t="shared" si="0"/>
        <v>0.50087208871059674</v>
      </c>
      <c r="R42" t="str">
        <f t="shared" si="1"/>
        <v>NO</v>
      </c>
      <c r="S42">
        <f t="shared" si="2"/>
        <v>4.0139777991311902</v>
      </c>
      <c r="T42" s="8"/>
      <c r="U42" t="str">
        <f t="shared" si="3"/>
        <v>YES</v>
      </c>
    </row>
    <row r="43" spans="1:21" x14ac:dyDescent="0.25">
      <c r="A43" t="s">
        <v>137</v>
      </c>
      <c r="B43">
        <v>11.68</v>
      </c>
      <c r="C43">
        <v>10.65517241</v>
      </c>
      <c r="D43">
        <v>-15.18</v>
      </c>
      <c r="E43">
        <v>-16.58888889</v>
      </c>
      <c r="F43" s="8"/>
      <c r="G43" t="s">
        <v>35</v>
      </c>
      <c r="H43" s="8"/>
      <c r="I43" t="s">
        <v>76</v>
      </c>
      <c r="J43" s="10">
        <v>-1.3040823344743409</v>
      </c>
      <c r="K43" s="10">
        <v>1.8835648136148437</v>
      </c>
      <c r="L43" s="10">
        <v>5.6950958746182161E-2</v>
      </c>
      <c r="M43" s="10">
        <v>0.34558735374753524</v>
      </c>
      <c r="N43" s="10">
        <v>0.21877655217343422</v>
      </c>
      <c r="O43" s="10">
        <v>0.37868229814153037</v>
      </c>
      <c r="P43" s="10">
        <v>2.83719131798E-6</v>
      </c>
      <c r="Q43" s="10">
        <f t="shared" si="0"/>
        <v>0.37868229814153037</v>
      </c>
      <c r="R43" t="str">
        <f t="shared" si="1"/>
        <v>NO</v>
      </c>
      <c r="S43">
        <f t="shared" si="2"/>
        <v>2.437930205489562</v>
      </c>
      <c r="T43" s="8"/>
      <c r="U43" t="str">
        <f t="shared" si="3"/>
        <v>NO</v>
      </c>
    </row>
    <row r="44" spans="1:21" x14ac:dyDescent="0.25">
      <c r="A44" t="s">
        <v>138</v>
      </c>
      <c r="B44">
        <v>10.37</v>
      </c>
      <c r="C44">
        <v>9.1494252869999997</v>
      </c>
      <c r="D44">
        <v>-15.94</v>
      </c>
      <c r="E44">
        <v>-17.43333333</v>
      </c>
      <c r="F44" s="8"/>
      <c r="G44" t="s">
        <v>76</v>
      </c>
      <c r="H44" s="8"/>
      <c r="I44" t="s">
        <v>76</v>
      </c>
      <c r="J44" s="10">
        <v>-1.1372864841945471</v>
      </c>
      <c r="K44" s="10">
        <v>0.89940480291193481</v>
      </c>
      <c r="L44" s="10">
        <v>0.22873283319065532</v>
      </c>
      <c r="M44" s="10">
        <v>0.20600186259173642</v>
      </c>
      <c r="N44" s="10">
        <v>8.9975519127939274E-2</v>
      </c>
      <c r="O44" s="10">
        <v>0.47527983029909276</v>
      </c>
      <c r="P44" s="10">
        <v>9.9547905762299996E-6</v>
      </c>
      <c r="Q44" s="10">
        <f t="shared" si="0"/>
        <v>0.47527983029909276</v>
      </c>
      <c r="R44" t="str">
        <f t="shared" si="1"/>
        <v>NO</v>
      </c>
      <c r="S44">
        <f t="shared" si="2"/>
        <v>3.6231108140554564</v>
      </c>
      <c r="T44" s="8"/>
      <c r="U44" t="str">
        <f t="shared" si="3"/>
        <v>YES</v>
      </c>
    </row>
    <row r="45" spans="1:21" x14ac:dyDescent="0.25">
      <c r="A45" t="s">
        <v>139</v>
      </c>
      <c r="B45">
        <v>9.33</v>
      </c>
      <c r="C45">
        <v>7.9540229890000003</v>
      </c>
      <c r="D45">
        <v>-13.71</v>
      </c>
      <c r="E45">
        <v>-14.955555560000001</v>
      </c>
      <c r="F45" s="8"/>
      <c r="G45" t="s">
        <v>32</v>
      </c>
      <c r="H45" s="8"/>
      <c r="I45" t="s">
        <v>76</v>
      </c>
      <c r="J45" s="10">
        <v>0.62612683485753173</v>
      </c>
      <c r="K45" s="10">
        <v>1.2568778882768532</v>
      </c>
      <c r="L45" s="10">
        <v>0.11848585936197735</v>
      </c>
      <c r="M45" s="10">
        <v>2.3542805567545681E-2</v>
      </c>
      <c r="N45" s="10">
        <v>7.7553852919139632E-2</v>
      </c>
      <c r="O45" s="10">
        <v>0.73702809139105052</v>
      </c>
      <c r="P45" s="10">
        <v>4.3389390760286778E-2</v>
      </c>
      <c r="Q45" s="10">
        <f t="shared" si="0"/>
        <v>0.73702809139105052</v>
      </c>
      <c r="R45" t="str">
        <f t="shared" si="1"/>
        <v>YES</v>
      </c>
      <c r="S45">
        <f t="shared" si="2"/>
        <v>11.210750156390931</v>
      </c>
      <c r="T45" s="8"/>
      <c r="U45" t="str">
        <f t="shared" si="3"/>
        <v>NO</v>
      </c>
    </row>
    <row r="46" spans="1:21" x14ac:dyDescent="0.25">
      <c r="A46" t="s">
        <v>140</v>
      </c>
      <c r="B46">
        <v>8.6199999999999992</v>
      </c>
      <c r="C46">
        <v>7.1379310340000002</v>
      </c>
      <c r="D46">
        <v>-16.96</v>
      </c>
      <c r="E46">
        <v>-18.56666667</v>
      </c>
      <c r="F46" s="8"/>
      <c r="G46" t="s">
        <v>76</v>
      </c>
      <c r="H46" s="8"/>
      <c r="I46" t="s">
        <v>32</v>
      </c>
      <c r="J46" s="10">
        <v>-0.92548869792617339</v>
      </c>
      <c r="K46" s="10">
        <v>-0.41368545651076349</v>
      </c>
      <c r="L46" s="10">
        <v>0.65406947128168491</v>
      </c>
      <c r="M46" s="10">
        <v>4.6814694676016892E-2</v>
      </c>
      <c r="N46" s="10">
        <v>1.232388698609482E-2</v>
      </c>
      <c r="O46" s="10">
        <v>0.28676940295290843</v>
      </c>
      <c r="P46" s="10">
        <v>2.2544103295210001E-5</v>
      </c>
      <c r="Q46" s="10">
        <f t="shared" si="0"/>
        <v>0.65406947128168491</v>
      </c>
      <c r="R46" t="str">
        <f t="shared" si="1"/>
        <v>YES</v>
      </c>
      <c r="S46">
        <f t="shared" si="2"/>
        <v>7.5630153106756497</v>
      </c>
      <c r="T46" s="8"/>
      <c r="U46" t="str">
        <f t="shared" si="3"/>
        <v>NO</v>
      </c>
    </row>
    <row r="47" spans="1:21" x14ac:dyDescent="0.25">
      <c r="A47" t="s">
        <v>141</v>
      </c>
      <c r="B47">
        <v>11.12</v>
      </c>
      <c r="C47">
        <v>10.01149425</v>
      </c>
      <c r="D47">
        <v>-16.95</v>
      </c>
      <c r="E47">
        <v>-18.555555559999998</v>
      </c>
      <c r="F47" s="8"/>
      <c r="G47" t="s">
        <v>32</v>
      </c>
      <c r="H47" s="8"/>
      <c r="I47" t="s">
        <v>33</v>
      </c>
      <c r="J47" s="10">
        <v>-2.0707232911090276</v>
      </c>
      <c r="K47" s="10">
        <v>0.8838838060470211</v>
      </c>
      <c r="L47" s="10">
        <v>0.17860051581959074</v>
      </c>
      <c r="M47" s="10">
        <v>0.48376611612177317</v>
      </c>
      <c r="N47" s="10">
        <v>7.9812062820285648E-2</v>
      </c>
      <c r="O47" s="10">
        <v>0.2578212282719417</v>
      </c>
      <c r="P47" s="10">
        <v>7.6966408700000005E-8</v>
      </c>
      <c r="Q47" s="10">
        <f t="shared" si="0"/>
        <v>0.48376611612177317</v>
      </c>
      <c r="R47" t="str">
        <f t="shared" si="1"/>
        <v>NO</v>
      </c>
      <c r="S47">
        <f t="shared" si="2"/>
        <v>3.7484259071679817</v>
      </c>
      <c r="T47" s="8"/>
      <c r="U47" t="str">
        <f t="shared" si="3"/>
        <v>NO</v>
      </c>
    </row>
    <row r="48" spans="1:21" x14ac:dyDescent="0.25">
      <c r="A48" t="s">
        <v>142</v>
      </c>
      <c r="B48">
        <v>9.99</v>
      </c>
      <c r="C48">
        <v>8.7126436779999992</v>
      </c>
      <c r="D48">
        <v>-17.399999999999999</v>
      </c>
      <c r="E48">
        <v>-19.055555559999998</v>
      </c>
      <c r="F48" s="8"/>
      <c r="G48" t="s">
        <v>32</v>
      </c>
      <c r="H48" s="8"/>
      <c r="I48" t="s">
        <v>32</v>
      </c>
      <c r="J48" s="10">
        <v>-1.8095056842456358</v>
      </c>
      <c r="K48" s="10">
        <v>0.12126721891229675</v>
      </c>
      <c r="L48" s="10">
        <v>0.45111703670279829</v>
      </c>
      <c r="M48" s="10">
        <v>0.23755959909703531</v>
      </c>
      <c r="N48" s="10">
        <v>3.3694036873908553E-2</v>
      </c>
      <c r="O48" s="10">
        <v>0.27762899184168921</v>
      </c>
      <c r="P48" s="10">
        <v>3.3548456866000001E-7</v>
      </c>
      <c r="Q48" s="10">
        <f t="shared" si="0"/>
        <v>0.45111703670279829</v>
      </c>
      <c r="R48" t="str">
        <f t="shared" si="1"/>
        <v>NO</v>
      </c>
      <c r="S48">
        <f t="shared" si="2"/>
        <v>3.2875280660408008</v>
      </c>
      <c r="T48" s="8"/>
      <c r="U48" t="str">
        <f t="shared" si="3"/>
        <v>YES</v>
      </c>
    </row>
    <row r="49" spans="1:21" x14ac:dyDescent="0.25">
      <c r="A49" t="s">
        <v>143</v>
      </c>
      <c r="B49">
        <v>11.17</v>
      </c>
      <c r="C49">
        <v>10.068965520000001</v>
      </c>
      <c r="D49">
        <v>-14.25</v>
      </c>
      <c r="E49">
        <v>-15.55555556</v>
      </c>
      <c r="F49" s="8"/>
      <c r="G49" t="s">
        <v>32</v>
      </c>
      <c r="H49" s="8"/>
      <c r="I49" t="s">
        <v>76</v>
      </c>
      <c r="J49" s="10">
        <v>-0.53721001032215554</v>
      </c>
      <c r="K49" s="10">
        <v>1.994378546287594</v>
      </c>
      <c r="L49" s="10">
        <v>5.4422652466925008E-2</v>
      </c>
      <c r="M49" s="10">
        <v>0.15841286289761825</v>
      </c>
      <c r="N49" s="10">
        <v>0.23557410096485051</v>
      </c>
      <c r="O49" s="10">
        <v>0.55145818719107043</v>
      </c>
      <c r="P49" s="10">
        <v>1.3219647953577001E-4</v>
      </c>
      <c r="Q49" s="10">
        <f t="shared" si="0"/>
        <v>0.55145818719107043</v>
      </c>
      <c r="R49" t="str">
        <f t="shared" si="1"/>
        <v>NO</v>
      </c>
      <c r="S49">
        <f t="shared" si="2"/>
        <v>4.9177862258828595</v>
      </c>
      <c r="T49" s="8"/>
      <c r="U49" t="str">
        <f t="shared" si="3"/>
        <v>NO</v>
      </c>
    </row>
    <row r="50" spans="1:21" x14ac:dyDescent="0.25">
      <c r="A50" t="s">
        <v>144</v>
      </c>
      <c r="B50">
        <v>11.97</v>
      </c>
      <c r="C50">
        <v>10.98850575</v>
      </c>
      <c r="D50">
        <v>-15.88</v>
      </c>
      <c r="E50">
        <v>-17.366666670000001</v>
      </c>
      <c r="F50" s="8"/>
      <c r="G50" t="s">
        <v>33</v>
      </c>
      <c r="H50" s="8"/>
      <c r="I50" t="s">
        <v>33</v>
      </c>
      <c r="J50" s="10">
        <v>-1.8427664116701727</v>
      </c>
      <c r="K50" s="10">
        <v>1.7507993342849248</v>
      </c>
      <c r="L50" s="10">
        <v>5.5623693450772622E-2</v>
      </c>
      <c r="M50" s="10">
        <v>0.5141325646713123</v>
      </c>
      <c r="N50" s="10">
        <v>0.17330484956088654</v>
      </c>
      <c r="O50" s="10">
        <v>0.25693872104392584</v>
      </c>
      <c r="P50" s="10">
        <v>1.7127310260999999E-7</v>
      </c>
      <c r="Q50" s="10">
        <f t="shared" si="0"/>
        <v>0.5141325646713123</v>
      </c>
      <c r="R50" t="str">
        <f t="shared" si="1"/>
        <v>NO</v>
      </c>
      <c r="S50">
        <f t="shared" si="2"/>
        <v>4.2326982817731205</v>
      </c>
      <c r="T50" s="8"/>
      <c r="U50" t="str">
        <f t="shared" si="3"/>
        <v>YES</v>
      </c>
    </row>
    <row r="51" spans="1:21" x14ac:dyDescent="0.25">
      <c r="A51" t="s">
        <v>145</v>
      </c>
      <c r="B51">
        <v>8.84</v>
      </c>
      <c r="C51">
        <v>7.3908045979999999</v>
      </c>
      <c r="D51">
        <v>-16.63</v>
      </c>
      <c r="E51">
        <v>-18.2</v>
      </c>
      <c r="F51" s="8"/>
      <c r="G51" t="s">
        <v>76</v>
      </c>
      <c r="H51" s="8"/>
      <c r="I51" t="s">
        <v>32</v>
      </c>
      <c r="J51" s="10">
        <v>-0.83091493739924793</v>
      </c>
      <c r="K51" s="10">
        <v>-0.16999329210205705</v>
      </c>
      <c r="L51" s="10">
        <v>0.57315829889262926</v>
      </c>
      <c r="M51" s="10">
        <v>5.5830781515702511E-2</v>
      </c>
      <c r="N51" s="10">
        <v>1.8542041541422149E-2</v>
      </c>
      <c r="O51" s="10">
        <v>0.35242897443510413</v>
      </c>
      <c r="P51" s="10">
        <v>3.9903615141979998E-5</v>
      </c>
      <c r="Q51" s="10">
        <f t="shared" si="0"/>
        <v>0.57315829889262926</v>
      </c>
      <c r="R51" t="str">
        <f t="shared" si="1"/>
        <v>NO</v>
      </c>
      <c r="S51">
        <f t="shared" si="2"/>
        <v>5.371155605515245</v>
      </c>
      <c r="T51" s="8"/>
      <c r="U51" t="str">
        <f t="shared" si="3"/>
        <v>NO</v>
      </c>
    </row>
    <row r="52" spans="1:21" x14ac:dyDescent="0.25">
      <c r="A52" t="s">
        <v>146</v>
      </c>
      <c r="B52">
        <v>11.33</v>
      </c>
      <c r="C52">
        <v>10.252873559999999</v>
      </c>
      <c r="D52">
        <v>-14.45</v>
      </c>
      <c r="E52">
        <v>-15.777777779999999</v>
      </c>
      <c r="F52" s="8"/>
      <c r="G52" t="s">
        <v>76</v>
      </c>
      <c r="H52" s="8"/>
      <c r="I52" t="s">
        <v>76</v>
      </c>
      <c r="J52" s="10">
        <v>-0.72322475273954723</v>
      </c>
      <c r="K52" s="10">
        <v>1.9998784503463378</v>
      </c>
      <c r="L52" s="10">
        <v>5.3381007214607652E-2</v>
      </c>
      <c r="M52" s="10">
        <v>0.1964104297009551</v>
      </c>
      <c r="N52" s="10">
        <v>0.24171497014919055</v>
      </c>
      <c r="O52" s="10">
        <v>0.50844146825692793</v>
      </c>
      <c r="P52" s="10">
        <v>5.2124678318869997E-5</v>
      </c>
      <c r="Q52" s="10">
        <f t="shared" si="0"/>
        <v>0.50844146825692793</v>
      </c>
      <c r="R52" t="str">
        <f t="shared" si="1"/>
        <v>NO</v>
      </c>
      <c r="S52">
        <f t="shared" si="2"/>
        <v>4.1373829192140255</v>
      </c>
      <c r="T52" s="8"/>
      <c r="U52" t="str">
        <f t="shared" si="3"/>
        <v>YES</v>
      </c>
    </row>
    <row r="53" spans="1:21" x14ac:dyDescent="0.25">
      <c r="A53" t="s">
        <v>147</v>
      </c>
      <c r="B53">
        <v>14.54</v>
      </c>
      <c r="C53">
        <v>13.94252874</v>
      </c>
      <c r="D53">
        <v>-15.43</v>
      </c>
      <c r="E53">
        <v>-16.866666670000001</v>
      </c>
      <c r="F53" s="8"/>
      <c r="G53" t="s">
        <v>33</v>
      </c>
      <c r="H53" s="8"/>
      <c r="I53" t="s">
        <v>33</v>
      </c>
      <c r="J53" s="10">
        <v>-2.7719888046290002</v>
      </c>
      <c r="K53" s="10">
        <v>3.265419546567248</v>
      </c>
      <c r="L53" s="10">
        <v>1.8798052585552499E-3</v>
      </c>
      <c r="M53" s="10">
        <v>0.7378543197092946</v>
      </c>
      <c r="N53" s="10">
        <v>0.21969757232853246</v>
      </c>
      <c r="O53" s="10">
        <v>4.0568302444480543E-2</v>
      </c>
      <c r="P53" s="10">
        <v>2.5913696E-10</v>
      </c>
      <c r="Q53" s="10">
        <f t="shared" si="0"/>
        <v>0.7378543197092946</v>
      </c>
      <c r="R53" t="str">
        <f t="shared" si="1"/>
        <v>YES</v>
      </c>
      <c r="S53">
        <f t="shared" si="2"/>
        <v>11.258691257335295</v>
      </c>
      <c r="T53" s="8"/>
      <c r="U53" t="str">
        <f t="shared" si="3"/>
        <v>YES</v>
      </c>
    </row>
    <row r="54" spans="1:21" x14ac:dyDescent="0.25">
      <c r="A54" t="s">
        <v>148</v>
      </c>
      <c r="B54">
        <v>14.48</v>
      </c>
      <c r="C54">
        <v>13.873563219999999</v>
      </c>
      <c r="D54">
        <v>-15.76</v>
      </c>
      <c r="E54">
        <v>-17.233333330000001</v>
      </c>
      <c r="F54" s="8"/>
      <c r="G54" t="s">
        <v>33</v>
      </c>
      <c r="H54" s="8"/>
      <c r="I54" t="s">
        <v>33</v>
      </c>
      <c r="J54" s="10">
        <v>-2.9314311007915208</v>
      </c>
      <c r="K54" s="10">
        <v>3.0986936965348528</v>
      </c>
      <c r="L54" s="10">
        <v>2.1925884512845602E-3</v>
      </c>
      <c r="M54" s="10">
        <v>0.78156847558120401</v>
      </c>
      <c r="N54" s="10">
        <v>0.17998694226982873</v>
      </c>
      <c r="O54" s="10">
        <v>3.62519935805386E-2</v>
      </c>
      <c r="P54" s="10">
        <v>1.1714421000000001E-10</v>
      </c>
      <c r="Q54" s="10">
        <f t="shared" si="0"/>
        <v>0.78156847558120401</v>
      </c>
      <c r="R54" t="str">
        <f t="shared" si="1"/>
        <v>YES</v>
      </c>
      <c r="S54">
        <f t="shared" si="2"/>
        <v>14.312375059612965</v>
      </c>
      <c r="T54" s="8"/>
      <c r="U54" t="str">
        <f t="shared" si="3"/>
        <v>YES</v>
      </c>
    </row>
    <row r="55" spans="1:21" x14ac:dyDescent="0.25">
      <c r="A55" t="s">
        <v>149</v>
      </c>
      <c r="B55">
        <v>12.34</v>
      </c>
      <c r="C55">
        <v>11.413793099999999</v>
      </c>
      <c r="D55">
        <v>-15.64</v>
      </c>
      <c r="E55">
        <v>-17.100000000000001</v>
      </c>
      <c r="F55" s="8"/>
      <c r="G55" t="s">
        <v>33</v>
      </c>
      <c r="H55" s="8"/>
      <c r="I55" t="s">
        <v>33</v>
      </c>
      <c r="J55" s="10">
        <v>-1.8805846347598631</v>
      </c>
      <c r="K55" s="10">
        <v>2.0397940098220602</v>
      </c>
      <c r="L55" s="10">
        <v>3.3821967297706028E-2</v>
      </c>
      <c r="M55" s="10">
        <v>0.54006566208936002</v>
      </c>
      <c r="N55" s="10">
        <v>0.20536472910911815</v>
      </c>
      <c r="O55" s="10">
        <v>0.22074752701935466</v>
      </c>
      <c r="P55" s="10">
        <v>1.1448446115000001E-7</v>
      </c>
      <c r="Q55" s="10">
        <f t="shared" si="0"/>
        <v>0.54006566208936002</v>
      </c>
      <c r="R55" t="str">
        <f t="shared" si="1"/>
        <v>NO</v>
      </c>
      <c r="S55">
        <f t="shared" si="2"/>
        <v>4.6968936004451018</v>
      </c>
      <c r="T55" s="8"/>
      <c r="U55" t="str">
        <f t="shared" si="3"/>
        <v>YES</v>
      </c>
    </row>
    <row r="56" spans="1:21" x14ac:dyDescent="0.25">
      <c r="A56" t="s">
        <v>150</v>
      </c>
      <c r="B56">
        <v>12.74</v>
      </c>
      <c r="C56">
        <v>11.873563219999999</v>
      </c>
      <c r="D56">
        <v>-13.3</v>
      </c>
      <c r="E56">
        <v>-14.5</v>
      </c>
      <c r="F56" s="8"/>
      <c r="G56" t="s">
        <v>76</v>
      </c>
      <c r="H56" s="8"/>
      <c r="I56" t="s">
        <v>35</v>
      </c>
      <c r="J56" s="10">
        <v>-0.71075224615855603</v>
      </c>
      <c r="K56" s="10">
        <v>3.189125232503673</v>
      </c>
      <c r="L56" s="10">
        <v>7.1421088865453904E-3</v>
      </c>
      <c r="M56" s="10">
        <v>0.2034430742494146</v>
      </c>
      <c r="N56" s="10">
        <v>0.489165469507711</v>
      </c>
      <c r="O56" s="10">
        <v>0.30022577228460079</v>
      </c>
      <c r="P56" s="10">
        <v>2.357507172832E-5</v>
      </c>
      <c r="Q56" s="10">
        <f t="shared" si="0"/>
        <v>0.489165469507711</v>
      </c>
      <c r="R56" t="str">
        <f t="shared" si="1"/>
        <v>NO</v>
      </c>
      <c r="S56">
        <f t="shared" si="2"/>
        <v>3.8303242268004425</v>
      </c>
      <c r="T56" s="8"/>
      <c r="U56" t="str">
        <f t="shared" si="3"/>
        <v>NO</v>
      </c>
    </row>
    <row r="57" spans="1:21" x14ac:dyDescent="0.25">
      <c r="A57" t="s">
        <v>151</v>
      </c>
      <c r="B57">
        <v>14.05</v>
      </c>
      <c r="C57">
        <v>13.37931034</v>
      </c>
      <c r="D57">
        <v>-15.47</v>
      </c>
      <c r="E57">
        <v>-16.91111111</v>
      </c>
      <c r="F57" s="8"/>
      <c r="G57" t="s">
        <v>33</v>
      </c>
      <c r="H57" s="8"/>
      <c r="I57" t="s">
        <v>33</v>
      </c>
      <c r="J57" s="10">
        <v>-2.5713754449551818</v>
      </c>
      <c r="K57" s="10">
        <v>2.9937720953052374</v>
      </c>
      <c r="L57" s="10">
        <v>3.69615226623073E-3</v>
      </c>
      <c r="M57" s="10">
        <v>0.71087973144880356</v>
      </c>
      <c r="N57" s="10">
        <v>0.22416122565456889</v>
      </c>
      <c r="O57" s="10">
        <v>6.126288957895145E-2</v>
      </c>
      <c r="P57" s="10">
        <v>1.05144538E-9</v>
      </c>
      <c r="Q57" s="10">
        <f t="shared" si="0"/>
        <v>0.71087973144880356</v>
      </c>
      <c r="R57" t="str">
        <f t="shared" si="1"/>
        <v>YES</v>
      </c>
      <c r="S57">
        <f t="shared" si="2"/>
        <v>9.8350729267245871</v>
      </c>
      <c r="T57" s="8"/>
      <c r="U57" t="str">
        <f t="shared" si="3"/>
        <v>YES</v>
      </c>
    </row>
    <row r="58" spans="1:21" x14ac:dyDescent="0.25">
      <c r="A58" t="s">
        <v>152</v>
      </c>
      <c r="B58">
        <v>10.8</v>
      </c>
      <c r="C58">
        <v>9.6436781610000004</v>
      </c>
      <c r="D58">
        <v>-14.44</v>
      </c>
      <c r="E58">
        <v>-15.766666669999999</v>
      </c>
      <c r="F58" s="8"/>
      <c r="G58" t="s">
        <v>32</v>
      </c>
      <c r="H58" s="8"/>
      <c r="I58" t="s">
        <v>76</v>
      </c>
      <c r="J58" s="10">
        <v>-0.47257894959141744</v>
      </c>
      <c r="K58" s="10">
        <v>1.7231681564562935</v>
      </c>
      <c r="L58" s="10">
        <v>8.0695726684717931E-2</v>
      </c>
      <c r="M58" s="10">
        <v>0.13575207471492645</v>
      </c>
      <c r="N58" s="10">
        <v>0.18579945822499175</v>
      </c>
      <c r="O58" s="10">
        <v>0.59754569380056355</v>
      </c>
      <c r="P58" s="10">
        <v>2.070465748003E-4</v>
      </c>
      <c r="Q58" s="10">
        <f t="shared" si="0"/>
        <v>0.59754569380056355</v>
      </c>
      <c r="R58" t="str">
        <f t="shared" si="1"/>
        <v>NO</v>
      </c>
      <c r="S58">
        <f t="shared" si="2"/>
        <v>5.9390165253140506</v>
      </c>
      <c r="T58" s="8"/>
      <c r="U58" t="str">
        <f t="shared" si="3"/>
        <v>NO</v>
      </c>
    </row>
    <row r="59" spans="1:21" x14ac:dyDescent="0.25">
      <c r="A59" t="s">
        <v>153</v>
      </c>
      <c r="B59">
        <v>10.97</v>
      </c>
      <c r="C59">
        <v>9.8390804599999999</v>
      </c>
      <c r="D59">
        <v>-16.64</v>
      </c>
      <c r="E59">
        <v>-18.211111110000001</v>
      </c>
      <c r="F59" s="8"/>
      <c r="G59" t="s">
        <v>32</v>
      </c>
      <c r="H59" s="8"/>
      <c r="I59" t="s">
        <v>33</v>
      </c>
      <c r="J59" s="10">
        <v>-1.8234610167966334</v>
      </c>
      <c r="K59" s="10">
        <v>0.9277173655290154</v>
      </c>
      <c r="L59" s="10">
        <v>0.18828589907384646</v>
      </c>
      <c r="M59" s="10">
        <v>0.4081333905359798</v>
      </c>
      <c r="N59" s="10">
        <v>8.9077167794257422E-2</v>
      </c>
      <c r="O59" s="10">
        <v>0.31450325621967506</v>
      </c>
      <c r="P59" s="10">
        <v>2.8637624115999999E-7</v>
      </c>
      <c r="Q59" s="10">
        <f t="shared" si="0"/>
        <v>0.4081333905359798</v>
      </c>
      <c r="R59" t="str">
        <f t="shared" si="1"/>
        <v>NO</v>
      </c>
      <c r="S59">
        <f t="shared" si="2"/>
        <v>2.7582795448155144</v>
      </c>
      <c r="T59" s="8"/>
      <c r="U59" t="str">
        <f t="shared" si="3"/>
        <v>NO</v>
      </c>
    </row>
    <row r="60" spans="1:21" x14ac:dyDescent="0.25">
      <c r="A60" t="s">
        <v>154</v>
      </c>
      <c r="B60">
        <v>12.67</v>
      </c>
      <c r="C60">
        <v>11.79310345</v>
      </c>
      <c r="D60">
        <v>-15.33</v>
      </c>
      <c r="E60">
        <v>-16.755555560000001</v>
      </c>
      <c r="F60" s="8"/>
      <c r="G60" t="s">
        <v>33</v>
      </c>
      <c r="H60" s="8"/>
      <c r="I60" t="s">
        <v>33</v>
      </c>
      <c r="J60" s="10">
        <v>-1.8519809311430695</v>
      </c>
      <c r="K60" s="10">
        <v>2.3351058506973299</v>
      </c>
      <c r="L60" s="10">
        <v>2.0776766659985339E-2</v>
      </c>
      <c r="M60" s="10">
        <v>0.5347539906648886</v>
      </c>
      <c r="N60" s="10">
        <v>0.24655547903086722</v>
      </c>
      <c r="O60" s="10">
        <v>0.19791365573283984</v>
      </c>
      <c r="P60" s="10">
        <v>1.0791141907E-7</v>
      </c>
      <c r="Q60" s="10">
        <f t="shared" si="0"/>
        <v>0.5347539906648886</v>
      </c>
      <c r="R60" t="str">
        <f t="shared" si="1"/>
        <v>NO</v>
      </c>
      <c r="S60">
        <f t="shared" si="2"/>
        <v>4.5976019562563204</v>
      </c>
      <c r="T60" s="8"/>
      <c r="U60" t="str">
        <f t="shared" si="3"/>
        <v>YES</v>
      </c>
    </row>
    <row r="61" spans="1:21" x14ac:dyDescent="0.25">
      <c r="A61" t="s">
        <v>155</v>
      </c>
      <c r="B61">
        <v>12.4</v>
      </c>
      <c r="C61">
        <v>11.48275862</v>
      </c>
      <c r="D61">
        <v>-12.35</v>
      </c>
      <c r="E61">
        <v>-13.44444444</v>
      </c>
      <c r="F61" s="8"/>
      <c r="G61" t="s">
        <v>76</v>
      </c>
      <c r="H61" s="8"/>
      <c r="I61" t="s">
        <v>35</v>
      </c>
      <c r="J61" s="10">
        <v>-4.5040189594391898E-3</v>
      </c>
      <c r="K61" s="10">
        <v>3.3934062790132984</v>
      </c>
      <c r="L61" s="10">
        <v>5.39484835233858E-3</v>
      </c>
      <c r="M61" s="10">
        <v>9.3269269627488799E-2</v>
      </c>
      <c r="N61" s="10">
        <v>0.52101135872829074</v>
      </c>
      <c r="O61" s="10">
        <v>0.37961920161967455</v>
      </c>
      <c r="P61" s="10">
        <v>7.0532167220733999E-4</v>
      </c>
      <c r="Q61" s="10">
        <f t="shared" si="0"/>
        <v>0.52101135872829074</v>
      </c>
      <c r="R61" t="str">
        <f t="shared" si="1"/>
        <v>NO</v>
      </c>
      <c r="S61">
        <f t="shared" si="2"/>
        <v>4.3509287180172933</v>
      </c>
      <c r="T61" s="8"/>
      <c r="U61" t="str">
        <f t="shared" si="3"/>
        <v>NO</v>
      </c>
    </row>
    <row r="62" spans="1:21" x14ac:dyDescent="0.25">
      <c r="A62" t="s">
        <v>156</v>
      </c>
      <c r="B62">
        <v>11.63</v>
      </c>
      <c r="C62">
        <v>10.597701150000001</v>
      </c>
      <c r="D62">
        <v>-16.7</v>
      </c>
      <c r="E62">
        <v>-18.277777780000001</v>
      </c>
      <c r="F62" s="8"/>
      <c r="G62" t="s">
        <v>33</v>
      </c>
      <c r="H62" s="8"/>
      <c r="I62" t="s">
        <v>33</v>
      </c>
      <c r="J62" s="10">
        <v>-2.1626506712362001</v>
      </c>
      <c r="K62" s="10">
        <v>1.2505393312325914</v>
      </c>
      <c r="L62" s="10">
        <v>0.10032475232011413</v>
      </c>
      <c r="M62" s="10">
        <v>0.5734060436714965</v>
      </c>
      <c r="N62" s="10">
        <v>0.10533533586504086</v>
      </c>
      <c r="O62" s="10">
        <v>0.22093382888417651</v>
      </c>
      <c r="P62" s="10">
        <v>3.9259171919999998E-8</v>
      </c>
      <c r="Q62" s="10">
        <f t="shared" si="0"/>
        <v>0.5734060436714965</v>
      </c>
      <c r="R62" t="str">
        <f t="shared" si="1"/>
        <v>NO</v>
      </c>
      <c r="S62">
        <f t="shared" si="2"/>
        <v>5.3765979115741498</v>
      </c>
      <c r="T62" s="8"/>
      <c r="U62" t="str">
        <f t="shared" si="3"/>
        <v>YES</v>
      </c>
    </row>
    <row r="63" spans="1:21" x14ac:dyDescent="0.25">
      <c r="A63" t="s">
        <v>157</v>
      </c>
      <c r="B63">
        <v>12.57</v>
      </c>
      <c r="C63">
        <v>11.67816092</v>
      </c>
      <c r="D63">
        <v>-14.18</v>
      </c>
      <c r="E63">
        <v>-15.47777778</v>
      </c>
      <c r="F63" s="8"/>
      <c r="G63" t="s">
        <v>76</v>
      </c>
      <c r="H63" s="8"/>
      <c r="I63" t="s">
        <v>35</v>
      </c>
      <c r="J63" s="10">
        <v>-1.1410268779266808</v>
      </c>
      <c r="K63" s="10">
        <v>2.7477603446089924</v>
      </c>
      <c r="L63" s="10">
        <v>1.4101449705785399E-2</v>
      </c>
      <c r="M63" s="10">
        <v>0.31433841511222138</v>
      </c>
      <c r="N63" s="10">
        <v>0.37962151801405625</v>
      </c>
      <c r="O63" s="10">
        <v>0.29193498126593043</v>
      </c>
      <c r="P63" s="10">
        <v>3.6359020064800001E-6</v>
      </c>
      <c r="Q63" s="10">
        <f t="shared" si="0"/>
        <v>0.37962151801405625</v>
      </c>
      <c r="R63" t="str">
        <f t="shared" si="1"/>
        <v>NO</v>
      </c>
      <c r="S63">
        <f t="shared" si="2"/>
        <v>2.4476768878173796</v>
      </c>
      <c r="T63" s="8"/>
      <c r="U63" t="str">
        <f t="shared" si="3"/>
        <v>NO</v>
      </c>
    </row>
    <row r="64" spans="1:21" x14ac:dyDescent="0.25">
      <c r="A64" t="s">
        <v>158</v>
      </c>
      <c r="B64">
        <v>11.73</v>
      </c>
      <c r="C64">
        <v>10.712643679999999</v>
      </c>
      <c r="D64">
        <v>-15.8</v>
      </c>
      <c r="E64">
        <v>-17.277777780000001</v>
      </c>
      <c r="F64" s="8"/>
      <c r="G64" t="s">
        <v>33</v>
      </c>
      <c r="H64" s="8"/>
      <c r="I64" t="s">
        <v>33</v>
      </c>
      <c r="J64" s="10">
        <v>-1.6884751576723218</v>
      </c>
      <c r="K64" s="10">
        <v>1.6596899658866944</v>
      </c>
      <c r="L64" s="10">
        <v>6.9547450449660722E-2</v>
      </c>
      <c r="M64" s="10">
        <v>0.45553682356432829</v>
      </c>
      <c r="N64" s="10">
        <v>0.17126873061864542</v>
      </c>
      <c r="O64" s="10">
        <v>0.30364657614650503</v>
      </c>
      <c r="P64" s="10">
        <v>4.1922086052E-7</v>
      </c>
      <c r="Q64" s="10">
        <f t="shared" si="0"/>
        <v>0.45553682356432829</v>
      </c>
      <c r="R64" t="str">
        <f t="shared" si="1"/>
        <v>NO</v>
      </c>
      <c r="S64">
        <f t="shared" si="2"/>
        <v>3.3466860076488563</v>
      </c>
      <c r="T64" s="8"/>
      <c r="U64" t="str">
        <f t="shared" si="3"/>
        <v>YES</v>
      </c>
    </row>
    <row r="65" spans="1:21" x14ac:dyDescent="0.25">
      <c r="A65" t="s">
        <v>159</v>
      </c>
      <c r="B65">
        <v>7.7</v>
      </c>
      <c r="C65">
        <v>6.08045977</v>
      </c>
      <c r="D65">
        <v>-15.3</v>
      </c>
      <c r="E65">
        <v>-16.722222219999999</v>
      </c>
      <c r="F65" s="8"/>
      <c r="G65" t="s">
        <v>76</v>
      </c>
      <c r="H65" s="8"/>
      <c r="I65" t="s">
        <v>32</v>
      </c>
      <c r="J65" s="10">
        <v>0.46520727348187307</v>
      </c>
      <c r="K65" s="10">
        <v>-0.22620698484447388</v>
      </c>
      <c r="L65" s="10">
        <v>0.49853274772554129</v>
      </c>
      <c r="M65" s="10">
        <v>9.1986766797584902E-3</v>
      </c>
      <c r="N65" s="10">
        <v>1.130996427013402E-2</v>
      </c>
      <c r="O65" s="10">
        <v>0.46143167033050614</v>
      </c>
      <c r="P65" s="10">
        <v>1.952694099405981E-2</v>
      </c>
      <c r="Q65" s="10">
        <f t="shared" si="0"/>
        <v>0.49853274772554129</v>
      </c>
      <c r="R65" t="str">
        <f t="shared" si="1"/>
        <v>NO</v>
      </c>
      <c r="S65">
        <f t="shared" si="2"/>
        <v>3.9765926525761537</v>
      </c>
      <c r="T65" s="8"/>
      <c r="U65" t="str">
        <f t="shared" si="3"/>
        <v>NO</v>
      </c>
    </row>
    <row r="66" spans="1:21" x14ac:dyDescent="0.25">
      <c r="A66" t="s">
        <v>160</v>
      </c>
      <c r="B66">
        <v>10.19</v>
      </c>
      <c r="C66">
        <v>8.9425287359999999</v>
      </c>
      <c r="D66">
        <v>-15.17</v>
      </c>
      <c r="E66">
        <v>-16.577777780000002</v>
      </c>
      <c r="F66" s="8"/>
      <c r="G66" t="s">
        <v>76</v>
      </c>
      <c r="H66" s="8"/>
      <c r="I66" t="s">
        <v>76</v>
      </c>
      <c r="J66" s="10">
        <v>-0.61376417552067863</v>
      </c>
      <c r="K66" s="10">
        <v>1.1182544262336682</v>
      </c>
      <c r="L66" s="10">
        <v>0.17848933838003458</v>
      </c>
      <c r="M66" s="10">
        <v>0.12478620807016437</v>
      </c>
      <c r="N66" s="10">
        <v>0.1056743138668081</v>
      </c>
      <c r="O66" s="10">
        <v>0.59092332118431301</v>
      </c>
      <c r="P66" s="10">
        <v>1.2681849868001E-4</v>
      </c>
      <c r="Q66" s="10">
        <f t="shared" si="0"/>
        <v>0.59092332118431301</v>
      </c>
      <c r="R66" t="str">
        <f t="shared" si="1"/>
        <v>NO</v>
      </c>
      <c r="S66">
        <f t="shared" si="2"/>
        <v>5.7781179107553928</v>
      </c>
      <c r="T66" s="8"/>
      <c r="U66" t="str">
        <f t="shared" si="3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tabSelected="1" topLeftCell="B1" workbookViewId="0">
      <selection activeCell="O20" sqref="O20"/>
    </sheetView>
  </sheetViews>
  <sheetFormatPr defaultRowHeight="15" x14ac:dyDescent="0.25"/>
  <cols>
    <col min="1" max="1" width="14.28515625" customWidth="1"/>
    <col min="7" max="7" width="16.5703125" bestFit="1" customWidth="1"/>
  </cols>
  <sheetData>
    <row r="1" spans="1:22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K1" s="1"/>
      <c r="N1" t="s">
        <v>59</v>
      </c>
      <c r="O1" t="s">
        <v>60</v>
      </c>
    </row>
    <row r="2" spans="1:22" x14ac:dyDescent="0.25">
      <c r="H2" t="s">
        <v>61</v>
      </c>
      <c r="I2" t="s">
        <v>35</v>
      </c>
      <c r="J2" t="s">
        <v>34</v>
      </c>
      <c r="K2" t="s">
        <v>62</v>
      </c>
      <c r="L2" t="s">
        <v>63</v>
      </c>
      <c r="M2" t="s">
        <v>64</v>
      </c>
    </row>
    <row r="3" spans="1:22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>
        <v>0</v>
      </c>
      <c r="I3">
        <v>0</v>
      </c>
      <c r="J3">
        <v>0</v>
      </c>
      <c r="K3">
        <v>9</v>
      </c>
      <c r="L3">
        <v>3</v>
      </c>
      <c r="M3">
        <v>2</v>
      </c>
      <c r="N3" t="s">
        <v>43</v>
      </c>
    </row>
    <row r="4" spans="1:2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44</v>
      </c>
      <c r="H4">
        <v>0</v>
      </c>
      <c r="I4">
        <v>0</v>
      </c>
      <c r="J4">
        <v>0</v>
      </c>
      <c r="K4">
        <v>6</v>
      </c>
      <c r="L4">
        <v>3</v>
      </c>
      <c r="M4">
        <v>6</v>
      </c>
      <c r="N4" t="s">
        <v>45</v>
      </c>
      <c r="O4" t="s">
        <v>46</v>
      </c>
    </row>
    <row r="5" spans="1:22" x14ac:dyDescent="0.25">
      <c r="A5" t="s">
        <v>36</v>
      </c>
      <c r="B5" t="s">
        <v>37</v>
      </c>
      <c r="C5" t="s">
        <v>47</v>
      </c>
      <c r="D5" t="s">
        <v>48</v>
      </c>
      <c r="E5" t="s">
        <v>49</v>
      </c>
      <c r="F5" t="s">
        <v>41</v>
      </c>
      <c r="G5" t="s">
        <v>44</v>
      </c>
      <c r="H5">
        <v>0</v>
      </c>
      <c r="I5">
        <v>0</v>
      </c>
      <c r="J5">
        <v>5</v>
      </c>
      <c r="K5">
        <v>10</v>
      </c>
      <c r="L5">
        <v>11</v>
      </c>
      <c r="M5">
        <v>2</v>
      </c>
      <c r="N5" t="s">
        <v>45</v>
      </c>
      <c r="O5" t="s">
        <v>50</v>
      </c>
    </row>
    <row r="6" spans="1:22" x14ac:dyDescent="0.25">
      <c r="G6" s="6" t="s">
        <v>71</v>
      </c>
      <c r="H6" s="6"/>
      <c r="I6" s="6">
        <v>0</v>
      </c>
      <c r="J6" s="6">
        <v>5</v>
      </c>
      <c r="K6" s="6">
        <f>SUM(K3:K5)</f>
        <v>25</v>
      </c>
      <c r="L6" s="6">
        <f t="shared" ref="L6:M6" si="0">SUM(L3:L5)</f>
        <v>17</v>
      </c>
      <c r="M6" s="6">
        <f t="shared" si="0"/>
        <v>10</v>
      </c>
    </row>
    <row r="7" spans="1:22" x14ac:dyDescent="0.25">
      <c r="G7" s="6" t="s">
        <v>73</v>
      </c>
      <c r="H7" s="6"/>
      <c r="I7" s="7">
        <v>0</v>
      </c>
      <c r="J7" s="7">
        <f>J6/(SUM($J6:$M6))</f>
        <v>8.771929824561403E-2</v>
      </c>
      <c r="K7" s="7">
        <f t="shared" ref="K7:M7" si="1">K6/(SUM($J6:$M6))</f>
        <v>0.43859649122807015</v>
      </c>
      <c r="L7" s="7">
        <f t="shared" si="1"/>
        <v>0.2982456140350877</v>
      </c>
      <c r="M7" s="7">
        <f t="shared" si="1"/>
        <v>0.17543859649122806</v>
      </c>
    </row>
    <row r="8" spans="1:22" x14ac:dyDescent="0.25">
      <c r="H8" t="s">
        <v>61</v>
      </c>
      <c r="I8" t="s">
        <v>35</v>
      </c>
      <c r="J8" t="s">
        <v>34</v>
      </c>
      <c r="K8" t="s">
        <v>62</v>
      </c>
      <c r="L8" t="s">
        <v>63</v>
      </c>
      <c r="M8" t="s">
        <v>64</v>
      </c>
      <c r="P8" t="s">
        <v>61</v>
      </c>
      <c r="Q8" t="s">
        <v>35</v>
      </c>
      <c r="R8" t="s">
        <v>34</v>
      </c>
      <c r="S8" t="s">
        <v>62</v>
      </c>
      <c r="T8" t="s">
        <v>63</v>
      </c>
      <c r="U8" t="s">
        <v>64</v>
      </c>
    </row>
    <row r="9" spans="1:22" x14ac:dyDescent="0.25">
      <c r="F9" t="s">
        <v>86</v>
      </c>
      <c r="G9" s="3" t="s">
        <v>74</v>
      </c>
      <c r="H9" s="3">
        <v>0</v>
      </c>
      <c r="I9" s="3">
        <v>0</v>
      </c>
      <c r="J9" s="3">
        <v>2</v>
      </c>
      <c r="K9" s="4">
        <v>9</v>
      </c>
      <c r="L9" s="4">
        <v>3</v>
      </c>
      <c r="M9" s="4">
        <v>13</v>
      </c>
      <c r="O9" t="s">
        <v>89</v>
      </c>
      <c r="P9" s="4">
        <v>0</v>
      </c>
      <c r="Q9" s="4">
        <v>0</v>
      </c>
      <c r="R9" s="4">
        <v>3</v>
      </c>
      <c r="S9" s="3">
        <v>7</v>
      </c>
      <c r="T9" s="4">
        <v>6</v>
      </c>
      <c r="U9" s="4">
        <v>11</v>
      </c>
    </row>
    <row r="10" spans="1:22" x14ac:dyDescent="0.25">
      <c r="G10" s="3" t="s">
        <v>73</v>
      </c>
      <c r="H10" s="5">
        <f>H9/(SUM($I9:$M9))</f>
        <v>0</v>
      </c>
      <c r="I10" s="5">
        <f>I9/(SUM($I9:$M9))</f>
        <v>0</v>
      </c>
      <c r="J10" s="5">
        <f>J9/(SUM($I9:$M9))</f>
        <v>7.407407407407407E-2</v>
      </c>
      <c r="K10" s="5">
        <f t="shared" ref="K10:M10" si="2">K9/(SUM($J9:$M9))</f>
        <v>0.33333333333333331</v>
      </c>
      <c r="L10" s="5">
        <f t="shared" si="2"/>
        <v>0.1111111111111111</v>
      </c>
      <c r="M10" s="5">
        <f t="shared" si="2"/>
        <v>0.48148148148148145</v>
      </c>
      <c r="O10" t="s">
        <v>73</v>
      </c>
      <c r="P10" s="5">
        <f>P9/SUM($P$9:$U$9)</f>
        <v>0</v>
      </c>
      <c r="Q10" s="5">
        <f>Q9/SUM($P$9:$U$9)</f>
        <v>0</v>
      </c>
      <c r="R10" s="5">
        <f>R9/SUM($P$9:$U$9)</f>
        <v>0.1111111111111111</v>
      </c>
      <c r="S10" s="5">
        <f>S9/SUM($P$9:$U$9)</f>
        <v>0.25925925925925924</v>
      </c>
      <c r="T10" s="5">
        <f>T9/SUM($P$9:$U$9)</f>
        <v>0.22222222222222221</v>
      </c>
      <c r="U10" s="5">
        <f>U9/SUM($P$9:$U$9)</f>
        <v>0.40740740740740738</v>
      </c>
    </row>
    <row r="11" spans="1:22" x14ac:dyDescent="0.25">
      <c r="K11" s="2"/>
      <c r="L11" s="2"/>
      <c r="M11" s="2"/>
    </row>
    <row r="12" spans="1:22" x14ac:dyDescent="0.25">
      <c r="F12" t="s">
        <v>87</v>
      </c>
      <c r="G12" s="3" t="s">
        <v>85</v>
      </c>
      <c r="H12" s="3">
        <v>0</v>
      </c>
      <c r="I12" s="3">
        <v>3</v>
      </c>
      <c r="J12" s="3">
        <v>1</v>
      </c>
      <c r="K12" s="4">
        <v>19</v>
      </c>
      <c r="L12" s="4">
        <v>18</v>
      </c>
      <c r="M12" s="4">
        <v>24</v>
      </c>
      <c r="O12" t="s">
        <v>90</v>
      </c>
      <c r="P12" s="4">
        <v>0</v>
      </c>
      <c r="Q12" s="4">
        <v>5</v>
      </c>
      <c r="R12" s="4">
        <v>1</v>
      </c>
      <c r="S12" s="4">
        <v>7</v>
      </c>
      <c r="T12" s="4">
        <v>26</v>
      </c>
      <c r="U12" s="4">
        <v>26</v>
      </c>
      <c r="V12" s="15"/>
    </row>
    <row r="13" spans="1:22" x14ac:dyDescent="0.25">
      <c r="G13" s="3" t="s">
        <v>73</v>
      </c>
      <c r="H13" s="5">
        <f>H12/(SUM($I12:$M12))</f>
        <v>0</v>
      </c>
      <c r="I13" s="5">
        <f>I12/(SUM($I12:$M12))</f>
        <v>4.6153846153846156E-2</v>
      </c>
      <c r="J13" s="5">
        <f t="shared" ref="J13:M13" si="3">J12/(SUM($I12:$M12))</f>
        <v>1.5384615384615385E-2</v>
      </c>
      <c r="K13" s="5">
        <f t="shared" si="3"/>
        <v>0.29230769230769232</v>
      </c>
      <c r="L13" s="5">
        <f t="shared" si="3"/>
        <v>0.27692307692307694</v>
      </c>
      <c r="M13" s="5">
        <f t="shared" si="3"/>
        <v>0.36923076923076925</v>
      </c>
      <c r="O13" t="s">
        <v>73</v>
      </c>
      <c r="P13" s="5">
        <f>P12/SUM($P$12:$U$12)</f>
        <v>0</v>
      </c>
      <c r="Q13" s="5">
        <f t="shared" ref="Q13:U13" si="4">Q12/SUM($P$12:$U$12)</f>
        <v>7.6923076923076927E-2</v>
      </c>
      <c r="R13" s="5">
        <f t="shared" si="4"/>
        <v>1.5384615384615385E-2</v>
      </c>
      <c r="S13" s="5">
        <f t="shared" si="4"/>
        <v>0.1076923076923077</v>
      </c>
      <c r="T13" s="5">
        <f t="shared" si="4"/>
        <v>0.4</v>
      </c>
      <c r="U13" s="5">
        <f t="shared" si="4"/>
        <v>0.4</v>
      </c>
    </row>
    <row r="15" spans="1:22" x14ac:dyDescent="0.25">
      <c r="F15" t="s">
        <v>88</v>
      </c>
      <c r="G15" s="12" t="s">
        <v>85</v>
      </c>
      <c r="H15" s="12">
        <v>0</v>
      </c>
      <c r="I15" s="12">
        <f>SUM(I9,I12)</f>
        <v>3</v>
      </c>
      <c r="J15" s="12">
        <f t="shared" ref="J15:M15" si="5">SUM(J9,J12)</f>
        <v>3</v>
      </c>
      <c r="K15" s="12">
        <f t="shared" si="5"/>
        <v>28</v>
      </c>
      <c r="L15" s="12">
        <f t="shared" si="5"/>
        <v>21</v>
      </c>
      <c r="M15" s="12">
        <f t="shared" si="5"/>
        <v>37</v>
      </c>
      <c r="O15" t="s">
        <v>88</v>
      </c>
      <c r="P15" s="12">
        <v>0</v>
      </c>
      <c r="Q15" s="16">
        <f>SUM(Q9,Q12)</f>
        <v>5</v>
      </c>
      <c r="R15" s="16">
        <f t="shared" ref="R15:U15" si="6">SUM(R9,R12)</f>
        <v>4</v>
      </c>
      <c r="S15" s="16">
        <f t="shared" si="6"/>
        <v>14</v>
      </c>
      <c r="T15" s="16">
        <f t="shared" si="6"/>
        <v>32</v>
      </c>
      <c r="U15" s="16">
        <f t="shared" si="6"/>
        <v>37</v>
      </c>
    </row>
    <row r="16" spans="1:22" x14ac:dyDescent="0.25">
      <c r="G16" s="12" t="s">
        <v>73</v>
      </c>
      <c r="H16" s="11">
        <f>H15/SUM($I15:$M15)</f>
        <v>0</v>
      </c>
      <c r="I16" s="11">
        <f>I15/SUM($I15:$M15)</f>
        <v>3.2608695652173912E-2</v>
      </c>
      <c r="J16" s="11">
        <f t="shared" ref="J16:M16" si="7">J15/SUM($I15:$M15)</f>
        <v>3.2608695652173912E-2</v>
      </c>
      <c r="K16" s="11">
        <f t="shared" si="7"/>
        <v>0.30434782608695654</v>
      </c>
      <c r="L16" s="11">
        <f t="shared" si="7"/>
        <v>0.22826086956521738</v>
      </c>
      <c r="M16" s="11">
        <f t="shared" si="7"/>
        <v>0.40217391304347827</v>
      </c>
      <c r="P16" s="11">
        <f>P15/SUM($P$15:$U$15)</f>
        <v>0</v>
      </c>
      <c r="Q16" s="11">
        <f t="shared" ref="Q16:U16" si="8">Q15/SUM($P$15:$U$15)</f>
        <v>5.434782608695652E-2</v>
      </c>
      <c r="R16" s="11">
        <f t="shared" si="8"/>
        <v>4.3478260869565216E-2</v>
      </c>
      <c r="S16" s="11">
        <f t="shared" si="8"/>
        <v>0.15217391304347827</v>
      </c>
      <c r="T16" s="11">
        <f t="shared" si="8"/>
        <v>0.34782608695652173</v>
      </c>
      <c r="U16" s="11">
        <f t="shared" si="8"/>
        <v>0.40217391304347827</v>
      </c>
    </row>
    <row r="17" spans="1:13" x14ac:dyDescent="0.25">
      <c r="G17" s="13"/>
      <c r="H17" s="14"/>
      <c r="I17" s="14"/>
      <c r="J17" s="14"/>
      <c r="K17" s="14"/>
      <c r="L17" s="14"/>
      <c r="M17" s="14"/>
    </row>
    <row r="18" spans="1:13" x14ac:dyDescent="0.25">
      <c r="G18" s="13"/>
      <c r="H18" s="14"/>
      <c r="I18" s="14"/>
      <c r="J18" s="14"/>
      <c r="K18" s="14"/>
      <c r="L18" s="14"/>
      <c r="M18" s="14"/>
    </row>
    <row r="19" spans="1:13" x14ac:dyDescent="0.25">
      <c r="G19" s="13"/>
      <c r="H19" s="14"/>
      <c r="I19" s="14"/>
      <c r="J19" s="14"/>
      <c r="K19" s="14"/>
      <c r="L19" s="14"/>
      <c r="M19" s="14"/>
    </row>
    <row r="20" spans="1:13" x14ac:dyDescent="0.25">
      <c r="B20" t="s">
        <v>91</v>
      </c>
    </row>
    <row r="21" spans="1:13" x14ac:dyDescent="0.25">
      <c r="A21" t="s">
        <v>72</v>
      </c>
      <c r="B21" t="s">
        <v>65</v>
      </c>
    </row>
    <row r="23" spans="1:13" x14ac:dyDescent="0.25">
      <c r="A23" t="s">
        <v>43</v>
      </c>
      <c r="B23" t="s">
        <v>68</v>
      </c>
    </row>
    <row r="24" spans="1:13" x14ac:dyDescent="0.25">
      <c r="A24" t="s">
        <v>66</v>
      </c>
      <c r="B24" t="s">
        <v>67</v>
      </c>
    </row>
    <row r="25" spans="1:13" x14ac:dyDescent="0.25">
      <c r="A25" t="s">
        <v>45</v>
      </c>
      <c r="B25" t="s">
        <v>69</v>
      </c>
    </row>
    <row r="26" spans="1:13" x14ac:dyDescent="0.25">
      <c r="A26" t="s">
        <v>50</v>
      </c>
      <c r="B26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 Turtles</vt:lpstr>
      <vt:lpstr>2019 Turtles</vt:lpstr>
      <vt:lpstr>Summary and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2020-06-01T19:05:44Z</dcterms:created>
  <dcterms:modified xsi:type="dcterms:W3CDTF">2021-12-15T16:21:03Z</dcterms:modified>
</cp:coreProperties>
</file>