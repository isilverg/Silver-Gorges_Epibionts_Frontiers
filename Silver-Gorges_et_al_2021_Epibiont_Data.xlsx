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n\Desktop\Epibionts\"/>
    </mc:Choice>
  </mc:AlternateContent>
  <bookViews>
    <workbookView xWindow="0" yWindow="0" windowWidth="13275" windowHeight="11115"/>
  </bookViews>
  <sheets>
    <sheet name="primer 1 matrix" sheetId="1" r:id="rId1"/>
  </sheets>
  <definedNames>
    <definedName name="_xlnm._FilterDatabase" localSheetId="0" hidden="1">'primer 1 matrix'!$A$1:$OQ$1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W87" i="1" l="1"/>
  <c r="KW86" i="1"/>
  <c r="KW85" i="1"/>
  <c r="KW23" i="1"/>
  <c r="KW22" i="1"/>
  <c r="KW21" i="1"/>
  <c r="ON87" i="1" l="1"/>
  <c r="ON86" i="1"/>
  <c r="ON85" i="1"/>
  <c r="ON23" i="1"/>
  <c r="ON22" i="1"/>
  <c r="ON21" i="1"/>
  <c r="KP90" i="1" l="1"/>
  <c r="KO90" i="1"/>
  <c r="KN90" i="1"/>
  <c r="KM90" i="1"/>
  <c r="KL90" i="1"/>
  <c r="KK90" i="1"/>
  <c r="KJ90" i="1"/>
  <c r="KI90" i="1"/>
  <c r="KH90" i="1"/>
  <c r="KG90" i="1"/>
  <c r="KF90" i="1"/>
  <c r="KE90" i="1"/>
  <c r="KD90" i="1"/>
  <c r="KC90" i="1"/>
  <c r="KB90" i="1"/>
  <c r="KA90" i="1"/>
  <c r="JZ90" i="1"/>
  <c r="JY90" i="1"/>
  <c r="JX90" i="1"/>
  <c r="JW90" i="1"/>
  <c r="JV90" i="1"/>
  <c r="JU90" i="1"/>
  <c r="JT90" i="1"/>
  <c r="JS90" i="1"/>
  <c r="JR90" i="1"/>
  <c r="JQ90" i="1"/>
  <c r="JP90" i="1"/>
  <c r="JO90" i="1"/>
  <c r="JN90" i="1"/>
  <c r="JM90" i="1"/>
  <c r="JL90" i="1"/>
  <c r="JK90" i="1"/>
  <c r="JJ90" i="1"/>
  <c r="JI90" i="1"/>
  <c r="JH90" i="1"/>
  <c r="JF90" i="1"/>
  <c r="JE90" i="1"/>
  <c r="JD90" i="1"/>
  <c r="JC90" i="1"/>
  <c r="JB90" i="1"/>
  <c r="JA90" i="1"/>
  <c r="IZ90" i="1"/>
  <c r="IY90" i="1"/>
  <c r="IX90" i="1"/>
  <c r="IW90" i="1"/>
  <c r="IV90" i="1"/>
  <c r="IU90" i="1"/>
  <c r="IT90" i="1"/>
  <c r="IS90" i="1"/>
  <c r="IR90" i="1"/>
  <c r="IQ90" i="1"/>
  <c r="IP90" i="1"/>
  <c r="IO90" i="1"/>
  <c r="IN90" i="1"/>
  <c r="IM90" i="1"/>
  <c r="IL90" i="1"/>
  <c r="IK90" i="1"/>
  <c r="IJ90" i="1"/>
  <c r="II90" i="1"/>
  <c r="IH90" i="1"/>
  <c r="IG90" i="1"/>
  <c r="IF90" i="1"/>
  <c r="IE90" i="1"/>
  <c r="ID90" i="1"/>
  <c r="IC90" i="1"/>
  <c r="IB90" i="1"/>
  <c r="IA90" i="1"/>
  <c r="HZ90" i="1"/>
  <c r="HY90" i="1"/>
  <c r="HX90" i="1"/>
  <c r="HW90" i="1"/>
  <c r="HV90" i="1"/>
  <c r="HU90" i="1"/>
  <c r="HT90" i="1"/>
  <c r="HS90" i="1"/>
  <c r="HR90" i="1"/>
  <c r="HQ90" i="1"/>
  <c r="HP90" i="1"/>
  <c r="HO90" i="1"/>
  <c r="HN90" i="1"/>
  <c r="HM90" i="1"/>
  <c r="HL90" i="1"/>
  <c r="HK90" i="1"/>
  <c r="HJ90" i="1"/>
  <c r="HI90" i="1"/>
  <c r="HH90" i="1"/>
  <c r="HG90" i="1"/>
  <c r="HF90" i="1"/>
  <c r="HE90" i="1"/>
  <c r="HD90" i="1"/>
  <c r="HC90" i="1"/>
  <c r="HB90" i="1"/>
  <c r="HA90" i="1"/>
  <c r="GZ90" i="1"/>
  <c r="GY90" i="1"/>
  <c r="GX90" i="1"/>
  <c r="GW90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KP89" i="1"/>
  <c r="KO89" i="1"/>
  <c r="KN89" i="1"/>
  <c r="KM89" i="1"/>
  <c r="KL89" i="1"/>
  <c r="KK89" i="1"/>
  <c r="KJ89" i="1"/>
  <c r="KI89" i="1"/>
  <c r="KH89" i="1"/>
  <c r="KG89" i="1"/>
  <c r="KF89" i="1"/>
  <c r="KE89" i="1"/>
  <c r="KD89" i="1"/>
  <c r="KC89" i="1"/>
  <c r="KB89" i="1"/>
  <c r="KA89" i="1"/>
  <c r="JZ89" i="1"/>
  <c r="JY89" i="1"/>
  <c r="JX89" i="1"/>
  <c r="JW89" i="1"/>
  <c r="JV89" i="1"/>
  <c r="JU89" i="1"/>
  <c r="JT89" i="1"/>
  <c r="JS89" i="1"/>
  <c r="JR89" i="1"/>
  <c r="JQ89" i="1"/>
  <c r="JP89" i="1"/>
  <c r="JO89" i="1"/>
  <c r="JN89" i="1"/>
  <c r="JM89" i="1"/>
  <c r="JL89" i="1"/>
  <c r="JK89" i="1"/>
  <c r="JJ89" i="1"/>
  <c r="JI89" i="1"/>
  <c r="JH89" i="1"/>
  <c r="JF89" i="1"/>
  <c r="JE89" i="1"/>
  <c r="JD89" i="1"/>
  <c r="JC89" i="1"/>
  <c r="JB89" i="1"/>
  <c r="JA89" i="1"/>
  <c r="IZ89" i="1"/>
  <c r="IY89" i="1"/>
  <c r="IX89" i="1"/>
  <c r="IW89" i="1"/>
  <c r="IV89" i="1"/>
  <c r="IU89" i="1"/>
  <c r="IT89" i="1"/>
  <c r="IS89" i="1"/>
  <c r="IR89" i="1"/>
  <c r="IQ89" i="1"/>
  <c r="IP89" i="1"/>
  <c r="IO89" i="1"/>
  <c r="IN89" i="1"/>
  <c r="IM89" i="1"/>
  <c r="IL89" i="1"/>
  <c r="IK89" i="1"/>
  <c r="IJ89" i="1"/>
  <c r="II89" i="1"/>
  <c r="IH89" i="1"/>
  <c r="IG89" i="1"/>
  <c r="IF89" i="1"/>
  <c r="IE89" i="1"/>
  <c r="ID89" i="1"/>
  <c r="IC89" i="1"/>
  <c r="IB89" i="1"/>
  <c r="IA89" i="1"/>
  <c r="HZ89" i="1"/>
  <c r="HY89" i="1"/>
  <c r="HX89" i="1"/>
  <c r="HW89" i="1"/>
  <c r="HV89" i="1"/>
  <c r="HU89" i="1"/>
  <c r="HT89" i="1"/>
  <c r="HS89" i="1"/>
  <c r="HR89" i="1"/>
  <c r="HQ89" i="1"/>
  <c r="HP89" i="1"/>
  <c r="HO89" i="1"/>
  <c r="HN89" i="1"/>
  <c r="HM89" i="1"/>
  <c r="HL89" i="1"/>
  <c r="HK89" i="1"/>
  <c r="HJ89" i="1"/>
  <c r="HI89" i="1"/>
  <c r="HH89" i="1"/>
  <c r="HG89" i="1"/>
  <c r="HF89" i="1"/>
  <c r="HE89" i="1"/>
  <c r="HD89" i="1"/>
  <c r="HC89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KP88" i="1"/>
  <c r="KO88" i="1"/>
  <c r="KN88" i="1"/>
  <c r="KM88" i="1"/>
  <c r="KL88" i="1"/>
  <c r="KK88" i="1"/>
  <c r="KJ88" i="1"/>
  <c r="KI88" i="1"/>
  <c r="KH88" i="1"/>
  <c r="KG88" i="1"/>
  <c r="KF88" i="1"/>
  <c r="KE88" i="1"/>
  <c r="KD88" i="1"/>
  <c r="KC88" i="1"/>
  <c r="KB88" i="1"/>
  <c r="KA88" i="1"/>
  <c r="JZ88" i="1"/>
  <c r="JY88" i="1"/>
  <c r="JX88" i="1"/>
  <c r="JW88" i="1"/>
  <c r="JV88" i="1"/>
  <c r="JU88" i="1"/>
  <c r="JT88" i="1"/>
  <c r="JS88" i="1"/>
  <c r="JR88" i="1"/>
  <c r="JQ88" i="1"/>
  <c r="JP88" i="1"/>
  <c r="JO88" i="1"/>
  <c r="JN88" i="1"/>
  <c r="JM88" i="1"/>
  <c r="JL88" i="1"/>
  <c r="JK88" i="1"/>
  <c r="JJ88" i="1"/>
  <c r="JI88" i="1"/>
  <c r="JH88" i="1"/>
  <c r="JF88" i="1"/>
  <c r="JE88" i="1"/>
  <c r="JD88" i="1"/>
  <c r="JC88" i="1"/>
  <c r="JB88" i="1"/>
  <c r="JA88" i="1"/>
  <c r="IZ88" i="1"/>
  <c r="IY88" i="1"/>
  <c r="IX88" i="1"/>
  <c r="IW88" i="1"/>
  <c r="IV88" i="1"/>
  <c r="IU88" i="1"/>
  <c r="IT88" i="1"/>
  <c r="IS88" i="1"/>
  <c r="IR88" i="1"/>
  <c r="IQ88" i="1"/>
  <c r="IP88" i="1"/>
  <c r="IO88" i="1"/>
  <c r="IN88" i="1"/>
  <c r="IM88" i="1"/>
  <c r="IL88" i="1"/>
  <c r="IK88" i="1"/>
  <c r="IJ88" i="1"/>
  <c r="II88" i="1"/>
  <c r="IH88" i="1"/>
  <c r="IG88" i="1"/>
  <c r="IF88" i="1"/>
  <c r="IE88" i="1"/>
  <c r="ID88" i="1"/>
  <c r="IC88" i="1"/>
  <c r="IB88" i="1"/>
  <c r="IA88" i="1"/>
  <c r="HZ88" i="1"/>
  <c r="HY88" i="1"/>
  <c r="HX88" i="1"/>
  <c r="HW88" i="1"/>
  <c r="HV88" i="1"/>
  <c r="HU88" i="1"/>
  <c r="HT88" i="1"/>
  <c r="HS88" i="1"/>
  <c r="HR88" i="1"/>
  <c r="HQ88" i="1"/>
  <c r="HP88" i="1"/>
  <c r="HO88" i="1"/>
  <c r="HN88" i="1"/>
  <c r="HM88" i="1"/>
  <c r="HL88" i="1"/>
  <c r="HK88" i="1"/>
  <c r="HJ88" i="1"/>
  <c r="HI88" i="1"/>
  <c r="HH88" i="1"/>
  <c r="HG88" i="1"/>
  <c r="HF88" i="1"/>
  <c r="HE88" i="1"/>
  <c r="HD88" i="1"/>
  <c r="HC88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KP87" i="1"/>
  <c r="KO87" i="1"/>
  <c r="KN87" i="1"/>
  <c r="KM87" i="1"/>
  <c r="KL87" i="1"/>
  <c r="KK87" i="1"/>
  <c r="KJ87" i="1"/>
  <c r="KI87" i="1"/>
  <c r="KH87" i="1"/>
  <c r="KG87" i="1"/>
  <c r="KF87" i="1"/>
  <c r="KE87" i="1"/>
  <c r="KD87" i="1"/>
  <c r="KC87" i="1"/>
  <c r="KB87" i="1"/>
  <c r="KA87" i="1"/>
  <c r="JZ87" i="1"/>
  <c r="JY87" i="1"/>
  <c r="JX87" i="1"/>
  <c r="JW87" i="1"/>
  <c r="JV87" i="1"/>
  <c r="JU87" i="1"/>
  <c r="JT87" i="1"/>
  <c r="JS87" i="1"/>
  <c r="JR87" i="1"/>
  <c r="JQ87" i="1"/>
  <c r="JP87" i="1"/>
  <c r="JO87" i="1"/>
  <c r="JN87" i="1"/>
  <c r="JM87" i="1"/>
  <c r="JL87" i="1"/>
  <c r="JK87" i="1"/>
  <c r="JJ87" i="1"/>
  <c r="JI87" i="1"/>
  <c r="JH87" i="1"/>
  <c r="JF87" i="1"/>
  <c r="JE87" i="1"/>
  <c r="JD87" i="1"/>
  <c r="JC87" i="1"/>
  <c r="JB87" i="1"/>
  <c r="JA87" i="1"/>
  <c r="IZ87" i="1"/>
  <c r="IY87" i="1"/>
  <c r="IX87" i="1"/>
  <c r="IW87" i="1"/>
  <c r="IV87" i="1"/>
  <c r="IU87" i="1"/>
  <c r="IT87" i="1"/>
  <c r="IS87" i="1"/>
  <c r="IR87" i="1"/>
  <c r="IQ87" i="1"/>
  <c r="IP87" i="1"/>
  <c r="IO87" i="1"/>
  <c r="IN87" i="1"/>
  <c r="IM87" i="1"/>
  <c r="IL87" i="1"/>
  <c r="IK87" i="1"/>
  <c r="IJ87" i="1"/>
  <c r="II87" i="1"/>
  <c r="IH87" i="1"/>
  <c r="IG87" i="1"/>
  <c r="IF87" i="1"/>
  <c r="IE87" i="1"/>
  <c r="ID87" i="1"/>
  <c r="IC87" i="1"/>
  <c r="IB87" i="1"/>
  <c r="IA87" i="1"/>
  <c r="HZ87" i="1"/>
  <c r="HY87" i="1"/>
  <c r="HX87" i="1"/>
  <c r="HW87" i="1"/>
  <c r="HV87" i="1"/>
  <c r="HU87" i="1"/>
  <c r="HT87" i="1"/>
  <c r="HS87" i="1"/>
  <c r="HR87" i="1"/>
  <c r="HQ87" i="1"/>
  <c r="HP87" i="1"/>
  <c r="HO87" i="1"/>
  <c r="HN87" i="1"/>
  <c r="HM87" i="1"/>
  <c r="HL87" i="1"/>
  <c r="HK87" i="1"/>
  <c r="HJ87" i="1"/>
  <c r="HI87" i="1"/>
  <c r="HH87" i="1"/>
  <c r="HG87" i="1"/>
  <c r="HF87" i="1"/>
  <c r="HE87" i="1"/>
  <c r="HD87" i="1"/>
  <c r="HC87" i="1"/>
  <c r="HB87" i="1"/>
  <c r="HA87" i="1"/>
  <c r="GZ87" i="1"/>
  <c r="GY87" i="1"/>
  <c r="GX87" i="1"/>
  <c r="GW87" i="1"/>
  <c r="GV87" i="1"/>
  <c r="GU87" i="1"/>
  <c r="GT87" i="1"/>
  <c r="GS87" i="1"/>
  <c r="GR87" i="1"/>
  <c r="GQ87" i="1"/>
  <c r="GP87" i="1"/>
  <c r="GO87" i="1"/>
  <c r="GN87" i="1"/>
  <c r="GM87" i="1"/>
  <c r="GL87" i="1"/>
  <c r="GK87" i="1"/>
  <c r="GJ87" i="1"/>
  <c r="GI87" i="1"/>
  <c r="GH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KP86" i="1"/>
  <c r="KO86" i="1"/>
  <c r="KN86" i="1"/>
  <c r="KM86" i="1"/>
  <c r="KL86" i="1"/>
  <c r="KK86" i="1"/>
  <c r="KJ86" i="1"/>
  <c r="KI86" i="1"/>
  <c r="KH86" i="1"/>
  <c r="KG86" i="1"/>
  <c r="KF86" i="1"/>
  <c r="KE86" i="1"/>
  <c r="KD86" i="1"/>
  <c r="KC86" i="1"/>
  <c r="KB86" i="1"/>
  <c r="KA86" i="1"/>
  <c r="JZ86" i="1"/>
  <c r="JY86" i="1"/>
  <c r="JX86" i="1"/>
  <c r="JW86" i="1"/>
  <c r="JV86" i="1"/>
  <c r="JU86" i="1"/>
  <c r="JT86" i="1"/>
  <c r="JS86" i="1"/>
  <c r="JR86" i="1"/>
  <c r="JQ86" i="1"/>
  <c r="JP86" i="1"/>
  <c r="JO86" i="1"/>
  <c r="JN86" i="1"/>
  <c r="JM86" i="1"/>
  <c r="JL86" i="1"/>
  <c r="JK86" i="1"/>
  <c r="JJ86" i="1"/>
  <c r="JI86" i="1"/>
  <c r="JH86" i="1"/>
  <c r="JF86" i="1"/>
  <c r="JE86" i="1"/>
  <c r="JD86" i="1"/>
  <c r="JC86" i="1"/>
  <c r="JB86" i="1"/>
  <c r="JA86" i="1"/>
  <c r="IZ86" i="1"/>
  <c r="IY86" i="1"/>
  <c r="IX86" i="1"/>
  <c r="IW86" i="1"/>
  <c r="IV86" i="1"/>
  <c r="IU86" i="1"/>
  <c r="IT86" i="1"/>
  <c r="IS86" i="1"/>
  <c r="IR86" i="1"/>
  <c r="IQ86" i="1"/>
  <c r="IP86" i="1"/>
  <c r="IO86" i="1"/>
  <c r="IN86" i="1"/>
  <c r="IM86" i="1"/>
  <c r="IL86" i="1"/>
  <c r="IK86" i="1"/>
  <c r="IJ86" i="1"/>
  <c r="II86" i="1"/>
  <c r="IH86" i="1"/>
  <c r="IG86" i="1"/>
  <c r="IF86" i="1"/>
  <c r="IE86" i="1"/>
  <c r="ID86" i="1"/>
  <c r="IC86" i="1"/>
  <c r="IB86" i="1"/>
  <c r="IA86" i="1"/>
  <c r="HZ86" i="1"/>
  <c r="HY86" i="1"/>
  <c r="HX86" i="1"/>
  <c r="HW86" i="1"/>
  <c r="HV86" i="1"/>
  <c r="HU86" i="1"/>
  <c r="HT86" i="1"/>
  <c r="HS86" i="1"/>
  <c r="HR86" i="1"/>
  <c r="HQ86" i="1"/>
  <c r="HP86" i="1"/>
  <c r="HO86" i="1"/>
  <c r="HN86" i="1"/>
  <c r="HM86" i="1"/>
  <c r="HL86" i="1"/>
  <c r="HK86" i="1"/>
  <c r="HJ86" i="1"/>
  <c r="HI86" i="1"/>
  <c r="HH86" i="1"/>
  <c r="HG86" i="1"/>
  <c r="HF86" i="1"/>
  <c r="HE86" i="1"/>
  <c r="HD86" i="1"/>
  <c r="HC86" i="1"/>
  <c r="HB86" i="1"/>
  <c r="HA86" i="1"/>
  <c r="GZ86" i="1"/>
  <c r="GY86" i="1"/>
  <c r="GX86" i="1"/>
  <c r="GW86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J86" i="1"/>
  <c r="GI86" i="1"/>
  <c r="GH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KP85" i="1"/>
  <c r="KO85" i="1"/>
  <c r="KN85" i="1"/>
  <c r="KM85" i="1"/>
  <c r="KL85" i="1"/>
  <c r="KK85" i="1"/>
  <c r="KJ85" i="1"/>
  <c r="KI85" i="1"/>
  <c r="KH85" i="1"/>
  <c r="KG85" i="1"/>
  <c r="KF85" i="1"/>
  <c r="KE85" i="1"/>
  <c r="KD85" i="1"/>
  <c r="KC85" i="1"/>
  <c r="KB85" i="1"/>
  <c r="KA85" i="1"/>
  <c r="JZ85" i="1"/>
  <c r="JY85" i="1"/>
  <c r="JX85" i="1"/>
  <c r="JW85" i="1"/>
  <c r="JV85" i="1"/>
  <c r="JU85" i="1"/>
  <c r="JT85" i="1"/>
  <c r="JS85" i="1"/>
  <c r="JR85" i="1"/>
  <c r="JQ85" i="1"/>
  <c r="JP85" i="1"/>
  <c r="JO85" i="1"/>
  <c r="JN85" i="1"/>
  <c r="JM85" i="1"/>
  <c r="JL85" i="1"/>
  <c r="JK85" i="1"/>
  <c r="JJ85" i="1"/>
  <c r="JI85" i="1"/>
  <c r="JH85" i="1"/>
  <c r="JF85" i="1"/>
  <c r="JE85" i="1"/>
  <c r="JD85" i="1"/>
  <c r="JC85" i="1"/>
  <c r="JB85" i="1"/>
  <c r="JA85" i="1"/>
  <c r="IZ85" i="1"/>
  <c r="IY85" i="1"/>
  <c r="IX85" i="1"/>
  <c r="IW85" i="1"/>
  <c r="IV85" i="1"/>
  <c r="IU85" i="1"/>
  <c r="IT85" i="1"/>
  <c r="IS85" i="1"/>
  <c r="IR85" i="1"/>
  <c r="IQ85" i="1"/>
  <c r="IP85" i="1"/>
  <c r="IO85" i="1"/>
  <c r="IN85" i="1"/>
  <c r="IM85" i="1"/>
  <c r="IL85" i="1"/>
  <c r="IK85" i="1"/>
  <c r="IJ85" i="1"/>
  <c r="II85" i="1"/>
  <c r="IH85" i="1"/>
  <c r="IG85" i="1"/>
  <c r="IF85" i="1"/>
  <c r="IE85" i="1"/>
  <c r="ID85" i="1"/>
  <c r="IC85" i="1"/>
  <c r="IB85" i="1"/>
  <c r="IA85" i="1"/>
  <c r="HZ85" i="1"/>
  <c r="HY85" i="1"/>
  <c r="HX85" i="1"/>
  <c r="HW85" i="1"/>
  <c r="HV85" i="1"/>
  <c r="HU85" i="1"/>
  <c r="HT85" i="1"/>
  <c r="HS85" i="1"/>
  <c r="HR85" i="1"/>
  <c r="HQ85" i="1"/>
  <c r="HP85" i="1"/>
  <c r="HO85" i="1"/>
  <c r="HN85" i="1"/>
  <c r="HM85" i="1"/>
  <c r="HL85" i="1"/>
  <c r="HK85" i="1"/>
  <c r="HJ85" i="1"/>
  <c r="HI85" i="1"/>
  <c r="HH85" i="1"/>
  <c r="HG85" i="1"/>
  <c r="HF85" i="1"/>
  <c r="HE85" i="1"/>
  <c r="HD85" i="1"/>
  <c r="HC85" i="1"/>
  <c r="HB85" i="1"/>
  <c r="HA85" i="1"/>
  <c r="GZ85" i="1"/>
  <c r="GY85" i="1"/>
  <c r="GX85" i="1"/>
  <c r="GW85" i="1"/>
  <c r="GV85" i="1"/>
  <c r="GU85" i="1"/>
  <c r="GT85" i="1"/>
  <c r="GS85" i="1"/>
  <c r="GR85" i="1"/>
  <c r="GQ85" i="1"/>
  <c r="GP85" i="1"/>
  <c r="GO85" i="1"/>
  <c r="GN85" i="1"/>
  <c r="GM85" i="1"/>
  <c r="GL85" i="1"/>
  <c r="GK85" i="1"/>
  <c r="GJ85" i="1"/>
  <c r="GI85" i="1"/>
  <c r="GH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KP84" i="1"/>
  <c r="KO84" i="1"/>
  <c r="KN84" i="1"/>
  <c r="KM84" i="1"/>
  <c r="KL84" i="1"/>
  <c r="KK84" i="1"/>
  <c r="KJ84" i="1"/>
  <c r="KI84" i="1"/>
  <c r="KH84" i="1"/>
  <c r="KG84" i="1"/>
  <c r="KF84" i="1"/>
  <c r="KE84" i="1"/>
  <c r="KD84" i="1"/>
  <c r="KC84" i="1"/>
  <c r="KB84" i="1"/>
  <c r="KA84" i="1"/>
  <c r="JZ84" i="1"/>
  <c r="JY84" i="1"/>
  <c r="JX84" i="1"/>
  <c r="JW84" i="1"/>
  <c r="JV84" i="1"/>
  <c r="JU84" i="1"/>
  <c r="JT84" i="1"/>
  <c r="JS84" i="1"/>
  <c r="JR84" i="1"/>
  <c r="JQ84" i="1"/>
  <c r="JP84" i="1"/>
  <c r="JO84" i="1"/>
  <c r="JN84" i="1"/>
  <c r="JM84" i="1"/>
  <c r="JL84" i="1"/>
  <c r="JK84" i="1"/>
  <c r="JJ84" i="1"/>
  <c r="JI84" i="1"/>
  <c r="JH84" i="1"/>
  <c r="JF84" i="1"/>
  <c r="JE84" i="1"/>
  <c r="JD84" i="1"/>
  <c r="JC84" i="1"/>
  <c r="JB84" i="1"/>
  <c r="JA84" i="1"/>
  <c r="IZ84" i="1"/>
  <c r="IY84" i="1"/>
  <c r="IX84" i="1"/>
  <c r="IW84" i="1"/>
  <c r="IV84" i="1"/>
  <c r="IU84" i="1"/>
  <c r="IT84" i="1"/>
  <c r="IS84" i="1"/>
  <c r="IR84" i="1"/>
  <c r="IQ84" i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HS84" i="1"/>
  <c r="HR84" i="1"/>
  <c r="HQ84" i="1"/>
  <c r="HP84" i="1"/>
  <c r="HO84" i="1"/>
  <c r="HN84" i="1"/>
  <c r="HM84" i="1"/>
  <c r="HL84" i="1"/>
  <c r="HK84" i="1"/>
  <c r="HJ84" i="1"/>
  <c r="HI84" i="1"/>
  <c r="HH84" i="1"/>
  <c r="HG84" i="1"/>
  <c r="HF84" i="1"/>
  <c r="HE84" i="1"/>
  <c r="HD84" i="1"/>
  <c r="HC84" i="1"/>
  <c r="HB84" i="1"/>
  <c r="HA84" i="1"/>
  <c r="GZ84" i="1"/>
  <c r="GY84" i="1"/>
  <c r="GX84" i="1"/>
  <c r="GW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KP83" i="1"/>
  <c r="KO83" i="1"/>
  <c r="KN83" i="1"/>
  <c r="KM83" i="1"/>
  <c r="KL83" i="1"/>
  <c r="KK83" i="1"/>
  <c r="KJ83" i="1"/>
  <c r="KI83" i="1"/>
  <c r="KH83" i="1"/>
  <c r="KG83" i="1"/>
  <c r="KF83" i="1"/>
  <c r="KE83" i="1"/>
  <c r="KD83" i="1"/>
  <c r="KC83" i="1"/>
  <c r="KB83" i="1"/>
  <c r="KA83" i="1"/>
  <c r="JZ83" i="1"/>
  <c r="JY83" i="1"/>
  <c r="JX83" i="1"/>
  <c r="JW83" i="1"/>
  <c r="JV83" i="1"/>
  <c r="JU83" i="1"/>
  <c r="JT83" i="1"/>
  <c r="JS83" i="1"/>
  <c r="JR83" i="1"/>
  <c r="JQ83" i="1"/>
  <c r="JP83" i="1"/>
  <c r="JO83" i="1"/>
  <c r="JN83" i="1"/>
  <c r="JM83" i="1"/>
  <c r="JL83" i="1"/>
  <c r="JK83" i="1"/>
  <c r="JJ83" i="1"/>
  <c r="JI83" i="1"/>
  <c r="JH83" i="1"/>
  <c r="JF83" i="1"/>
  <c r="JE83" i="1"/>
  <c r="JD83" i="1"/>
  <c r="JC83" i="1"/>
  <c r="JB83" i="1"/>
  <c r="JA83" i="1"/>
  <c r="IZ83" i="1"/>
  <c r="IY83" i="1"/>
  <c r="IX83" i="1"/>
  <c r="IW83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KP82" i="1"/>
  <c r="KO82" i="1"/>
  <c r="KN82" i="1"/>
  <c r="KM82" i="1"/>
  <c r="KL82" i="1"/>
  <c r="KK82" i="1"/>
  <c r="KJ82" i="1"/>
  <c r="KI82" i="1"/>
  <c r="KH82" i="1"/>
  <c r="KG82" i="1"/>
  <c r="KF82" i="1"/>
  <c r="KE82" i="1"/>
  <c r="KD82" i="1"/>
  <c r="KC82" i="1"/>
  <c r="KB82" i="1"/>
  <c r="KA82" i="1"/>
  <c r="JZ82" i="1"/>
  <c r="JY82" i="1"/>
  <c r="JX82" i="1"/>
  <c r="JW82" i="1"/>
  <c r="JV82" i="1"/>
  <c r="JU82" i="1"/>
  <c r="JT82" i="1"/>
  <c r="JS82" i="1"/>
  <c r="JR82" i="1"/>
  <c r="JQ82" i="1"/>
  <c r="JP82" i="1"/>
  <c r="JO82" i="1"/>
  <c r="JN82" i="1"/>
  <c r="JM82" i="1"/>
  <c r="JL82" i="1"/>
  <c r="JK82" i="1"/>
  <c r="JJ82" i="1"/>
  <c r="JI82" i="1"/>
  <c r="JH82" i="1"/>
  <c r="JF82" i="1"/>
  <c r="JE82" i="1"/>
  <c r="JD82" i="1"/>
  <c r="JC82" i="1"/>
  <c r="JB82" i="1"/>
  <c r="JA82" i="1"/>
  <c r="IZ82" i="1"/>
  <c r="IY82" i="1"/>
  <c r="IX82" i="1"/>
  <c r="IW82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KP81" i="1"/>
  <c r="KO81" i="1"/>
  <c r="KN81" i="1"/>
  <c r="KM81" i="1"/>
  <c r="KL81" i="1"/>
  <c r="KK81" i="1"/>
  <c r="KJ81" i="1"/>
  <c r="KI81" i="1"/>
  <c r="KH81" i="1"/>
  <c r="KG81" i="1"/>
  <c r="KF81" i="1"/>
  <c r="KE81" i="1"/>
  <c r="KD81" i="1"/>
  <c r="KC81" i="1"/>
  <c r="KB81" i="1"/>
  <c r="KA81" i="1"/>
  <c r="JZ81" i="1"/>
  <c r="JY81" i="1"/>
  <c r="JX81" i="1"/>
  <c r="JW81" i="1"/>
  <c r="JV81" i="1"/>
  <c r="JU81" i="1"/>
  <c r="JT81" i="1"/>
  <c r="JS81" i="1"/>
  <c r="JR81" i="1"/>
  <c r="JQ81" i="1"/>
  <c r="JP81" i="1"/>
  <c r="JO81" i="1"/>
  <c r="JN81" i="1"/>
  <c r="JM81" i="1"/>
  <c r="JL81" i="1"/>
  <c r="JK81" i="1"/>
  <c r="JJ81" i="1"/>
  <c r="JI81" i="1"/>
  <c r="JH81" i="1"/>
  <c r="JF81" i="1"/>
  <c r="JE81" i="1"/>
  <c r="JD81" i="1"/>
  <c r="JC81" i="1"/>
  <c r="JB81" i="1"/>
  <c r="JA81" i="1"/>
  <c r="IZ81" i="1"/>
  <c r="IY81" i="1"/>
  <c r="IX81" i="1"/>
  <c r="IW81" i="1"/>
  <c r="IV81" i="1"/>
  <c r="IU81" i="1"/>
  <c r="IT81" i="1"/>
  <c r="IS81" i="1"/>
  <c r="IR81" i="1"/>
  <c r="IQ81" i="1"/>
  <c r="IP81" i="1"/>
  <c r="IO81" i="1"/>
  <c r="IN81" i="1"/>
  <c r="IM81" i="1"/>
  <c r="IL81" i="1"/>
  <c r="IK81" i="1"/>
  <c r="IJ81" i="1"/>
  <c r="II81" i="1"/>
  <c r="IH81" i="1"/>
  <c r="IG81" i="1"/>
  <c r="IF81" i="1"/>
  <c r="IE81" i="1"/>
  <c r="ID81" i="1"/>
  <c r="IC81" i="1"/>
  <c r="IB81" i="1"/>
  <c r="IA81" i="1"/>
  <c r="HZ81" i="1"/>
  <c r="HY81" i="1"/>
  <c r="HX81" i="1"/>
  <c r="HW81" i="1"/>
  <c r="HV81" i="1"/>
  <c r="HU81" i="1"/>
  <c r="HT81" i="1"/>
  <c r="HS81" i="1"/>
  <c r="HR81" i="1"/>
  <c r="HQ81" i="1"/>
  <c r="HP81" i="1"/>
  <c r="HO81" i="1"/>
  <c r="HN81" i="1"/>
  <c r="HM81" i="1"/>
  <c r="HL81" i="1"/>
  <c r="HK81" i="1"/>
  <c r="HJ81" i="1"/>
  <c r="HI81" i="1"/>
  <c r="HH81" i="1"/>
  <c r="HG81" i="1"/>
  <c r="HF81" i="1"/>
  <c r="HE81" i="1"/>
  <c r="HD81" i="1"/>
  <c r="HC81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KP80" i="1"/>
  <c r="KO80" i="1"/>
  <c r="KN80" i="1"/>
  <c r="KM80" i="1"/>
  <c r="KL80" i="1"/>
  <c r="KK80" i="1"/>
  <c r="KJ80" i="1"/>
  <c r="KI80" i="1"/>
  <c r="KH80" i="1"/>
  <c r="KG80" i="1"/>
  <c r="KF80" i="1"/>
  <c r="KE80" i="1"/>
  <c r="KD80" i="1"/>
  <c r="KC80" i="1"/>
  <c r="KB80" i="1"/>
  <c r="KA80" i="1"/>
  <c r="JZ80" i="1"/>
  <c r="JY80" i="1"/>
  <c r="JX80" i="1"/>
  <c r="JW80" i="1"/>
  <c r="JV80" i="1"/>
  <c r="JU80" i="1"/>
  <c r="JT80" i="1"/>
  <c r="JS80" i="1"/>
  <c r="JR80" i="1"/>
  <c r="JQ80" i="1"/>
  <c r="JP80" i="1"/>
  <c r="JO80" i="1"/>
  <c r="JN80" i="1"/>
  <c r="JM80" i="1"/>
  <c r="JL80" i="1"/>
  <c r="JK80" i="1"/>
  <c r="JJ80" i="1"/>
  <c r="JI80" i="1"/>
  <c r="JH80" i="1"/>
  <c r="JF80" i="1"/>
  <c r="JE80" i="1"/>
  <c r="JD80" i="1"/>
  <c r="JC80" i="1"/>
  <c r="JB80" i="1"/>
  <c r="JA80" i="1"/>
  <c r="IZ80" i="1"/>
  <c r="IY80" i="1"/>
  <c r="IX80" i="1"/>
  <c r="IW80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KP79" i="1"/>
  <c r="KO79" i="1"/>
  <c r="KN79" i="1"/>
  <c r="KM79" i="1"/>
  <c r="KL79" i="1"/>
  <c r="KK79" i="1"/>
  <c r="KJ79" i="1"/>
  <c r="KI79" i="1"/>
  <c r="KH79" i="1"/>
  <c r="KG79" i="1"/>
  <c r="KF79" i="1"/>
  <c r="KE79" i="1"/>
  <c r="KD79" i="1"/>
  <c r="KC79" i="1"/>
  <c r="KB79" i="1"/>
  <c r="KA79" i="1"/>
  <c r="JZ79" i="1"/>
  <c r="JY79" i="1"/>
  <c r="JX79" i="1"/>
  <c r="JW79" i="1"/>
  <c r="JV79" i="1"/>
  <c r="JU79" i="1"/>
  <c r="JT79" i="1"/>
  <c r="JS79" i="1"/>
  <c r="JR79" i="1"/>
  <c r="JQ79" i="1"/>
  <c r="JP79" i="1"/>
  <c r="JO79" i="1"/>
  <c r="JN79" i="1"/>
  <c r="JM79" i="1"/>
  <c r="JL79" i="1"/>
  <c r="JK79" i="1"/>
  <c r="JJ79" i="1"/>
  <c r="JI79" i="1"/>
  <c r="JH79" i="1"/>
  <c r="JF79" i="1"/>
  <c r="JE79" i="1"/>
  <c r="JD79" i="1"/>
  <c r="JC79" i="1"/>
  <c r="JB79" i="1"/>
  <c r="JA79" i="1"/>
  <c r="IZ79" i="1"/>
  <c r="IY79" i="1"/>
  <c r="IX79" i="1"/>
  <c r="IW79" i="1"/>
  <c r="IV79" i="1"/>
  <c r="IU79" i="1"/>
  <c r="IT79" i="1"/>
  <c r="IS79" i="1"/>
  <c r="IR79" i="1"/>
  <c r="IQ79" i="1"/>
  <c r="IP79" i="1"/>
  <c r="IO79" i="1"/>
  <c r="IN79" i="1"/>
  <c r="IM79" i="1"/>
  <c r="IL79" i="1"/>
  <c r="IK79" i="1"/>
  <c r="IJ79" i="1"/>
  <c r="II79" i="1"/>
  <c r="IH79" i="1"/>
  <c r="IG79" i="1"/>
  <c r="IF79" i="1"/>
  <c r="IE79" i="1"/>
  <c r="ID79" i="1"/>
  <c r="IC79" i="1"/>
  <c r="IB79" i="1"/>
  <c r="IA79" i="1"/>
  <c r="HZ79" i="1"/>
  <c r="HY79" i="1"/>
  <c r="HX79" i="1"/>
  <c r="HW79" i="1"/>
  <c r="HV79" i="1"/>
  <c r="HU79" i="1"/>
  <c r="HT79" i="1"/>
  <c r="HS79" i="1"/>
  <c r="HR79" i="1"/>
  <c r="HQ79" i="1"/>
  <c r="HP79" i="1"/>
  <c r="HO79" i="1"/>
  <c r="HN79" i="1"/>
  <c r="HM79" i="1"/>
  <c r="HL79" i="1"/>
  <c r="HK79" i="1"/>
  <c r="HJ79" i="1"/>
  <c r="HI79" i="1"/>
  <c r="HH79" i="1"/>
  <c r="HG79" i="1"/>
  <c r="HF79" i="1"/>
  <c r="HE79" i="1"/>
  <c r="HD79" i="1"/>
  <c r="HC79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KP78" i="1"/>
  <c r="KO78" i="1"/>
  <c r="KN78" i="1"/>
  <c r="KM78" i="1"/>
  <c r="KL78" i="1"/>
  <c r="KK78" i="1"/>
  <c r="KJ78" i="1"/>
  <c r="KI78" i="1"/>
  <c r="KH78" i="1"/>
  <c r="KG78" i="1"/>
  <c r="KF78" i="1"/>
  <c r="KE78" i="1"/>
  <c r="KD78" i="1"/>
  <c r="KC78" i="1"/>
  <c r="KB78" i="1"/>
  <c r="KA78" i="1"/>
  <c r="JZ78" i="1"/>
  <c r="JY78" i="1"/>
  <c r="JX78" i="1"/>
  <c r="JW78" i="1"/>
  <c r="JV78" i="1"/>
  <c r="JU78" i="1"/>
  <c r="JT78" i="1"/>
  <c r="JS78" i="1"/>
  <c r="JR78" i="1"/>
  <c r="JQ78" i="1"/>
  <c r="JP78" i="1"/>
  <c r="JO78" i="1"/>
  <c r="JN78" i="1"/>
  <c r="JM78" i="1"/>
  <c r="JL78" i="1"/>
  <c r="JK78" i="1"/>
  <c r="JJ78" i="1"/>
  <c r="JI78" i="1"/>
  <c r="JH78" i="1"/>
  <c r="JF78" i="1"/>
  <c r="JE78" i="1"/>
  <c r="JD78" i="1"/>
  <c r="JC78" i="1"/>
  <c r="JB78" i="1"/>
  <c r="JA78" i="1"/>
  <c r="IZ78" i="1"/>
  <c r="IY78" i="1"/>
  <c r="IX78" i="1"/>
  <c r="IW78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KP77" i="1"/>
  <c r="KO77" i="1"/>
  <c r="KN77" i="1"/>
  <c r="KM77" i="1"/>
  <c r="KL77" i="1"/>
  <c r="KK77" i="1"/>
  <c r="KJ77" i="1"/>
  <c r="KI77" i="1"/>
  <c r="KH77" i="1"/>
  <c r="KG77" i="1"/>
  <c r="KF77" i="1"/>
  <c r="KE77" i="1"/>
  <c r="KD77" i="1"/>
  <c r="KC77" i="1"/>
  <c r="KB77" i="1"/>
  <c r="KA77" i="1"/>
  <c r="JZ77" i="1"/>
  <c r="JY77" i="1"/>
  <c r="JX77" i="1"/>
  <c r="JW77" i="1"/>
  <c r="JV77" i="1"/>
  <c r="JU77" i="1"/>
  <c r="JT77" i="1"/>
  <c r="JS77" i="1"/>
  <c r="JR77" i="1"/>
  <c r="JQ77" i="1"/>
  <c r="JP77" i="1"/>
  <c r="JO77" i="1"/>
  <c r="JN77" i="1"/>
  <c r="JM77" i="1"/>
  <c r="JL77" i="1"/>
  <c r="JK77" i="1"/>
  <c r="JJ77" i="1"/>
  <c r="JI77" i="1"/>
  <c r="JH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T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Q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KP76" i="1"/>
  <c r="KO76" i="1"/>
  <c r="KN76" i="1"/>
  <c r="KM76" i="1"/>
  <c r="KL76" i="1"/>
  <c r="KK76" i="1"/>
  <c r="KJ76" i="1"/>
  <c r="KI76" i="1"/>
  <c r="KH76" i="1"/>
  <c r="KG76" i="1"/>
  <c r="KF76" i="1"/>
  <c r="KE76" i="1"/>
  <c r="KD76" i="1"/>
  <c r="KC76" i="1"/>
  <c r="KB76" i="1"/>
  <c r="KA76" i="1"/>
  <c r="JZ76" i="1"/>
  <c r="JY76" i="1"/>
  <c r="JX76" i="1"/>
  <c r="JW76" i="1"/>
  <c r="JV76" i="1"/>
  <c r="JU76" i="1"/>
  <c r="JT76" i="1"/>
  <c r="JS76" i="1"/>
  <c r="JR76" i="1"/>
  <c r="JQ76" i="1"/>
  <c r="JP76" i="1"/>
  <c r="JO76" i="1"/>
  <c r="JN76" i="1"/>
  <c r="JM76" i="1"/>
  <c r="JL76" i="1"/>
  <c r="JK76" i="1"/>
  <c r="JJ76" i="1"/>
  <c r="JI76" i="1"/>
  <c r="JH76" i="1"/>
  <c r="JF76" i="1"/>
  <c r="JE76" i="1"/>
  <c r="JD76" i="1"/>
  <c r="JC76" i="1"/>
  <c r="JB76" i="1"/>
  <c r="JA76" i="1"/>
  <c r="IZ76" i="1"/>
  <c r="IY76" i="1"/>
  <c r="IX76" i="1"/>
  <c r="IW76" i="1"/>
  <c r="IV76" i="1"/>
  <c r="IU76" i="1"/>
  <c r="IT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Q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KP75" i="1"/>
  <c r="KO75" i="1"/>
  <c r="KN75" i="1"/>
  <c r="KM75" i="1"/>
  <c r="KL75" i="1"/>
  <c r="KK75" i="1"/>
  <c r="KJ75" i="1"/>
  <c r="KI75" i="1"/>
  <c r="KH75" i="1"/>
  <c r="KG75" i="1"/>
  <c r="KF75" i="1"/>
  <c r="KE75" i="1"/>
  <c r="KD75" i="1"/>
  <c r="KC75" i="1"/>
  <c r="KB75" i="1"/>
  <c r="KA75" i="1"/>
  <c r="JZ75" i="1"/>
  <c r="JY75" i="1"/>
  <c r="JX75" i="1"/>
  <c r="JW75" i="1"/>
  <c r="JV75" i="1"/>
  <c r="JU75" i="1"/>
  <c r="JT75" i="1"/>
  <c r="JS75" i="1"/>
  <c r="JR75" i="1"/>
  <c r="JQ75" i="1"/>
  <c r="JP75" i="1"/>
  <c r="JO75" i="1"/>
  <c r="JN75" i="1"/>
  <c r="JM75" i="1"/>
  <c r="JL75" i="1"/>
  <c r="JK75" i="1"/>
  <c r="JJ75" i="1"/>
  <c r="JI75" i="1"/>
  <c r="JH75" i="1"/>
  <c r="JF75" i="1"/>
  <c r="JE75" i="1"/>
  <c r="JD75" i="1"/>
  <c r="JC75" i="1"/>
  <c r="JB75" i="1"/>
  <c r="JA75" i="1"/>
  <c r="IZ75" i="1"/>
  <c r="IY75" i="1"/>
  <c r="IX75" i="1"/>
  <c r="IW75" i="1"/>
  <c r="IV75" i="1"/>
  <c r="IU75" i="1"/>
  <c r="IT75" i="1"/>
  <c r="IS75" i="1"/>
  <c r="IR75" i="1"/>
  <c r="IQ75" i="1"/>
  <c r="IP75" i="1"/>
  <c r="IO75" i="1"/>
  <c r="IN75" i="1"/>
  <c r="IM75" i="1"/>
  <c r="IL75" i="1"/>
  <c r="IK75" i="1"/>
  <c r="IJ75" i="1"/>
  <c r="II75" i="1"/>
  <c r="IH75" i="1"/>
  <c r="IG75" i="1"/>
  <c r="IF75" i="1"/>
  <c r="IE75" i="1"/>
  <c r="ID75" i="1"/>
  <c r="IC75" i="1"/>
  <c r="IB75" i="1"/>
  <c r="IA75" i="1"/>
  <c r="HZ75" i="1"/>
  <c r="HY75" i="1"/>
  <c r="HX75" i="1"/>
  <c r="HW75" i="1"/>
  <c r="HV75" i="1"/>
  <c r="HU75" i="1"/>
  <c r="HT75" i="1"/>
  <c r="HS75" i="1"/>
  <c r="HR75" i="1"/>
  <c r="HQ75" i="1"/>
  <c r="HP75" i="1"/>
  <c r="HO75" i="1"/>
  <c r="HN75" i="1"/>
  <c r="HM75" i="1"/>
  <c r="HL75" i="1"/>
  <c r="HK75" i="1"/>
  <c r="HJ75" i="1"/>
  <c r="HI75" i="1"/>
  <c r="HH75" i="1"/>
  <c r="HG75" i="1"/>
  <c r="HF75" i="1"/>
  <c r="HE75" i="1"/>
  <c r="HD75" i="1"/>
  <c r="HC75" i="1"/>
  <c r="HB75" i="1"/>
  <c r="HA75" i="1"/>
  <c r="GZ75" i="1"/>
  <c r="GY75" i="1"/>
  <c r="GX75" i="1"/>
  <c r="GW75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KP74" i="1"/>
  <c r="KO74" i="1"/>
  <c r="KN74" i="1"/>
  <c r="KM74" i="1"/>
  <c r="KL74" i="1"/>
  <c r="KK74" i="1"/>
  <c r="KJ74" i="1"/>
  <c r="KI74" i="1"/>
  <c r="KH74" i="1"/>
  <c r="KG74" i="1"/>
  <c r="KF74" i="1"/>
  <c r="KE74" i="1"/>
  <c r="KD74" i="1"/>
  <c r="KC74" i="1"/>
  <c r="KB74" i="1"/>
  <c r="KA74" i="1"/>
  <c r="JZ74" i="1"/>
  <c r="JY74" i="1"/>
  <c r="JX74" i="1"/>
  <c r="JW74" i="1"/>
  <c r="JV74" i="1"/>
  <c r="JU74" i="1"/>
  <c r="JT74" i="1"/>
  <c r="JS74" i="1"/>
  <c r="JR74" i="1"/>
  <c r="JQ74" i="1"/>
  <c r="JP74" i="1"/>
  <c r="JO74" i="1"/>
  <c r="JN74" i="1"/>
  <c r="JM74" i="1"/>
  <c r="JL74" i="1"/>
  <c r="JK74" i="1"/>
  <c r="JJ74" i="1"/>
  <c r="JI74" i="1"/>
  <c r="JH74" i="1"/>
  <c r="JF74" i="1"/>
  <c r="JE74" i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KP73" i="1"/>
  <c r="KO73" i="1"/>
  <c r="KN73" i="1"/>
  <c r="KM73" i="1"/>
  <c r="KL73" i="1"/>
  <c r="KK73" i="1"/>
  <c r="KJ73" i="1"/>
  <c r="KI73" i="1"/>
  <c r="KH73" i="1"/>
  <c r="KG73" i="1"/>
  <c r="KF73" i="1"/>
  <c r="KE73" i="1"/>
  <c r="KD73" i="1"/>
  <c r="KC73" i="1"/>
  <c r="KB73" i="1"/>
  <c r="KA73" i="1"/>
  <c r="JZ73" i="1"/>
  <c r="JY73" i="1"/>
  <c r="JX73" i="1"/>
  <c r="JW73" i="1"/>
  <c r="JV73" i="1"/>
  <c r="JU73" i="1"/>
  <c r="JT73" i="1"/>
  <c r="JS73" i="1"/>
  <c r="JR73" i="1"/>
  <c r="JQ73" i="1"/>
  <c r="JP73" i="1"/>
  <c r="JO73" i="1"/>
  <c r="JN73" i="1"/>
  <c r="JM73" i="1"/>
  <c r="JL73" i="1"/>
  <c r="JK73" i="1"/>
  <c r="JJ73" i="1"/>
  <c r="JI73" i="1"/>
  <c r="JH73" i="1"/>
  <c r="JF73" i="1"/>
  <c r="JE73" i="1"/>
  <c r="JD73" i="1"/>
  <c r="JC73" i="1"/>
  <c r="JB73" i="1"/>
  <c r="JA73" i="1"/>
  <c r="IZ73" i="1"/>
  <c r="IY73" i="1"/>
  <c r="IX73" i="1"/>
  <c r="IW73" i="1"/>
  <c r="IV73" i="1"/>
  <c r="IU73" i="1"/>
  <c r="IT73" i="1"/>
  <c r="IS73" i="1"/>
  <c r="IR73" i="1"/>
  <c r="IQ73" i="1"/>
  <c r="IP73" i="1"/>
  <c r="IO73" i="1"/>
  <c r="IN73" i="1"/>
  <c r="IM73" i="1"/>
  <c r="IL73" i="1"/>
  <c r="IK73" i="1"/>
  <c r="IJ73" i="1"/>
  <c r="II73" i="1"/>
  <c r="IH73" i="1"/>
  <c r="IG73" i="1"/>
  <c r="IF73" i="1"/>
  <c r="IE73" i="1"/>
  <c r="ID73" i="1"/>
  <c r="IC73" i="1"/>
  <c r="IB73" i="1"/>
  <c r="IA73" i="1"/>
  <c r="HZ73" i="1"/>
  <c r="HY73" i="1"/>
  <c r="HX73" i="1"/>
  <c r="HW73" i="1"/>
  <c r="HV73" i="1"/>
  <c r="HU73" i="1"/>
  <c r="HT73" i="1"/>
  <c r="HS73" i="1"/>
  <c r="HR73" i="1"/>
  <c r="HQ73" i="1"/>
  <c r="HP73" i="1"/>
  <c r="HO73" i="1"/>
  <c r="HN73" i="1"/>
  <c r="HM73" i="1"/>
  <c r="HL73" i="1"/>
  <c r="HK73" i="1"/>
  <c r="HJ73" i="1"/>
  <c r="HI73" i="1"/>
  <c r="HH73" i="1"/>
  <c r="HG73" i="1"/>
  <c r="HF73" i="1"/>
  <c r="HE73" i="1"/>
  <c r="HD73" i="1"/>
  <c r="HC73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KP72" i="1"/>
  <c r="KO72" i="1"/>
  <c r="KN72" i="1"/>
  <c r="KM72" i="1"/>
  <c r="KL72" i="1"/>
  <c r="KK72" i="1"/>
  <c r="KJ72" i="1"/>
  <c r="KI72" i="1"/>
  <c r="KH72" i="1"/>
  <c r="KG72" i="1"/>
  <c r="KF72" i="1"/>
  <c r="KE72" i="1"/>
  <c r="KD72" i="1"/>
  <c r="KC72" i="1"/>
  <c r="KB72" i="1"/>
  <c r="KA72" i="1"/>
  <c r="JZ72" i="1"/>
  <c r="JY72" i="1"/>
  <c r="JX72" i="1"/>
  <c r="JW72" i="1"/>
  <c r="JV72" i="1"/>
  <c r="JU72" i="1"/>
  <c r="JT72" i="1"/>
  <c r="JS72" i="1"/>
  <c r="JR72" i="1"/>
  <c r="JQ72" i="1"/>
  <c r="JP72" i="1"/>
  <c r="JO72" i="1"/>
  <c r="JN72" i="1"/>
  <c r="JM72" i="1"/>
  <c r="JL72" i="1"/>
  <c r="JK72" i="1"/>
  <c r="JJ72" i="1"/>
  <c r="JI72" i="1"/>
  <c r="JH72" i="1"/>
  <c r="JF72" i="1"/>
  <c r="JE72" i="1"/>
  <c r="JD72" i="1"/>
  <c r="JC72" i="1"/>
  <c r="JB72" i="1"/>
  <c r="JA72" i="1"/>
  <c r="IZ72" i="1"/>
  <c r="IY72" i="1"/>
  <c r="IX72" i="1"/>
  <c r="IW72" i="1"/>
  <c r="IV72" i="1"/>
  <c r="IU72" i="1"/>
  <c r="IT72" i="1"/>
  <c r="IS72" i="1"/>
  <c r="IR72" i="1"/>
  <c r="IQ72" i="1"/>
  <c r="IP72" i="1"/>
  <c r="IO72" i="1"/>
  <c r="IN72" i="1"/>
  <c r="IM72" i="1"/>
  <c r="IL72" i="1"/>
  <c r="IK72" i="1"/>
  <c r="IJ72" i="1"/>
  <c r="II72" i="1"/>
  <c r="IH72" i="1"/>
  <c r="IG72" i="1"/>
  <c r="IF72" i="1"/>
  <c r="IE72" i="1"/>
  <c r="ID72" i="1"/>
  <c r="IC72" i="1"/>
  <c r="IB72" i="1"/>
  <c r="IA72" i="1"/>
  <c r="HZ72" i="1"/>
  <c r="HY72" i="1"/>
  <c r="HX72" i="1"/>
  <c r="HW72" i="1"/>
  <c r="HV72" i="1"/>
  <c r="HU72" i="1"/>
  <c r="HT72" i="1"/>
  <c r="HS72" i="1"/>
  <c r="HR72" i="1"/>
  <c r="HQ72" i="1"/>
  <c r="HP72" i="1"/>
  <c r="HO72" i="1"/>
  <c r="HN72" i="1"/>
  <c r="HM72" i="1"/>
  <c r="HL72" i="1"/>
  <c r="HK72" i="1"/>
  <c r="HJ72" i="1"/>
  <c r="HI72" i="1"/>
  <c r="HH72" i="1"/>
  <c r="HG72" i="1"/>
  <c r="HF72" i="1"/>
  <c r="HE72" i="1"/>
  <c r="HD72" i="1"/>
  <c r="HC72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KP71" i="1"/>
  <c r="KO71" i="1"/>
  <c r="KN71" i="1"/>
  <c r="KM71" i="1"/>
  <c r="KL71" i="1"/>
  <c r="KK71" i="1"/>
  <c r="KJ71" i="1"/>
  <c r="KI71" i="1"/>
  <c r="KH71" i="1"/>
  <c r="KG71" i="1"/>
  <c r="KF71" i="1"/>
  <c r="KE71" i="1"/>
  <c r="KD71" i="1"/>
  <c r="KC71" i="1"/>
  <c r="KB71" i="1"/>
  <c r="KA71" i="1"/>
  <c r="JZ71" i="1"/>
  <c r="JY71" i="1"/>
  <c r="JX71" i="1"/>
  <c r="JW71" i="1"/>
  <c r="JV71" i="1"/>
  <c r="JU71" i="1"/>
  <c r="JT71" i="1"/>
  <c r="JS71" i="1"/>
  <c r="JR71" i="1"/>
  <c r="JQ71" i="1"/>
  <c r="JP71" i="1"/>
  <c r="JO71" i="1"/>
  <c r="JN71" i="1"/>
  <c r="JM71" i="1"/>
  <c r="JL71" i="1"/>
  <c r="JK71" i="1"/>
  <c r="JJ71" i="1"/>
  <c r="JI71" i="1"/>
  <c r="JH71" i="1"/>
  <c r="JF71" i="1"/>
  <c r="JE71" i="1"/>
  <c r="JD71" i="1"/>
  <c r="JC71" i="1"/>
  <c r="JB71" i="1"/>
  <c r="JA71" i="1"/>
  <c r="IZ71" i="1"/>
  <c r="IY71" i="1"/>
  <c r="IX71" i="1"/>
  <c r="IW71" i="1"/>
  <c r="IV71" i="1"/>
  <c r="IU71" i="1"/>
  <c r="IT71" i="1"/>
  <c r="IS71" i="1"/>
  <c r="IR71" i="1"/>
  <c r="IQ71" i="1"/>
  <c r="IP71" i="1"/>
  <c r="IO71" i="1"/>
  <c r="IN71" i="1"/>
  <c r="IM71" i="1"/>
  <c r="IL71" i="1"/>
  <c r="IK71" i="1"/>
  <c r="IJ71" i="1"/>
  <c r="II71" i="1"/>
  <c r="IH71" i="1"/>
  <c r="IG71" i="1"/>
  <c r="IF71" i="1"/>
  <c r="IE71" i="1"/>
  <c r="ID71" i="1"/>
  <c r="IC71" i="1"/>
  <c r="IB71" i="1"/>
  <c r="IA71" i="1"/>
  <c r="HZ71" i="1"/>
  <c r="HY71" i="1"/>
  <c r="HX71" i="1"/>
  <c r="HW71" i="1"/>
  <c r="HV71" i="1"/>
  <c r="HU71" i="1"/>
  <c r="HT71" i="1"/>
  <c r="HS71" i="1"/>
  <c r="HR71" i="1"/>
  <c r="HQ71" i="1"/>
  <c r="HP71" i="1"/>
  <c r="HO71" i="1"/>
  <c r="HN71" i="1"/>
  <c r="HM71" i="1"/>
  <c r="HL71" i="1"/>
  <c r="HK71" i="1"/>
  <c r="HJ71" i="1"/>
  <c r="HI71" i="1"/>
  <c r="HH71" i="1"/>
  <c r="HG71" i="1"/>
  <c r="HF71" i="1"/>
  <c r="HE71" i="1"/>
  <c r="HD71" i="1"/>
  <c r="HC71" i="1"/>
  <c r="HB71" i="1"/>
  <c r="HA71" i="1"/>
  <c r="GZ71" i="1"/>
  <c r="GY71" i="1"/>
  <c r="GX71" i="1"/>
  <c r="GW71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KP70" i="1"/>
  <c r="KO70" i="1"/>
  <c r="KN70" i="1"/>
  <c r="KM70" i="1"/>
  <c r="KL70" i="1"/>
  <c r="KK70" i="1"/>
  <c r="KJ70" i="1"/>
  <c r="KI70" i="1"/>
  <c r="KH70" i="1"/>
  <c r="KG70" i="1"/>
  <c r="KF70" i="1"/>
  <c r="KE70" i="1"/>
  <c r="KD70" i="1"/>
  <c r="KC70" i="1"/>
  <c r="KB70" i="1"/>
  <c r="KA70" i="1"/>
  <c r="JZ70" i="1"/>
  <c r="JY70" i="1"/>
  <c r="JX70" i="1"/>
  <c r="JW70" i="1"/>
  <c r="JV70" i="1"/>
  <c r="JU70" i="1"/>
  <c r="JT70" i="1"/>
  <c r="JS70" i="1"/>
  <c r="JR70" i="1"/>
  <c r="JQ70" i="1"/>
  <c r="JP70" i="1"/>
  <c r="JO70" i="1"/>
  <c r="JN70" i="1"/>
  <c r="JM70" i="1"/>
  <c r="JL70" i="1"/>
  <c r="JK70" i="1"/>
  <c r="JJ70" i="1"/>
  <c r="JI70" i="1"/>
  <c r="JH70" i="1"/>
  <c r="JF70" i="1"/>
  <c r="JE70" i="1"/>
  <c r="JD70" i="1"/>
  <c r="JC70" i="1"/>
  <c r="JB70" i="1"/>
  <c r="JA70" i="1"/>
  <c r="IZ70" i="1"/>
  <c r="IY70" i="1"/>
  <c r="IX70" i="1"/>
  <c r="IW70" i="1"/>
  <c r="IV70" i="1"/>
  <c r="IU70" i="1"/>
  <c r="IT70" i="1"/>
  <c r="IS70" i="1"/>
  <c r="IR70" i="1"/>
  <c r="IQ70" i="1"/>
  <c r="IP70" i="1"/>
  <c r="IO70" i="1"/>
  <c r="IN70" i="1"/>
  <c r="IM70" i="1"/>
  <c r="IL70" i="1"/>
  <c r="IK70" i="1"/>
  <c r="IJ70" i="1"/>
  <c r="II70" i="1"/>
  <c r="IH70" i="1"/>
  <c r="IG70" i="1"/>
  <c r="IF70" i="1"/>
  <c r="IE70" i="1"/>
  <c r="ID70" i="1"/>
  <c r="IC70" i="1"/>
  <c r="IB70" i="1"/>
  <c r="IA70" i="1"/>
  <c r="HZ70" i="1"/>
  <c r="HY70" i="1"/>
  <c r="HX70" i="1"/>
  <c r="HW70" i="1"/>
  <c r="HV70" i="1"/>
  <c r="HU70" i="1"/>
  <c r="HT70" i="1"/>
  <c r="HS70" i="1"/>
  <c r="HR70" i="1"/>
  <c r="HQ70" i="1"/>
  <c r="HP70" i="1"/>
  <c r="HO70" i="1"/>
  <c r="HN70" i="1"/>
  <c r="HM70" i="1"/>
  <c r="HL70" i="1"/>
  <c r="HK70" i="1"/>
  <c r="HJ70" i="1"/>
  <c r="HI70" i="1"/>
  <c r="HH70" i="1"/>
  <c r="HG70" i="1"/>
  <c r="HF70" i="1"/>
  <c r="HE70" i="1"/>
  <c r="HD70" i="1"/>
  <c r="HC70" i="1"/>
  <c r="HB70" i="1"/>
  <c r="HA70" i="1"/>
  <c r="GZ70" i="1"/>
  <c r="GY70" i="1"/>
  <c r="GX70" i="1"/>
  <c r="GW70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KP69" i="1"/>
  <c r="KO69" i="1"/>
  <c r="KN69" i="1"/>
  <c r="KM69" i="1"/>
  <c r="KL69" i="1"/>
  <c r="KK69" i="1"/>
  <c r="KJ69" i="1"/>
  <c r="KI69" i="1"/>
  <c r="KH69" i="1"/>
  <c r="KG69" i="1"/>
  <c r="KF69" i="1"/>
  <c r="KE69" i="1"/>
  <c r="KD69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KP68" i="1"/>
  <c r="KO68" i="1"/>
  <c r="KN68" i="1"/>
  <c r="KM68" i="1"/>
  <c r="KL68" i="1"/>
  <c r="KK68" i="1"/>
  <c r="KJ68" i="1"/>
  <c r="KI68" i="1"/>
  <c r="KH68" i="1"/>
  <c r="KG68" i="1"/>
  <c r="KF68" i="1"/>
  <c r="KE68" i="1"/>
  <c r="KD68" i="1"/>
  <c r="KC68" i="1"/>
  <c r="KB68" i="1"/>
  <c r="KA68" i="1"/>
  <c r="JZ68" i="1"/>
  <c r="JY68" i="1"/>
  <c r="JX68" i="1"/>
  <c r="JW68" i="1"/>
  <c r="JV68" i="1"/>
  <c r="JU68" i="1"/>
  <c r="JT68" i="1"/>
  <c r="JS68" i="1"/>
  <c r="JR68" i="1"/>
  <c r="JQ68" i="1"/>
  <c r="JP68" i="1"/>
  <c r="JO68" i="1"/>
  <c r="JN68" i="1"/>
  <c r="JM68" i="1"/>
  <c r="JL68" i="1"/>
  <c r="JK68" i="1"/>
  <c r="JJ68" i="1"/>
  <c r="JI68" i="1"/>
  <c r="JH68" i="1"/>
  <c r="JF68" i="1"/>
  <c r="JE68" i="1"/>
  <c r="JD68" i="1"/>
  <c r="JC68" i="1"/>
  <c r="JB68" i="1"/>
  <c r="JA68" i="1"/>
  <c r="IZ68" i="1"/>
  <c r="IY68" i="1"/>
  <c r="IX68" i="1"/>
  <c r="IW68" i="1"/>
  <c r="IV68" i="1"/>
  <c r="IU68" i="1"/>
  <c r="IT68" i="1"/>
  <c r="IS68" i="1"/>
  <c r="IR68" i="1"/>
  <c r="IQ68" i="1"/>
  <c r="IP68" i="1"/>
  <c r="IO68" i="1"/>
  <c r="IN68" i="1"/>
  <c r="IM68" i="1"/>
  <c r="IL68" i="1"/>
  <c r="IK68" i="1"/>
  <c r="IJ68" i="1"/>
  <c r="II68" i="1"/>
  <c r="IH68" i="1"/>
  <c r="IG68" i="1"/>
  <c r="IF68" i="1"/>
  <c r="IE68" i="1"/>
  <c r="ID68" i="1"/>
  <c r="IC68" i="1"/>
  <c r="IB68" i="1"/>
  <c r="IA68" i="1"/>
  <c r="HZ68" i="1"/>
  <c r="HY68" i="1"/>
  <c r="HX68" i="1"/>
  <c r="HW68" i="1"/>
  <c r="HV68" i="1"/>
  <c r="HU68" i="1"/>
  <c r="HT68" i="1"/>
  <c r="HS68" i="1"/>
  <c r="HR68" i="1"/>
  <c r="HQ68" i="1"/>
  <c r="HP68" i="1"/>
  <c r="HO68" i="1"/>
  <c r="HN68" i="1"/>
  <c r="HM68" i="1"/>
  <c r="HL68" i="1"/>
  <c r="HK68" i="1"/>
  <c r="HJ68" i="1"/>
  <c r="HI68" i="1"/>
  <c r="HH68" i="1"/>
  <c r="HG68" i="1"/>
  <c r="HF68" i="1"/>
  <c r="HE68" i="1"/>
  <c r="HD68" i="1"/>
  <c r="HC68" i="1"/>
  <c r="HB68" i="1"/>
  <c r="HA68" i="1"/>
  <c r="GZ68" i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KP67" i="1"/>
  <c r="KO67" i="1"/>
  <c r="KN67" i="1"/>
  <c r="KM67" i="1"/>
  <c r="KL67" i="1"/>
  <c r="KK67" i="1"/>
  <c r="KJ67" i="1"/>
  <c r="KI67" i="1"/>
  <c r="KH67" i="1"/>
  <c r="KG67" i="1"/>
  <c r="KF67" i="1"/>
  <c r="KE67" i="1"/>
  <c r="KD67" i="1"/>
  <c r="KC67" i="1"/>
  <c r="KB67" i="1"/>
  <c r="KA67" i="1"/>
  <c r="JZ67" i="1"/>
  <c r="JY67" i="1"/>
  <c r="JX67" i="1"/>
  <c r="JW67" i="1"/>
  <c r="JV67" i="1"/>
  <c r="JU67" i="1"/>
  <c r="JT67" i="1"/>
  <c r="JS67" i="1"/>
  <c r="JR67" i="1"/>
  <c r="JQ67" i="1"/>
  <c r="JP67" i="1"/>
  <c r="JO67" i="1"/>
  <c r="JN67" i="1"/>
  <c r="JM67" i="1"/>
  <c r="JL67" i="1"/>
  <c r="JK67" i="1"/>
  <c r="JJ67" i="1"/>
  <c r="JI67" i="1"/>
  <c r="JH67" i="1"/>
  <c r="JF67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KP66" i="1"/>
  <c r="KO66" i="1"/>
  <c r="KN66" i="1"/>
  <c r="KM66" i="1"/>
  <c r="KL66" i="1"/>
  <c r="KK66" i="1"/>
  <c r="KJ66" i="1"/>
  <c r="KI66" i="1"/>
  <c r="KH66" i="1"/>
  <c r="KG66" i="1"/>
  <c r="KF66" i="1"/>
  <c r="KE66" i="1"/>
  <c r="KD66" i="1"/>
  <c r="KC66" i="1"/>
  <c r="KB66" i="1"/>
  <c r="KA66" i="1"/>
  <c r="JZ66" i="1"/>
  <c r="JY66" i="1"/>
  <c r="JX66" i="1"/>
  <c r="JW66" i="1"/>
  <c r="JV66" i="1"/>
  <c r="JU66" i="1"/>
  <c r="JT66" i="1"/>
  <c r="JS66" i="1"/>
  <c r="JR66" i="1"/>
  <c r="JQ66" i="1"/>
  <c r="JP66" i="1"/>
  <c r="JO66" i="1"/>
  <c r="JN66" i="1"/>
  <c r="JM66" i="1"/>
  <c r="JL66" i="1"/>
  <c r="JK66" i="1"/>
  <c r="JJ66" i="1"/>
  <c r="JI66" i="1"/>
  <c r="JH66" i="1"/>
  <c r="JF66" i="1"/>
  <c r="JE66" i="1"/>
  <c r="JD66" i="1"/>
  <c r="JC66" i="1"/>
  <c r="JB66" i="1"/>
  <c r="JA66" i="1"/>
  <c r="IZ66" i="1"/>
  <c r="IY66" i="1"/>
  <c r="IX66" i="1"/>
  <c r="IW66" i="1"/>
  <c r="IV66" i="1"/>
  <c r="IU66" i="1"/>
  <c r="IT66" i="1"/>
  <c r="IS66" i="1"/>
  <c r="IR66" i="1"/>
  <c r="IQ66" i="1"/>
  <c r="IP66" i="1"/>
  <c r="IO66" i="1"/>
  <c r="IN66" i="1"/>
  <c r="IM66" i="1"/>
  <c r="IL66" i="1"/>
  <c r="IK66" i="1"/>
  <c r="IJ66" i="1"/>
  <c r="II66" i="1"/>
  <c r="IH66" i="1"/>
  <c r="IG66" i="1"/>
  <c r="IF66" i="1"/>
  <c r="IE66" i="1"/>
  <c r="ID66" i="1"/>
  <c r="IC66" i="1"/>
  <c r="IB66" i="1"/>
  <c r="IA66" i="1"/>
  <c r="HZ66" i="1"/>
  <c r="HY66" i="1"/>
  <c r="HX66" i="1"/>
  <c r="HW66" i="1"/>
  <c r="HV66" i="1"/>
  <c r="HU66" i="1"/>
  <c r="HT66" i="1"/>
  <c r="HS66" i="1"/>
  <c r="HR66" i="1"/>
  <c r="HQ66" i="1"/>
  <c r="HP66" i="1"/>
  <c r="HO66" i="1"/>
  <c r="HN66" i="1"/>
  <c r="HM66" i="1"/>
  <c r="HL66" i="1"/>
  <c r="HK66" i="1"/>
  <c r="HJ66" i="1"/>
  <c r="HI66" i="1"/>
  <c r="HH66" i="1"/>
  <c r="HG66" i="1"/>
  <c r="HF66" i="1"/>
  <c r="HE66" i="1"/>
  <c r="HD66" i="1"/>
  <c r="HC66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KP65" i="1"/>
  <c r="KO65" i="1"/>
  <c r="KN65" i="1"/>
  <c r="KM65" i="1"/>
  <c r="KL65" i="1"/>
  <c r="KK65" i="1"/>
  <c r="KJ65" i="1"/>
  <c r="KI65" i="1"/>
  <c r="KH65" i="1"/>
  <c r="KG65" i="1"/>
  <c r="KF65" i="1"/>
  <c r="KE65" i="1"/>
  <c r="KD65" i="1"/>
  <c r="KC65" i="1"/>
  <c r="KB65" i="1"/>
  <c r="KA65" i="1"/>
  <c r="JZ65" i="1"/>
  <c r="JY65" i="1"/>
  <c r="JX65" i="1"/>
  <c r="JW65" i="1"/>
  <c r="JV65" i="1"/>
  <c r="JU65" i="1"/>
  <c r="JT65" i="1"/>
  <c r="JS65" i="1"/>
  <c r="JR65" i="1"/>
  <c r="JQ65" i="1"/>
  <c r="JP65" i="1"/>
  <c r="JO65" i="1"/>
  <c r="JN65" i="1"/>
  <c r="JM65" i="1"/>
  <c r="JL65" i="1"/>
  <c r="JK65" i="1"/>
  <c r="JJ65" i="1"/>
  <c r="JI65" i="1"/>
  <c r="JH65" i="1"/>
  <c r="JF65" i="1"/>
  <c r="JE65" i="1"/>
  <c r="JD65" i="1"/>
  <c r="JC65" i="1"/>
  <c r="JB65" i="1"/>
  <c r="JA65" i="1"/>
  <c r="IZ65" i="1"/>
  <c r="IY65" i="1"/>
  <c r="IX65" i="1"/>
  <c r="IW65" i="1"/>
  <c r="IV65" i="1"/>
  <c r="IU65" i="1"/>
  <c r="IT65" i="1"/>
  <c r="IS65" i="1"/>
  <c r="IR65" i="1"/>
  <c r="IQ65" i="1"/>
  <c r="IP65" i="1"/>
  <c r="IO65" i="1"/>
  <c r="IN65" i="1"/>
  <c r="IM65" i="1"/>
  <c r="IL65" i="1"/>
  <c r="IK65" i="1"/>
  <c r="IJ65" i="1"/>
  <c r="II65" i="1"/>
  <c r="IH65" i="1"/>
  <c r="IG65" i="1"/>
  <c r="IF65" i="1"/>
  <c r="IE65" i="1"/>
  <c r="ID65" i="1"/>
  <c r="IC65" i="1"/>
  <c r="IB65" i="1"/>
  <c r="IA65" i="1"/>
  <c r="HZ65" i="1"/>
  <c r="HY65" i="1"/>
  <c r="HX65" i="1"/>
  <c r="HW65" i="1"/>
  <c r="HV65" i="1"/>
  <c r="HU65" i="1"/>
  <c r="HT65" i="1"/>
  <c r="HS65" i="1"/>
  <c r="HR65" i="1"/>
  <c r="HQ65" i="1"/>
  <c r="HP65" i="1"/>
  <c r="HO65" i="1"/>
  <c r="HN65" i="1"/>
  <c r="HM65" i="1"/>
  <c r="HL65" i="1"/>
  <c r="HK65" i="1"/>
  <c r="HJ65" i="1"/>
  <c r="HI65" i="1"/>
  <c r="HH65" i="1"/>
  <c r="HG65" i="1"/>
  <c r="HF65" i="1"/>
  <c r="HE65" i="1"/>
  <c r="HD65" i="1"/>
  <c r="HC65" i="1"/>
  <c r="HB65" i="1"/>
  <c r="HA65" i="1"/>
  <c r="GZ65" i="1"/>
  <c r="GY65" i="1"/>
  <c r="GX65" i="1"/>
  <c r="GW65" i="1"/>
  <c r="GV65" i="1"/>
  <c r="GU65" i="1"/>
  <c r="GT65" i="1"/>
  <c r="GS65" i="1"/>
  <c r="GR65" i="1"/>
  <c r="GQ65" i="1"/>
  <c r="GP65" i="1"/>
  <c r="GO65" i="1"/>
  <c r="GN65" i="1"/>
  <c r="GM65" i="1"/>
  <c r="GL65" i="1"/>
  <c r="GK65" i="1"/>
  <c r="GJ65" i="1"/>
  <c r="GI65" i="1"/>
  <c r="GH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KP64" i="1"/>
  <c r="KO64" i="1"/>
  <c r="KN64" i="1"/>
  <c r="KM64" i="1"/>
  <c r="KL64" i="1"/>
  <c r="KK64" i="1"/>
  <c r="KJ64" i="1"/>
  <c r="KI64" i="1"/>
  <c r="KH64" i="1"/>
  <c r="KG64" i="1"/>
  <c r="KF64" i="1"/>
  <c r="KE64" i="1"/>
  <c r="KD64" i="1"/>
  <c r="KC64" i="1"/>
  <c r="KB64" i="1"/>
  <c r="KA64" i="1"/>
  <c r="JZ64" i="1"/>
  <c r="JY64" i="1"/>
  <c r="JX64" i="1"/>
  <c r="JW64" i="1"/>
  <c r="JV64" i="1"/>
  <c r="JU64" i="1"/>
  <c r="JT64" i="1"/>
  <c r="JS64" i="1"/>
  <c r="JR64" i="1"/>
  <c r="JQ64" i="1"/>
  <c r="JP64" i="1"/>
  <c r="JO64" i="1"/>
  <c r="JN64" i="1"/>
  <c r="JM64" i="1"/>
  <c r="JL64" i="1"/>
  <c r="JK64" i="1"/>
  <c r="JJ64" i="1"/>
  <c r="JI64" i="1"/>
  <c r="JH64" i="1"/>
  <c r="JF64" i="1"/>
  <c r="JE64" i="1"/>
  <c r="JD64" i="1"/>
  <c r="JC64" i="1"/>
  <c r="JB64" i="1"/>
  <c r="JA64" i="1"/>
  <c r="IZ64" i="1"/>
  <c r="IY64" i="1"/>
  <c r="IX64" i="1"/>
  <c r="IW64" i="1"/>
  <c r="IV64" i="1"/>
  <c r="IU64" i="1"/>
  <c r="IT64" i="1"/>
  <c r="IS64" i="1"/>
  <c r="IR64" i="1"/>
  <c r="IQ64" i="1"/>
  <c r="IP64" i="1"/>
  <c r="IO64" i="1"/>
  <c r="IN64" i="1"/>
  <c r="IM64" i="1"/>
  <c r="IL64" i="1"/>
  <c r="IK64" i="1"/>
  <c r="IJ64" i="1"/>
  <c r="II64" i="1"/>
  <c r="IH64" i="1"/>
  <c r="IG64" i="1"/>
  <c r="IF64" i="1"/>
  <c r="IE64" i="1"/>
  <c r="ID64" i="1"/>
  <c r="IC64" i="1"/>
  <c r="IB64" i="1"/>
  <c r="IA64" i="1"/>
  <c r="HZ64" i="1"/>
  <c r="HY64" i="1"/>
  <c r="HX64" i="1"/>
  <c r="HW64" i="1"/>
  <c r="HV64" i="1"/>
  <c r="HU64" i="1"/>
  <c r="HT64" i="1"/>
  <c r="HS64" i="1"/>
  <c r="HR64" i="1"/>
  <c r="HQ64" i="1"/>
  <c r="HP64" i="1"/>
  <c r="HO64" i="1"/>
  <c r="HN64" i="1"/>
  <c r="HM64" i="1"/>
  <c r="HL64" i="1"/>
  <c r="HK64" i="1"/>
  <c r="HJ64" i="1"/>
  <c r="HI64" i="1"/>
  <c r="HH64" i="1"/>
  <c r="HG64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KP63" i="1"/>
  <c r="KO63" i="1"/>
  <c r="KN63" i="1"/>
  <c r="KM63" i="1"/>
  <c r="KL63" i="1"/>
  <c r="KK63" i="1"/>
  <c r="KJ63" i="1"/>
  <c r="KI63" i="1"/>
  <c r="KH63" i="1"/>
  <c r="KG63" i="1"/>
  <c r="KF63" i="1"/>
  <c r="KE63" i="1"/>
  <c r="KD63" i="1"/>
  <c r="KC63" i="1"/>
  <c r="KB63" i="1"/>
  <c r="KA63" i="1"/>
  <c r="JZ63" i="1"/>
  <c r="JY63" i="1"/>
  <c r="JX63" i="1"/>
  <c r="JW63" i="1"/>
  <c r="JV63" i="1"/>
  <c r="JU63" i="1"/>
  <c r="JT63" i="1"/>
  <c r="JS63" i="1"/>
  <c r="JR63" i="1"/>
  <c r="JQ63" i="1"/>
  <c r="JP63" i="1"/>
  <c r="JO63" i="1"/>
  <c r="JN63" i="1"/>
  <c r="JM63" i="1"/>
  <c r="JL63" i="1"/>
  <c r="JK63" i="1"/>
  <c r="JJ63" i="1"/>
  <c r="JI63" i="1"/>
  <c r="JH63" i="1"/>
  <c r="JF63" i="1"/>
  <c r="JE63" i="1"/>
  <c r="JD63" i="1"/>
  <c r="JC63" i="1"/>
  <c r="JB63" i="1"/>
  <c r="JA63" i="1"/>
  <c r="IZ63" i="1"/>
  <c r="IY63" i="1"/>
  <c r="IX63" i="1"/>
  <c r="IW63" i="1"/>
  <c r="IV63" i="1"/>
  <c r="IU63" i="1"/>
  <c r="IT63" i="1"/>
  <c r="IS63" i="1"/>
  <c r="IR63" i="1"/>
  <c r="IQ63" i="1"/>
  <c r="IP63" i="1"/>
  <c r="IO63" i="1"/>
  <c r="IN63" i="1"/>
  <c r="IM63" i="1"/>
  <c r="IL63" i="1"/>
  <c r="IK63" i="1"/>
  <c r="IJ63" i="1"/>
  <c r="II63" i="1"/>
  <c r="IH63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KP52" i="1"/>
  <c r="KO52" i="1"/>
  <c r="KN52" i="1"/>
  <c r="KM52" i="1"/>
  <c r="KL52" i="1"/>
  <c r="KK52" i="1"/>
  <c r="KJ52" i="1"/>
  <c r="KI52" i="1"/>
  <c r="KH52" i="1"/>
  <c r="KG52" i="1"/>
  <c r="KF52" i="1"/>
  <c r="KE52" i="1"/>
  <c r="KD52" i="1"/>
  <c r="KC52" i="1"/>
  <c r="KB52" i="1"/>
  <c r="KA52" i="1"/>
  <c r="JZ52" i="1"/>
  <c r="JY52" i="1"/>
  <c r="JX52" i="1"/>
  <c r="JW52" i="1"/>
  <c r="JV52" i="1"/>
  <c r="JU52" i="1"/>
  <c r="JT52" i="1"/>
  <c r="JS52" i="1"/>
  <c r="JR52" i="1"/>
  <c r="JQ52" i="1"/>
  <c r="JP52" i="1"/>
  <c r="JO52" i="1"/>
  <c r="JN52" i="1"/>
  <c r="JM52" i="1"/>
  <c r="JL52" i="1"/>
  <c r="JK52" i="1"/>
  <c r="JJ52" i="1"/>
  <c r="JI52" i="1"/>
  <c r="JH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KP38" i="1"/>
  <c r="KO38" i="1"/>
  <c r="KN38" i="1"/>
  <c r="KM38" i="1"/>
  <c r="KL38" i="1"/>
  <c r="KK38" i="1"/>
  <c r="KJ38" i="1"/>
  <c r="KI38" i="1"/>
  <c r="KH38" i="1"/>
  <c r="KG38" i="1"/>
  <c r="KF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KP35" i="1"/>
  <c r="KO35" i="1"/>
  <c r="KN35" i="1"/>
  <c r="KM35" i="1"/>
  <c r="KL35" i="1"/>
  <c r="KK35" i="1"/>
  <c r="KJ35" i="1"/>
  <c r="KI35" i="1"/>
  <c r="KH35" i="1"/>
  <c r="KG35" i="1"/>
  <c r="KF35" i="1"/>
  <c r="KE35" i="1"/>
  <c r="KD35" i="1"/>
  <c r="KC35" i="1"/>
  <c r="KB35" i="1"/>
  <c r="KA35" i="1"/>
  <c r="JZ35" i="1"/>
  <c r="JY35" i="1"/>
  <c r="JX35" i="1"/>
  <c r="JW35" i="1"/>
  <c r="JV35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KP34" i="1"/>
  <c r="KO34" i="1"/>
  <c r="KN34" i="1"/>
  <c r="KM34" i="1"/>
  <c r="KL34" i="1"/>
  <c r="KK34" i="1"/>
  <c r="KJ34" i="1"/>
  <c r="KI34" i="1"/>
  <c r="KH34" i="1"/>
  <c r="KG34" i="1"/>
  <c r="KF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KP32" i="1"/>
  <c r="KO32" i="1"/>
  <c r="KN32" i="1"/>
  <c r="KM32" i="1"/>
  <c r="KL32" i="1"/>
  <c r="KK32" i="1"/>
  <c r="KJ32" i="1"/>
  <c r="KI32" i="1"/>
  <c r="KH32" i="1"/>
  <c r="KG32" i="1"/>
  <c r="KF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KP31" i="1"/>
  <c r="KO31" i="1"/>
  <c r="KN31" i="1"/>
  <c r="KM31" i="1"/>
  <c r="KL31" i="1"/>
  <c r="KK31" i="1"/>
  <c r="KJ31" i="1"/>
  <c r="KI31" i="1"/>
  <c r="KH31" i="1"/>
  <c r="KG31" i="1"/>
  <c r="KF31" i="1"/>
  <c r="KE31" i="1"/>
  <c r="KD31" i="1"/>
  <c r="KC31" i="1"/>
  <c r="KB31" i="1"/>
  <c r="KA31" i="1"/>
  <c r="JZ31" i="1"/>
  <c r="JY31" i="1"/>
  <c r="JX31" i="1"/>
  <c r="JW31" i="1"/>
  <c r="JV31" i="1"/>
  <c r="JU31" i="1"/>
  <c r="JT31" i="1"/>
  <c r="JS31" i="1"/>
  <c r="JR31" i="1"/>
  <c r="JQ31" i="1"/>
  <c r="JP31" i="1"/>
  <c r="JO31" i="1"/>
  <c r="JN31" i="1"/>
  <c r="JM31" i="1"/>
  <c r="JL31" i="1"/>
  <c r="JK31" i="1"/>
  <c r="JJ31" i="1"/>
  <c r="JI31" i="1"/>
  <c r="JH31" i="1"/>
  <c r="JF31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KP27" i="1"/>
  <c r="KO27" i="1"/>
  <c r="KN27" i="1"/>
  <c r="KM27" i="1"/>
  <c r="KL27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W27" i="1"/>
  <c r="JV27" i="1"/>
  <c r="JU27" i="1"/>
  <c r="JT27" i="1"/>
  <c r="JS27" i="1"/>
  <c r="JR27" i="1"/>
  <c r="JQ27" i="1"/>
  <c r="JP27" i="1"/>
  <c r="JO27" i="1"/>
  <c r="JN27" i="1"/>
  <c r="JM27" i="1"/>
  <c r="JL27" i="1"/>
  <c r="JK27" i="1"/>
  <c r="JJ27" i="1"/>
  <c r="JI27" i="1"/>
  <c r="JH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KP26" i="1"/>
  <c r="KO26" i="1"/>
  <c r="KN26" i="1"/>
  <c r="KM26" i="1"/>
  <c r="KL26" i="1"/>
  <c r="KK26" i="1"/>
  <c r="KJ26" i="1"/>
  <c r="KI26" i="1"/>
  <c r="KH26" i="1"/>
  <c r="KG26" i="1"/>
  <c r="KF26" i="1"/>
  <c r="KE26" i="1"/>
  <c r="KD26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KP25" i="1"/>
  <c r="KO25" i="1"/>
  <c r="KN25" i="1"/>
  <c r="KM25" i="1"/>
  <c r="KL25" i="1"/>
  <c r="KK25" i="1"/>
  <c r="KJ25" i="1"/>
  <c r="KI25" i="1"/>
  <c r="KH25" i="1"/>
  <c r="KG25" i="1"/>
  <c r="KF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KP24" i="1"/>
  <c r="KO24" i="1"/>
  <c r="KN24" i="1"/>
  <c r="KM24" i="1"/>
  <c r="KL24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KP23" i="1"/>
  <c r="KO23" i="1"/>
  <c r="KN23" i="1"/>
  <c r="KM23" i="1"/>
  <c r="KL23" i="1"/>
  <c r="KK23" i="1"/>
  <c r="KJ23" i="1"/>
  <c r="KI23" i="1"/>
  <c r="KH23" i="1"/>
  <c r="KG23" i="1"/>
  <c r="KF23" i="1"/>
  <c r="KE23" i="1"/>
  <c r="KD23" i="1"/>
  <c r="KC23" i="1"/>
  <c r="KB23" i="1"/>
  <c r="KA23" i="1"/>
  <c r="JZ23" i="1"/>
  <c r="JY23" i="1"/>
  <c r="JX23" i="1"/>
  <c r="JW23" i="1"/>
  <c r="JV23" i="1"/>
  <c r="JU23" i="1"/>
  <c r="JT23" i="1"/>
  <c r="JS23" i="1"/>
  <c r="JR23" i="1"/>
  <c r="JQ23" i="1"/>
  <c r="JP23" i="1"/>
  <c r="JO23" i="1"/>
  <c r="JN23" i="1"/>
  <c r="JM23" i="1"/>
  <c r="JL23" i="1"/>
  <c r="JK23" i="1"/>
  <c r="JJ23" i="1"/>
  <c r="JI23" i="1"/>
  <c r="JH23" i="1"/>
  <c r="JF23" i="1"/>
  <c r="JE23" i="1"/>
  <c r="JD23" i="1"/>
  <c r="JC23" i="1"/>
  <c r="JB23" i="1"/>
  <c r="JA23" i="1"/>
  <c r="IZ23" i="1"/>
  <c r="IY23" i="1"/>
  <c r="IX23" i="1"/>
  <c r="IW23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KP22" i="1"/>
  <c r="KO22" i="1"/>
  <c r="KN22" i="1"/>
  <c r="KM22" i="1"/>
  <c r="KL22" i="1"/>
  <c r="KK22" i="1"/>
  <c r="KJ22" i="1"/>
  <c r="KI22" i="1"/>
  <c r="KH22" i="1"/>
  <c r="KG22" i="1"/>
  <c r="KF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KP21" i="1"/>
  <c r="KO21" i="1"/>
  <c r="KN21" i="1"/>
  <c r="KM21" i="1"/>
  <c r="KL21" i="1"/>
  <c r="KK21" i="1"/>
  <c r="KJ21" i="1"/>
  <c r="KI21" i="1"/>
  <c r="KH21" i="1"/>
  <c r="KG21" i="1"/>
  <c r="KF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KP20" i="1"/>
  <c r="KO20" i="1"/>
  <c r="KN20" i="1"/>
  <c r="KM20" i="1"/>
  <c r="KL20" i="1"/>
  <c r="KK20" i="1"/>
  <c r="KJ20" i="1"/>
  <c r="KI20" i="1"/>
  <c r="KH20" i="1"/>
  <c r="KG20" i="1"/>
  <c r="KF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KP19" i="1"/>
  <c r="KO19" i="1"/>
  <c r="KN19" i="1"/>
  <c r="KM19" i="1"/>
  <c r="KL19" i="1"/>
  <c r="KK19" i="1"/>
  <c r="KJ19" i="1"/>
  <c r="KI19" i="1"/>
  <c r="KH19" i="1"/>
  <c r="KG19" i="1"/>
  <c r="KF19" i="1"/>
  <c r="KE19" i="1"/>
  <c r="KD19" i="1"/>
  <c r="KC19" i="1"/>
  <c r="KB19" i="1"/>
  <c r="KA19" i="1"/>
  <c r="JZ19" i="1"/>
  <c r="JY19" i="1"/>
  <c r="JX19" i="1"/>
  <c r="JW19" i="1"/>
  <c r="JV19" i="1"/>
  <c r="JU19" i="1"/>
  <c r="JT19" i="1"/>
  <c r="JS19" i="1"/>
  <c r="JR19" i="1"/>
  <c r="JQ19" i="1"/>
  <c r="JP19" i="1"/>
  <c r="JO19" i="1"/>
  <c r="JN19" i="1"/>
  <c r="JM19" i="1"/>
  <c r="JL19" i="1"/>
  <c r="JK19" i="1"/>
  <c r="JJ19" i="1"/>
  <c r="JI19" i="1"/>
  <c r="JH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KP17" i="1"/>
  <c r="KO17" i="1"/>
  <c r="KN17" i="1"/>
  <c r="KM17" i="1"/>
  <c r="KL17" i="1"/>
  <c r="KK17" i="1"/>
  <c r="KJ17" i="1"/>
  <c r="KI17" i="1"/>
  <c r="KH17" i="1"/>
  <c r="KG17" i="1"/>
  <c r="KF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KP11" i="1"/>
  <c r="KO11" i="1"/>
  <c r="KN11" i="1"/>
  <c r="KM11" i="1"/>
  <c r="KL11" i="1"/>
  <c r="KK11" i="1"/>
  <c r="KJ11" i="1"/>
  <c r="KI11" i="1"/>
  <c r="KH11" i="1"/>
  <c r="KG11" i="1"/>
  <c r="KF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</calcChain>
</file>

<file path=xl/sharedStrings.xml><?xml version="1.0" encoding="utf-8"?>
<sst xmlns="http://schemas.openxmlformats.org/spreadsheetml/2006/main" count="7176" uniqueCount="913">
  <si>
    <t>Sample#</t>
  </si>
  <si>
    <t>Nematodes</t>
  </si>
  <si>
    <t>Copepods</t>
  </si>
  <si>
    <t>Hydroids</t>
  </si>
  <si>
    <t>Sarcomastigophora</t>
  </si>
  <si>
    <t>Caprellidae</t>
  </si>
  <si>
    <t>Cirripedia</t>
  </si>
  <si>
    <t>Bivalvia</t>
  </si>
  <si>
    <t>Turbellaria</t>
  </si>
  <si>
    <t>Amphipoda</t>
  </si>
  <si>
    <t>Polychaeta</t>
  </si>
  <si>
    <t>Nauplii</t>
  </si>
  <si>
    <t>Polychaeta larvae</t>
  </si>
  <si>
    <t>Ostracoda</t>
  </si>
  <si>
    <t>Pycnogonida</t>
  </si>
  <si>
    <t>Isopoda</t>
  </si>
  <si>
    <t>Tanaidacea</t>
  </si>
  <si>
    <t>Acari</t>
  </si>
  <si>
    <t>Insecta</t>
  </si>
  <si>
    <t>Limulidae-horseshoe crabs</t>
  </si>
  <si>
    <t>Cnidaria</t>
  </si>
  <si>
    <t>Kinorhyncha</t>
  </si>
  <si>
    <t>Tardigrada</t>
  </si>
  <si>
    <t>Total meiofauna counts</t>
  </si>
  <si>
    <t>break</t>
  </si>
  <si>
    <t>Total meiofauna density (10cm2)</t>
  </si>
  <si>
    <t>Total meiofauna abundance</t>
  </si>
  <si>
    <t>Acantholaimus</t>
  </si>
  <si>
    <t>Acanthonchus</t>
  </si>
  <si>
    <t>Acanthopharynx</t>
  </si>
  <si>
    <t>Acrobeles</t>
  </si>
  <si>
    <t>Actinonema</t>
  </si>
  <si>
    <t>Aegialoalaimus</t>
  </si>
  <si>
    <t>Amphimonhystera</t>
  </si>
  <si>
    <t>Anoplastoma</t>
  </si>
  <si>
    <t>Antomicron</t>
  </si>
  <si>
    <t>Aponchium</t>
  </si>
  <si>
    <t>Araeolaimus</t>
  </si>
  <si>
    <t>Ascolaimus</t>
  </si>
  <si>
    <t>Axonolaimus</t>
  </si>
  <si>
    <t>Bathylaimus</t>
  </si>
  <si>
    <t>Calyptronema</t>
  </si>
  <si>
    <t>Camacolaimidae</t>
  </si>
  <si>
    <t>Deontolaimus</t>
  </si>
  <si>
    <t>Cephalanticoma</t>
  </si>
  <si>
    <t>Chromadora</t>
  </si>
  <si>
    <t>Chromadorella</t>
  </si>
  <si>
    <t>Chromadoria</t>
  </si>
  <si>
    <t>Chromadoridae</t>
  </si>
  <si>
    <t>Chromadorina</t>
  </si>
  <si>
    <t>Chromadorita</t>
  </si>
  <si>
    <t>Chromaspirina</t>
  </si>
  <si>
    <t>Comesa</t>
  </si>
  <si>
    <t>Comesoma</t>
  </si>
  <si>
    <t>Comesomatidae</t>
  </si>
  <si>
    <t>Cyatholaimidae</t>
  </si>
  <si>
    <t>Daptonema</t>
  </si>
  <si>
    <t>Desmodora</t>
  </si>
  <si>
    <t>Desmodorella</t>
  </si>
  <si>
    <t>Desmodoridae</t>
  </si>
  <si>
    <t>Desmolaimus</t>
  </si>
  <si>
    <t>Desmoscolex</t>
  </si>
  <si>
    <t>Dichromadora</t>
  </si>
  <si>
    <t>Diodontolaimus</t>
  </si>
  <si>
    <t>Diplolaimella</t>
  </si>
  <si>
    <t>Diplopeltula</t>
  </si>
  <si>
    <t>Dorylaimida</t>
  </si>
  <si>
    <t>Dorylaimopsis</t>
  </si>
  <si>
    <t>Enoplolaimus</t>
  </si>
  <si>
    <t xml:space="preserve">Epacanthion </t>
  </si>
  <si>
    <t>Euchromadora</t>
  </si>
  <si>
    <t>Eurystomina</t>
  </si>
  <si>
    <t>Fresh water unknown</t>
  </si>
  <si>
    <t>Gammanema</t>
  </si>
  <si>
    <t>Halalaimus</t>
  </si>
  <si>
    <t>Halichoanolaimus</t>
  </si>
  <si>
    <t>Haliplectus</t>
  </si>
  <si>
    <t>Hypodontolaimus</t>
  </si>
  <si>
    <t>Innocuonema</t>
  </si>
  <si>
    <t>Latronema</t>
  </si>
  <si>
    <t>Leptolaimus</t>
  </si>
  <si>
    <t>Linhomoeidae</t>
  </si>
  <si>
    <t>Linhomoeus</t>
  </si>
  <si>
    <t>Longicyatholaimus</t>
  </si>
  <si>
    <t>Marylynnia</t>
  </si>
  <si>
    <t>Metachromadora</t>
  </si>
  <si>
    <t>Metadesmolaimus</t>
  </si>
  <si>
    <t>Metalinhomoeus</t>
  </si>
  <si>
    <t>Metoncholaimus</t>
  </si>
  <si>
    <t>Microlaimus</t>
  </si>
  <si>
    <t>Monoposthia</t>
  </si>
  <si>
    <t>Nannolaimoides</t>
  </si>
  <si>
    <t>NeoChromadora</t>
  </si>
  <si>
    <t>Neotonchus</t>
  </si>
  <si>
    <t>Odontanticoma</t>
  </si>
  <si>
    <t>Odontophora</t>
  </si>
  <si>
    <t>Onchium</t>
  </si>
  <si>
    <t>Oncholaimellus</t>
  </si>
  <si>
    <t>Oncholaimidae</t>
  </si>
  <si>
    <t>Oncholaimus</t>
  </si>
  <si>
    <t>Paracanthonchus</t>
  </si>
  <si>
    <t>Paracomesoma</t>
  </si>
  <si>
    <t>Paracyatholaimus</t>
  </si>
  <si>
    <t>Paradontophora</t>
  </si>
  <si>
    <t>Paraeurystomina</t>
  </si>
  <si>
    <t>Paramonohystera</t>
  </si>
  <si>
    <t>Pareurystomina</t>
  </si>
  <si>
    <t>Phanoderma</t>
  </si>
  <si>
    <t>Pheronous</t>
  </si>
  <si>
    <t>Polygastrophora</t>
  </si>
  <si>
    <t>Pomponema</t>
  </si>
  <si>
    <t>Procamacolaimus</t>
  </si>
  <si>
    <t>Prochromadorella</t>
  </si>
  <si>
    <t>Ptycholaimellus</t>
  </si>
  <si>
    <t>Rhabdodemania</t>
  </si>
  <si>
    <t>Richtersia</t>
  </si>
  <si>
    <t>Sabatieria</t>
  </si>
  <si>
    <t>Selachinematidae</t>
  </si>
  <si>
    <t>Setosabatieria</t>
  </si>
  <si>
    <t>Southerniella</t>
  </si>
  <si>
    <t>Sphaerolaimidae</t>
  </si>
  <si>
    <t>Sphaerolaimus</t>
  </si>
  <si>
    <t>Spilophorella</t>
  </si>
  <si>
    <t>Stylotheristus</t>
  </si>
  <si>
    <t>Symplocostoma</t>
  </si>
  <si>
    <t>Synonchiella</t>
  </si>
  <si>
    <t>Synonema</t>
  </si>
  <si>
    <t>Syringolaimus</t>
  </si>
  <si>
    <t>Terschellingia</t>
  </si>
  <si>
    <t>Thalassironus</t>
  </si>
  <si>
    <t>Theristus</t>
  </si>
  <si>
    <t>Thoracostoma</t>
  </si>
  <si>
    <t>Tricoma</t>
  </si>
  <si>
    <t>Tricotheristus</t>
  </si>
  <si>
    <t>Tripyloides</t>
  </si>
  <si>
    <t>Trissonchulus</t>
  </si>
  <si>
    <t>Unknown</t>
  </si>
  <si>
    <t>Vasostoma</t>
  </si>
  <si>
    <t>Viscosia</t>
  </si>
  <si>
    <t>Xyalidae</t>
  </si>
  <si>
    <t>Zalonema</t>
  </si>
  <si>
    <t>Total nematodes Idd</t>
  </si>
  <si>
    <t>Total nematode abundance</t>
  </si>
  <si>
    <t>surface area (cm2)</t>
  </si>
  <si>
    <t>Clutch Size Estimate</t>
  </si>
  <si>
    <t>Hatching Success</t>
  </si>
  <si>
    <t>Emergence Success (Out of Hatched Turtles)</t>
  </si>
  <si>
    <t>Total macrofauna abundance</t>
  </si>
  <si>
    <t>Actiniaria</t>
  </si>
  <si>
    <t>Amphibalanus</t>
  </si>
  <si>
    <t>Anthozoa</t>
  </si>
  <si>
    <t>Arcidae</t>
  </si>
  <si>
    <t>Arthropoda unknown</t>
  </si>
  <si>
    <t>Balanidae</t>
  </si>
  <si>
    <t>Bivalvia unknown</t>
  </si>
  <si>
    <t>Bivalvia unknown juvenile</t>
  </si>
  <si>
    <t>Caprella andreae</t>
  </si>
  <si>
    <t>Chelonibia testudinaria</t>
  </si>
  <si>
    <t>Cirripedia juvenile</t>
  </si>
  <si>
    <t>Corophiidae</t>
  </si>
  <si>
    <t>Decapoda</t>
  </si>
  <si>
    <t>Eunicidae</t>
  </si>
  <si>
    <t>Gastropoda</t>
  </si>
  <si>
    <t>Hoplopolemius propinquus</t>
  </si>
  <si>
    <t>Lepas</t>
  </si>
  <si>
    <t>Lysianassidae</t>
  </si>
  <si>
    <t>Metopella</t>
  </si>
  <si>
    <t>Mysida</t>
  </si>
  <si>
    <t>Mytilidae</t>
  </si>
  <si>
    <t>Nereis</t>
  </si>
  <si>
    <t>Ostreidae</t>
  </si>
  <si>
    <t>Patellidae</t>
  </si>
  <si>
    <t>Platylepas hexastylos</t>
  </si>
  <si>
    <t>Podocerus chelonophilus</t>
  </si>
  <si>
    <t>Polynoidae</t>
  </si>
  <si>
    <t>Porifera</t>
  </si>
  <si>
    <t>Stenothoidae</t>
  </si>
  <si>
    <t>Syllidae</t>
  </si>
  <si>
    <t>Veneridae</t>
  </si>
  <si>
    <t>Code full</t>
  </si>
  <si>
    <t>Code tags</t>
  </si>
  <si>
    <t>Substrate</t>
  </si>
  <si>
    <t>Substrate-section</t>
  </si>
  <si>
    <t>Section</t>
  </si>
  <si>
    <t>substr-section binomen</t>
  </si>
  <si>
    <t>subsample counted meiofauna</t>
  </si>
  <si>
    <t>Code correct</t>
  </si>
  <si>
    <t>Left tag</t>
  </si>
  <si>
    <t>Right tag</t>
  </si>
  <si>
    <t>Total meioepi abund</t>
  </si>
  <si>
    <t>Entry #</t>
  </si>
  <si>
    <t>Turtle ID</t>
  </si>
  <si>
    <t>Project ID (Stg2018)</t>
  </si>
  <si>
    <t>Species</t>
  </si>
  <si>
    <t>Location</t>
  </si>
  <si>
    <t>section letter</t>
  </si>
  <si>
    <t>FWC ID</t>
  </si>
  <si>
    <t>Date detected</t>
  </si>
  <si>
    <t>time detected</t>
  </si>
  <si>
    <t>location2</t>
  </si>
  <si>
    <t>activity</t>
  </si>
  <si>
    <t>Flipper impressions</t>
  </si>
  <si>
    <t>width of tracks</t>
  </si>
  <si>
    <t>Age tracks</t>
  </si>
  <si>
    <t>Topographical feature</t>
  </si>
  <si>
    <t>Found</t>
  </si>
  <si>
    <t>Lat</t>
  </si>
  <si>
    <t>Lon</t>
  </si>
  <si>
    <t>Excavated</t>
  </si>
  <si>
    <t>Action</t>
  </si>
  <si>
    <t>Orientation laying eggs</t>
  </si>
  <si>
    <t>scanned PIT</t>
  </si>
  <si>
    <t>Applied</t>
  </si>
  <si>
    <t>L Present</t>
  </si>
  <si>
    <t>R Present</t>
  </si>
  <si>
    <t>Recapture R</t>
  </si>
  <si>
    <t>Left tag26</t>
  </si>
  <si>
    <t>Right tag27</t>
  </si>
  <si>
    <t>Curved length (cm)</t>
  </si>
  <si>
    <t>minimum length (cm)</t>
  </si>
  <si>
    <t>curved width (cm)</t>
  </si>
  <si>
    <t>Blood</t>
  </si>
  <si>
    <t>biopsy</t>
  </si>
  <si>
    <t>scute</t>
  </si>
  <si>
    <t>Comments</t>
  </si>
  <si>
    <t>Epibionts</t>
  </si>
  <si>
    <t>ID</t>
  </si>
  <si>
    <t>left tag2</t>
  </si>
  <si>
    <t>Nest Label</t>
  </si>
  <si>
    <t>Clutch Size Estimate2</t>
  </si>
  <si>
    <t>Hatching Success3</t>
  </si>
  <si>
    <t>Emergence Success (Out of Hatched Turtles)4</t>
  </si>
  <si>
    <t>BEACH</t>
  </si>
  <si>
    <t>BEACH_high</t>
  </si>
  <si>
    <t>high</t>
  </si>
  <si>
    <t>BH</t>
  </si>
  <si>
    <t>MMF238/239</t>
  </si>
  <si>
    <t>MMF238</t>
  </si>
  <si>
    <t>MMF239</t>
  </si>
  <si>
    <t>420 stg2018</t>
  </si>
  <si>
    <t>STG2018</t>
  </si>
  <si>
    <t xml:space="preserve">Cc </t>
  </si>
  <si>
    <t>St George Island</t>
  </si>
  <si>
    <t>J</t>
  </si>
  <si>
    <t>NA</t>
  </si>
  <si>
    <t>Nest</t>
  </si>
  <si>
    <t>Alternate</t>
  </si>
  <si>
    <t>Yes</t>
  </si>
  <si>
    <t>No</t>
  </si>
  <si>
    <t>Digging</t>
  </si>
  <si>
    <t>WP #212 (GPS #3)</t>
  </si>
  <si>
    <t>628J2</t>
  </si>
  <si>
    <t xml:space="preserve">MMF238/239 </t>
  </si>
  <si>
    <t>BEACH_middle</t>
  </si>
  <si>
    <t>middle</t>
  </si>
  <si>
    <t>BM</t>
  </si>
  <si>
    <t>MMF256/255</t>
  </si>
  <si>
    <t>BEACH_low</t>
  </si>
  <si>
    <t>low</t>
  </si>
  <si>
    <t>BL</t>
  </si>
  <si>
    <t>MMF255/256</t>
  </si>
  <si>
    <t>MMF256</t>
  </si>
  <si>
    <t>MMF255</t>
  </si>
  <si>
    <t>374 stg2018</t>
  </si>
  <si>
    <t>I</t>
  </si>
  <si>
    <t>620I1</t>
  </si>
  <si>
    <t>Covering</t>
  </si>
  <si>
    <t>982000410604682; 3D6.001879548A</t>
  </si>
  <si>
    <t>WP: STG78N04; Shoulder</t>
  </si>
  <si>
    <t xml:space="preserve">MMF259/260 </t>
  </si>
  <si>
    <t>MMF259/260</t>
  </si>
  <si>
    <t>MMF259</t>
  </si>
  <si>
    <t>MMF260</t>
  </si>
  <si>
    <t>429 stg2018</t>
  </si>
  <si>
    <t>B</t>
  </si>
  <si>
    <t>False crawl</t>
  </si>
  <si>
    <t>abandoned nest</t>
  </si>
  <si>
    <t xml:space="preserve">MMF261/262 </t>
  </si>
  <si>
    <t>MMF261/262</t>
  </si>
  <si>
    <t>MMF261</t>
  </si>
  <si>
    <t>MMF262</t>
  </si>
  <si>
    <t>441 stg2018</t>
  </si>
  <si>
    <t>D</t>
  </si>
  <si>
    <t>False Crawl</t>
  </si>
  <si>
    <t>Returning to Sea</t>
  </si>
  <si>
    <t>WP FC11 (GPS #7)</t>
  </si>
  <si>
    <t xml:space="preserve">MML079/247 </t>
  </si>
  <si>
    <t>MML079/247</t>
  </si>
  <si>
    <t>MML079</t>
  </si>
  <si>
    <t>MML247</t>
  </si>
  <si>
    <t>433 stg2018</t>
  </si>
  <si>
    <t>Flipper tage MML219 removed (bad tag)</t>
  </si>
  <si>
    <t>701B1</t>
  </si>
  <si>
    <t>MML099/100</t>
  </si>
  <si>
    <t>MML099</t>
  </si>
  <si>
    <t>MML100</t>
  </si>
  <si>
    <t>418 stg2018</t>
  </si>
  <si>
    <t>H</t>
  </si>
  <si>
    <t>East of Magnolia</t>
  </si>
  <si>
    <t>GPS#6 WP 104</t>
  </si>
  <si>
    <t>627H1</t>
  </si>
  <si>
    <t xml:space="preserve">MML099/100 </t>
  </si>
  <si>
    <t>MML176/178</t>
  </si>
  <si>
    <t>MML176</t>
  </si>
  <si>
    <t>MML178</t>
  </si>
  <si>
    <t>434 stg2018</t>
  </si>
  <si>
    <t>G</t>
  </si>
  <si>
    <t>Laying</t>
  </si>
  <si>
    <t>WP N1630 (GPS #6)</t>
  </si>
  <si>
    <t>701G3</t>
  </si>
  <si>
    <t xml:space="preserve">MML176/178 </t>
  </si>
  <si>
    <t xml:space="preserve">MML251/252 </t>
  </si>
  <si>
    <t>MML251/252</t>
  </si>
  <si>
    <t>MML251</t>
  </si>
  <si>
    <t>MML252</t>
  </si>
  <si>
    <t>442 stg2018</t>
  </si>
  <si>
    <t>Elm Ct</t>
  </si>
  <si>
    <t>WP 109 N2 630 (GPS #6)</t>
  </si>
  <si>
    <t>701G1</t>
  </si>
  <si>
    <t xml:space="preserve">MMF231/232 </t>
  </si>
  <si>
    <t>TURTLE</t>
  </si>
  <si>
    <t>TURTLE_A</t>
  </si>
  <si>
    <t>A</t>
  </si>
  <si>
    <t>TA</t>
  </si>
  <si>
    <t>MMF231/232</t>
  </si>
  <si>
    <t>MMF231</t>
  </si>
  <si>
    <t>MMF232</t>
  </si>
  <si>
    <t>377 stg2018</t>
  </si>
  <si>
    <t>F</t>
  </si>
  <si>
    <t xml:space="preserve">b/w 10th and 11th </t>
  </si>
  <si>
    <t>Emerging</t>
  </si>
  <si>
    <t>yes</t>
  </si>
  <si>
    <t>WP: 200</t>
  </si>
  <si>
    <t xml:space="preserve">MMF232/231 </t>
  </si>
  <si>
    <t xml:space="preserve">TURTLE_M </t>
  </si>
  <si>
    <t xml:space="preserve">M </t>
  </si>
  <si>
    <t>TM</t>
  </si>
  <si>
    <t>TURTLE_P</t>
  </si>
  <si>
    <t>P</t>
  </si>
  <si>
    <t>TP</t>
  </si>
  <si>
    <t xml:space="preserve">MMF238/239  </t>
  </si>
  <si>
    <t xml:space="preserve">MMF253/254  </t>
  </si>
  <si>
    <t>MMF253/254</t>
  </si>
  <si>
    <t>MMF253</t>
  </si>
  <si>
    <t>MMF254</t>
  </si>
  <si>
    <t>358 stg2018</t>
  </si>
  <si>
    <t>619H2</t>
  </si>
  <si>
    <t xml:space="preserve">MMF253/254 </t>
  </si>
  <si>
    <t xml:space="preserve">MMF255/256 </t>
  </si>
  <si>
    <t xml:space="preserve">MML259/260 </t>
  </si>
  <si>
    <t xml:space="preserve">MMF262/261 </t>
  </si>
  <si>
    <t xml:space="preserve">MML262/261 </t>
  </si>
  <si>
    <t>MMF262/261</t>
  </si>
  <si>
    <t>MML077/078</t>
  </si>
  <si>
    <t>TURTLE_AMP</t>
  </si>
  <si>
    <t>AMP</t>
  </si>
  <si>
    <t>MML077/078ALLTHEBOTLES</t>
  </si>
  <si>
    <t>MML077</t>
  </si>
  <si>
    <t>MML078</t>
  </si>
  <si>
    <t>346 stg2018</t>
  </si>
  <si>
    <t>618G2</t>
  </si>
  <si>
    <t>East of Canopy Lane in Resort Village</t>
  </si>
  <si>
    <t>982000410609855</t>
  </si>
  <si>
    <t>Shoulder biopsy</t>
  </si>
  <si>
    <t xml:space="preserve">MML085/086 </t>
  </si>
  <si>
    <t>MML085/086</t>
  </si>
  <si>
    <t>MML085</t>
  </si>
  <si>
    <t>MML086</t>
  </si>
  <si>
    <t>382 stg2018</t>
  </si>
  <si>
    <t>9th Street</t>
  </si>
  <si>
    <t>982000410605042; 3D6.00187955F2</t>
  </si>
  <si>
    <t xml:space="preserve">No </t>
  </si>
  <si>
    <t>WP 201, GPS #3, Biopsy front R x2</t>
  </si>
  <si>
    <t>621F3</t>
  </si>
  <si>
    <t xml:space="preserve">MML089/090 </t>
  </si>
  <si>
    <t>MML089/090</t>
  </si>
  <si>
    <t>MML089</t>
  </si>
  <si>
    <t>MML090</t>
  </si>
  <si>
    <t>383 stg2018</t>
  </si>
  <si>
    <t>Sailfish</t>
  </si>
  <si>
    <t>982000410609145; 3D6.00187965F9</t>
  </si>
  <si>
    <t>WP 094</t>
  </si>
  <si>
    <t>621J4</t>
  </si>
  <si>
    <t xml:space="preserve">MML091/092  </t>
  </si>
  <si>
    <t>MML091/092</t>
  </si>
  <si>
    <t>MML091</t>
  </si>
  <si>
    <t>MML092</t>
  </si>
  <si>
    <t>395 stg2018</t>
  </si>
  <si>
    <t>B/w Garden and Pelican</t>
  </si>
  <si>
    <t xml:space="preserve">Yes </t>
  </si>
  <si>
    <t>Biopsy from shoulder, missing part of front L flipper, WP098 (GPS 6)</t>
  </si>
  <si>
    <t>622I1</t>
  </si>
  <si>
    <t xml:space="preserve">MML091/092 </t>
  </si>
  <si>
    <t xml:space="preserve">MML093/094 </t>
  </si>
  <si>
    <t>MML093/094</t>
  </si>
  <si>
    <t>MML093</t>
  </si>
  <si>
    <t>MML094</t>
  </si>
  <si>
    <t>406 stg2018</t>
  </si>
  <si>
    <t>W 7th street</t>
  </si>
  <si>
    <t>982000410610049; 3D6.0018796981</t>
  </si>
  <si>
    <t>Biopsy from shoulder x2; GPS6 Waypoint FC1 622; photos on Jerone's camera</t>
  </si>
  <si>
    <t xml:space="preserve">MML093/094  </t>
  </si>
  <si>
    <t xml:space="preserve">MML095/096 </t>
  </si>
  <si>
    <t>MML095/096</t>
  </si>
  <si>
    <t>MML095</t>
  </si>
  <si>
    <t>MML096</t>
  </si>
  <si>
    <t>411 stg2018</t>
  </si>
  <si>
    <t>Magnolia St (Clubhouse)</t>
  </si>
  <si>
    <t>GPS6 WP:101</t>
  </si>
  <si>
    <t>624H2</t>
  </si>
  <si>
    <t xml:space="preserve">MML097/098 24/06 </t>
  </si>
  <si>
    <t>MML097/098 2nd</t>
  </si>
  <si>
    <t>MML097 2nd</t>
  </si>
  <si>
    <t>MML098 2nd</t>
  </si>
  <si>
    <t>415 stg2018</t>
  </si>
  <si>
    <t>Resort Village Ln</t>
  </si>
  <si>
    <t>982000410609174</t>
  </si>
  <si>
    <t>MML097</t>
  </si>
  <si>
    <t>MML098</t>
  </si>
  <si>
    <t>Shoulder biopsy; Removed large barnacles on rear marginal scutes, scutes not normal, GPS points not taken/reported next day</t>
  </si>
  <si>
    <t xml:space="preserve">MML097/098  </t>
  </si>
  <si>
    <t>413 stg2018</t>
  </si>
  <si>
    <t>B/w Guava and Forsythia</t>
  </si>
  <si>
    <t>GPS6: WP:102</t>
  </si>
  <si>
    <t>625G1</t>
  </si>
  <si>
    <t xml:space="preserve">MML097/098 </t>
  </si>
  <si>
    <t>MML097/098</t>
  </si>
  <si>
    <t xml:space="preserve">MML099/100  </t>
  </si>
  <si>
    <t xml:space="preserve">MML176/178  </t>
  </si>
  <si>
    <t xml:space="preserve">MMF220/222 </t>
  </si>
  <si>
    <t>MML220/222</t>
  </si>
  <si>
    <t>MML220</t>
  </si>
  <si>
    <t>MML222</t>
  </si>
  <si>
    <t>380 stg2018</t>
  </si>
  <si>
    <t xml:space="preserve">Laying </t>
  </si>
  <si>
    <t xml:space="preserve">Biopsy from left and right shoulder </t>
  </si>
  <si>
    <t>620G1</t>
  </si>
  <si>
    <t xml:space="preserve">MML220/222 </t>
  </si>
  <si>
    <t xml:space="preserve">MML221/223 </t>
  </si>
  <si>
    <t>MML221/223</t>
  </si>
  <si>
    <t>MML221</t>
  </si>
  <si>
    <t>MML223</t>
  </si>
  <si>
    <t>405 stg2018</t>
  </si>
  <si>
    <t xml:space="preserve">W End of Seaside Dr </t>
  </si>
  <si>
    <t>982000410609611; 3D6.00187967CB</t>
  </si>
  <si>
    <t>U1 621 (GPS1); shoulder biopsy, unknown is most likely not a nest but rather a body pit</t>
  </si>
  <si>
    <t>622H1</t>
  </si>
  <si>
    <t xml:space="preserve">MML224/225  </t>
  </si>
  <si>
    <t>MML224/225</t>
  </si>
  <si>
    <t>MML224</t>
  </si>
  <si>
    <t>MML225</t>
  </si>
  <si>
    <t>421 stg2018</t>
  </si>
  <si>
    <t>8th + 9th street W gowie Dr</t>
  </si>
  <si>
    <t>982000410609573; 3D6.00187967A5</t>
  </si>
  <si>
    <t>Biopsy Shoulder</t>
  </si>
  <si>
    <t>628F1</t>
  </si>
  <si>
    <t xml:space="preserve">MMF224/225 </t>
  </si>
  <si>
    <t xml:space="preserve">MML224/225 </t>
  </si>
  <si>
    <t xml:space="preserve">MML234/235 </t>
  </si>
  <si>
    <t>MML234/235</t>
  </si>
  <si>
    <t>MML234</t>
  </si>
  <si>
    <t>MML235</t>
  </si>
  <si>
    <t>388 stg2018</t>
  </si>
  <si>
    <t>B/w W 7th &amp; W 6th</t>
  </si>
  <si>
    <t>982000410606199; 3D6.0018795A77</t>
  </si>
  <si>
    <t>Biopsy from shoulder</t>
  </si>
  <si>
    <t>621D2</t>
  </si>
  <si>
    <t xml:space="preserve">MML236/137 </t>
  </si>
  <si>
    <t>MML236/237</t>
  </si>
  <si>
    <t>MML236</t>
  </si>
  <si>
    <t>MML237</t>
  </si>
  <si>
    <t>416 stg2018</t>
  </si>
  <si>
    <t>Coral Reef and Nautilus</t>
  </si>
  <si>
    <t>4B6735442</t>
  </si>
  <si>
    <t>Front right flipper tag scar, GPS #3, WP 203, Biopsy shoulder</t>
  </si>
  <si>
    <t>626I1</t>
  </si>
  <si>
    <t xml:space="preserve">MML236/237  </t>
  </si>
  <si>
    <t xml:space="preserve">MML251/252  </t>
  </si>
  <si>
    <t xml:space="preserve">MML257/258 </t>
  </si>
  <si>
    <t>MML257/258</t>
  </si>
  <si>
    <t>MML258</t>
  </si>
  <si>
    <t>MML257</t>
  </si>
  <si>
    <t>410 stg2018</t>
  </si>
  <si>
    <t>C</t>
  </si>
  <si>
    <t>982000410609812; 3D6.0018796894</t>
  </si>
  <si>
    <t>GPS7 WP: STG18N06</t>
  </si>
  <si>
    <t xml:space="preserve">MMF257/258 </t>
  </si>
  <si>
    <t>ScientificName</t>
  </si>
  <si>
    <t>Arthropoda</t>
  </si>
  <si>
    <t>AphiaID</t>
  </si>
  <si>
    <t>Match type</t>
  </si>
  <si>
    <t>exact</t>
  </si>
  <si>
    <t>phonetic</t>
  </si>
  <si>
    <t>LSID</t>
  </si>
  <si>
    <t>urn:lsid:marinespecies.org:taxname:2303</t>
  </si>
  <si>
    <t>urn:lsid:marinespecies.org:taxname:2319</t>
  </si>
  <si>
    <t>urn:lsid:marinespecies.org:taxname:2338</t>
  </si>
  <si>
    <t>urn:lsid:marinespecies.org:taxname:582845</t>
  </si>
  <si>
    <t>urn:lsid:marinespecies.org:taxname:2283</t>
  </si>
  <si>
    <t>urn:lsid:marinespecies.org:taxname:2381</t>
  </si>
  <si>
    <t>urn:lsid:marinespecies.org:taxname:2452</t>
  </si>
  <si>
    <t>urn:lsid:marinespecies.org:taxname:2498</t>
  </si>
  <si>
    <t>urn:lsid:marinespecies.org:taxname:2400</t>
  </si>
  <si>
    <t>urn:lsid:marinespecies.org:taxname:227178</t>
  </si>
  <si>
    <t>urn:lsid:marinespecies.org:taxname:2436</t>
  </si>
  <si>
    <t>urn:lsid:marinespecies.org:taxname:2415</t>
  </si>
  <si>
    <t>urn:lsid:marinespecies.org:taxname:2416</t>
  </si>
  <si>
    <t>urn:lsid:marinespecies.org:taxname:2586</t>
  </si>
  <si>
    <t>urn:lsid:marinespecies.org:taxname:2557</t>
  </si>
  <si>
    <t>urn:lsid:marinespecies.org:taxname:458823</t>
  </si>
  <si>
    <t>urn:lsid:marinespecies.org:taxname:2394</t>
  </si>
  <si>
    <t>urn:lsid:marinespecies.org:taxname:227164</t>
  </si>
  <si>
    <t>urn:lsid:marinespecies.org:taxname:2277</t>
  </si>
  <si>
    <t>urn:lsid:marinespecies.org:taxname:2278</t>
  </si>
  <si>
    <t>urn:lsid:marinespecies.org:taxname:2134</t>
  </si>
  <si>
    <t>urn:lsid:marinespecies.org:taxname:2162</t>
  </si>
  <si>
    <t>urn:lsid:marinespecies.org:taxname:2144</t>
  </si>
  <si>
    <t>urn:lsid:marinespecies.org:taxname:2294</t>
  </si>
  <si>
    <t>urn:lsid:marinespecies.org:taxname:2345</t>
  </si>
  <si>
    <t>urn:lsid:marinespecies.org:taxname:227501</t>
  </si>
  <si>
    <t>urn:lsid:marinespecies.org:taxname:2426</t>
  </si>
  <si>
    <t>urn:lsid:marinespecies.org:taxname:2185</t>
  </si>
  <si>
    <t>urn:lsid:marinespecies.org:taxname:2163</t>
  </si>
  <si>
    <t>urn:lsid:marinespecies.org:taxname:2455</t>
  </si>
  <si>
    <t>urn:lsid:marinespecies.org:taxname:2339</t>
  </si>
  <si>
    <t>urn:lsid:marinespecies.org:taxname:853823</t>
  </si>
  <si>
    <t>urn:lsid:marinespecies.org:taxname:2167</t>
  </si>
  <si>
    <t>urn:lsid:marinespecies.org:taxname:2474</t>
  </si>
  <si>
    <t>urn:lsid:marinespecies.org:taxname:2369</t>
  </si>
  <si>
    <t>urn:lsid:marinespecies.org:taxname:2297</t>
  </si>
  <si>
    <t>urn:lsid:marinespecies.org:taxname:2404</t>
  </si>
  <si>
    <t>urn:lsid:marinespecies.org:taxname:2444</t>
  </si>
  <si>
    <t>urn:lsid:marinespecies.org:taxname:2439</t>
  </si>
  <si>
    <t>urn:lsid:marinespecies.org:taxname:2140</t>
  </si>
  <si>
    <t>urn:lsid:marinespecies.org:taxname:2428</t>
  </si>
  <si>
    <t>urn:lsid:marinespecies.org:taxname:2513</t>
  </si>
  <si>
    <t>urn:lsid:marinespecies.org:taxname:2514</t>
  </si>
  <si>
    <t>urn:lsid:marinespecies.org:taxname:2286</t>
  </si>
  <si>
    <t>urn:lsid:marinespecies.org:taxname:2559</t>
  </si>
  <si>
    <t>urn:lsid:marinespecies.org:taxname:2331</t>
  </si>
  <si>
    <t>urn:lsid:marinespecies.org:taxname:2548</t>
  </si>
  <si>
    <t>urn:lsid:marinespecies.org:taxname:2332</t>
  </si>
  <si>
    <t>urn:lsid:marinespecies.org:taxname:2391</t>
  </si>
  <si>
    <t>urn:lsid:marinespecies.org:taxname:2298</t>
  </si>
  <si>
    <t>urn:lsid:marinespecies.org:taxname:2299</t>
  </si>
  <si>
    <t>urn:lsid:marinespecies.org:taxname:2333</t>
  </si>
  <si>
    <t>urn:lsid:marinespecies.org:taxname:2407</t>
  </si>
  <si>
    <t>urn:lsid:marinespecies.org:taxname:2191</t>
  </si>
  <si>
    <t>urn:lsid:marinespecies.org:taxname:2490</t>
  </si>
  <si>
    <t>urn:lsid:marinespecies.org:taxname:2309</t>
  </si>
  <si>
    <t>urn:lsid:marinespecies.org:taxname:834500</t>
  </si>
  <si>
    <t>urn:lsid:marinespecies.org:taxname:2346</t>
  </si>
  <si>
    <t>urn:lsid:marinespecies.org:taxname:2461</t>
  </si>
  <si>
    <t>urn:lsid:marinespecies.org:taxname:2476</t>
  </si>
  <si>
    <t>urn:lsid:marinespecies.org:taxname:2572</t>
  </si>
  <si>
    <t>urn:lsid:marinespecies.org:taxname:2366</t>
  </si>
  <si>
    <t>urn:lsid:marinespecies.org:taxname:2367</t>
  </si>
  <si>
    <t>urn:lsid:marinespecies.org:taxname:2316</t>
  </si>
  <si>
    <t>urn:lsid:marinespecies.org:taxname:2300</t>
  </si>
  <si>
    <t>urn:lsid:marinespecies.org:taxname:2325</t>
  </si>
  <si>
    <t>urn:lsid:marinespecies.org:taxname:160852</t>
  </si>
  <si>
    <t>urn:lsid:marinespecies.org:taxname:2418</t>
  </si>
  <si>
    <t>urn:lsid:marinespecies.org:taxname:2397</t>
  </si>
  <si>
    <t>urn:lsid:marinespecies.org:taxname:2569</t>
  </si>
  <si>
    <t>urn:lsid:marinespecies.org:taxname:2204</t>
  </si>
  <si>
    <t>urn:lsid:marinespecies.org:taxname:2573</t>
  </si>
  <si>
    <t>urn:lsid:marinespecies.org:taxname:2320</t>
  </si>
  <si>
    <t>urn:lsid:marinespecies.org:taxname:2427</t>
  </si>
  <si>
    <t>urn:lsid:marinespecies.org:taxname:2322</t>
  </si>
  <si>
    <t>urn:lsid:marinespecies.org:taxname:2420</t>
  </si>
  <si>
    <t>urn:lsid:marinespecies.org:taxname:2562</t>
  </si>
  <si>
    <t>urn:lsid:marinespecies.org:taxname:2463</t>
  </si>
  <si>
    <t>urn:lsid:marinespecies.org:taxname:2510</t>
  </si>
  <si>
    <t>urn:lsid:marinespecies.org:taxname:227165</t>
  </si>
  <si>
    <t>urn:lsid:marinespecies.org:taxname:2563</t>
  </si>
  <si>
    <t>urn:lsid:marinespecies.org:taxname:2318</t>
  </si>
  <si>
    <t>urn:lsid:marinespecies.org:taxname:2398</t>
  </si>
  <si>
    <t>urn:lsid:marinespecies.org:taxname:2281</t>
  </si>
  <si>
    <t>urn:lsid:marinespecies.org:taxname:2301</t>
  </si>
  <si>
    <t>urn:lsid:marinespecies.org:taxname:2583</t>
  </si>
  <si>
    <t>urn:lsid:marinespecies.org:taxname:2334</t>
  </si>
  <si>
    <t>urn:lsid:marinespecies.org:taxname:2433</t>
  </si>
  <si>
    <t>urn:lsid:marinespecies.org:taxname:2166</t>
  </si>
  <si>
    <t>urn:lsid:marinespecies.org:taxname:2434</t>
  </si>
  <si>
    <t>urn:lsid:marinespecies.org:taxname:2443</t>
  </si>
  <si>
    <t>urn:lsid:marinespecies.org:taxname:2189</t>
  </si>
  <si>
    <t>urn:lsid:marinespecies.org:taxname:2451</t>
  </si>
  <si>
    <t>urn:lsid:marinespecies.org:taxname:2302</t>
  </si>
  <si>
    <t>urn:lsid:marinespecies.org:taxname:153200</t>
  </si>
  <si>
    <t>urn:lsid:marinespecies.org:taxname:2564</t>
  </si>
  <si>
    <t>urn:lsid:marinespecies.org:taxname:2335</t>
  </si>
  <si>
    <t>urn:lsid:marinespecies.org:taxname:2362</t>
  </si>
  <si>
    <t>urn:lsid:marinespecies.org:taxname:2526</t>
  </si>
  <si>
    <t>urn:lsid:marinespecies.org:taxname:2479</t>
  </si>
  <si>
    <t>urn:lsid:marinespecies.org:taxname:2527</t>
  </si>
  <si>
    <t>urn:lsid:marinespecies.org:taxname:2469</t>
  </si>
  <si>
    <t>urn:lsid:marinespecies.org:taxname:2547</t>
  </si>
  <si>
    <t>urn:lsid:marinespecies.org:taxname:2379</t>
  </si>
  <si>
    <t>urn:lsid:marinespecies.org:taxname:2470</t>
  </si>
  <si>
    <t>urn:lsid:marinespecies.org:taxname:2588</t>
  </si>
  <si>
    <t>urn:lsid:marinespecies.org:taxname:2528</t>
  </si>
  <si>
    <t>urn:lsid:marinespecies.org:taxname:227195</t>
  </si>
  <si>
    <t>urn:lsid:marinespecies.org:taxname:2570</t>
  </si>
  <si>
    <t>urn:lsid:marinespecies.org:taxname:2190</t>
  </si>
  <si>
    <t>urn:lsid:marinespecies.org:taxname:227494</t>
  </si>
  <si>
    <t>urn:lsid:marinespecies.org:taxname:1360</t>
  </si>
  <si>
    <t>urn:lsid:marinespecies.org:taxname:415046</t>
  </si>
  <si>
    <t>urn:lsid:marinespecies.org:taxname:1135</t>
  </si>
  <si>
    <t>urn:lsid:marinespecies.org:taxname:1292</t>
  </si>
  <si>
    <t>urn:lsid:marinespecies.org:taxname:208</t>
  </si>
  <si>
    <t>urn:lsid:marinespecies.org:taxname:1065</t>
  </si>
  <si>
    <t>urn:lsid:marinespecies.org:taxname:106057</t>
  </si>
  <si>
    <t>urn:lsid:marinespecies.org:taxname:105</t>
  </si>
  <si>
    <t>urn:lsid:marinespecies.org:taxname:101825</t>
  </si>
  <si>
    <t>urn:lsid:marinespecies.org:taxname:106235</t>
  </si>
  <si>
    <t>urn:lsid:marinespecies.org:taxname:1082</t>
  </si>
  <si>
    <t>urn:lsid:marinespecies.org:taxname:1267</t>
  </si>
  <si>
    <t>urn:lsid:marinespecies.org:taxname:101376</t>
  </si>
  <si>
    <t>urn:lsid:marinespecies.org:taxname:1130</t>
  </si>
  <si>
    <t>urn:lsid:marinespecies.org:taxname:966</t>
  </si>
  <si>
    <t>urn:lsid:marinespecies.org:taxname:101</t>
  </si>
  <si>
    <t>urn:lsid:marinespecies.org:taxname:884311</t>
  </si>
  <si>
    <t>urn:lsid:marinespecies.org:taxname:106087</t>
  </si>
  <si>
    <t>urn:lsid:marinespecies.org:taxname:101395</t>
  </si>
  <si>
    <t>urn:lsid:marinespecies.org:taxname:101765</t>
  </si>
  <si>
    <t>urn:lsid:marinespecies.org:taxname:149668</t>
  </si>
  <si>
    <t>urn:lsid:marinespecies.org:taxname:211</t>
  </si>
  <si>
    <t>urn:lsid:marinespecies.org:taxname:129379</t>
  </si>
  <si>
    <t>urn:lsid:marinespecies.org:taxname:215</t>
  </si>
  <si>
    <t>urn:lsid:marinespecies.org:taxname:113</t>
  </si>
  <si>
    <t>urn:lsid:marinespecies.org:taxname:106238</t>
  </si>
  <si>
    <t>urn:lsid:marinespecies.org:taxname:103052</t>
  </si>
  <si>
    <t>urn:lsid:marinespecies.org:taxname:883</t>
  </si>
  <si>
    <t>urn:lsid:marinespecies.org:taxname:939</t>
  </si>
  <si>
    <t>urn:lsid:marinespecies.org:taxname:558</t>
  </si>
  <si>
    <t>urn:lsid:marinespecies.org:taxname:101409</t>
  </si>
  <si>
    <t>urn:lsid:marinespecies.org:taxname:948</t>
  </si>
  <si>
    <t>urn:lsid:marinespecies.org:taxname:243</t>
  </si>
  <si>
    <t>TSN</t>
  </si>
  <si>
    <t>Taxon status</t>
  </si>
  <si>
    <t>accepted</t>
  </si>
  <si>
    <t>taxon inquirendum</t>
  </si>
  <si>
    <t>unaccepted</t>
  </si>
  <si>
    <t>Anoplostoma</t>
  </si>
  <si>
    <t>Epacanthion</t>
  </si>
  <si>
    <t>Neochromadora</t>
  </si>
  <si>
    <t>Parodontophora</t>
  </si>
  <si>
    <t>Trichotheristus</t>
  </si>
  <si>
    <t>Authority</t>
  </si>
  <si>
    <t>Allgén, 1933</t>
  </si>
  <si>
    <t>Cobb, 1920</t>
  </si>
  <si>
    <t>Marion, 1870</t>
  </si>
  <si>
    <t>von Linstow, 1877</t>
  </si>
  <si>
    <t>de Man, 1907</t>
  </si>
  <si>
    <t>Allgén, 1929</t>
  </si>
  <si>
    <t>Bütschli, 1874</t>
  </si>
  <si>
    <t>de Man, 1888</t>
  </si>
  <si>
    <t>Ditlevsen, 1919</t>
  </si>
  <si>
    <t>de Man, 1889</t>
  </si>
  <si>
    <t>Cobb, 1894</t>
  </si>
  <si>
    <t>Micoletzky, 1924</t>
  </si>
  <si>
    <t>de Man, 1880</t>
  </si>
  <si>
    <t>Platonova, 1976</t>
  </si>
  <si>
    <t>Bastian, 1865</t>
  </si>
  <si>
    <t>Filipjev, 1918</t>
  </si>
  <si>
    <t>Filipjev, 1917</t>
  </si>
  <si>
    <t>Filipjev, 1929</t>
  </si>
  <si>
    <t>Filipjev, 1922</t>
  </si>
  <si>
    <t>Gerlach, 1956</t>
  </si>
  <si>
    <t>Cobb, 1933</t>
  </si>
  <si>
    <t>Claparède, 1863</t>
  </si>
  <si>
    <t>Kreis, 1929</t>
  </si>
  <si>
    <t>Southern, 1914</t>
  </si>
  <si>
    <t>Gerlach, 1950</t>
  </si>
  <si>
    <t>Pearse, 1942</t>
  </si>
  <si>
    <t>Ditlevsen, 1918</t>
  </si>
  <si>
    <t>de Man, 1893</t>
  </si>
  <si>
    <t>Wieser, 1953</t>
  </si>
  <si>
    <t>de Man, 1886</t>
  </si>
  <si>
    <t>Filipjev, 1921</t>
  </si>
  <si>
    <t>Cobb, 1913</t>
  </si>
  <si>
    <t>Inglis, 1969</t>
  </si>
  <si>
    <t>Wieser, 1954</t>
  </si>
  <si>
    <t>de Man, 1876</t>
  </si>
  <si>
    <t>(Hopper, 1972) Hopper, 1977</t>
  </si>
  <si>
    <t>Schuurmans Stekhoven, 1935</t>
  </si>
  <si>
    <t>Ott, 1972</t>
  </si>
  <si>
    <t>de Man, 1890</t>
  </si>
  <si>
    <t>Filipjev, 1916</t>
  </si>
  <si>
    <t>Dujardin, 1845</t>
  </si>
  <si>
    <t>Schuurmans Stekhoven, 1950</t>
  </si>
  <si>
    <t>Micoletzky, 1922</t>
  </si>
  <si>
    <t>Timm, 1963</t>
  </si>
  <si>
    <t>Micoletzky &amp; Kreis, 1930</t>
  </si>
  <si>
    <t>Steiner, 1916</t>
  </si>
  <si>
    <t>Inglis, 1966</t>
  </si>
  <si>
    <t>de Man, 1922</t>
  </si>
  <si>
    <t>Cobb, 1917</t>
  </si>
  <si>
    <t>Gerlach, 1954</t>
  </si>
  <si>
    <t>Baylis &amp; Daubney, 1926</t>
  </si>
  <si>
    <t>Rouville, 1903</t>
  </si>
  <si>
    <t>Cobb, 1915</t>
  </si>
  <si>
    <t>Platt, 1985</t>
  </si>
  <si>
    <t>Allgén, 1932</t>
  </si>
  <si>
    <t>Lorenzen, 1977</t>
  </si>
  <si>
    <t>De Man, 1889</t>
  </si>
  <si>
    <t>Wieser, 1956</t>
  </si>
  <si>
    <t>Chitwood, 1951</t>
  </si>
  <si>
    <t>Pitombo, 2004</t>
  </si>
  <si>
    <t>Latreille, 1816</t>
  </si>
  <si>
    <t>Ehrenberg, 1834</t>
  </si>
  <si>
    <t>Lamarck, 1809</t>
  </si>
  <si>
    <t>von Siebold, 1848</t>
  </si>
  <si>
    <t>Leach, 1817</t>
  </si>
  <si>
    <t>Linnaeus, 1758</t>
  </si>
  <si>
    <t>Mayer, 1890</t>
  </si>
  <si>
    <t>(Linnaeus, 1758)</t>
  </si>
  <si>
    <t>Burmeister, 1834</t>
  </si>
  <si>
    <t>Hatschek, 1888</t>
  </si>
  <si>
    <t>Leach, 1814</t>
  </si>
  <si>
    <t>Latreille, 1802</t>
  </si>
  <si>
    <t>Berthold, 1827</t>
  </si>
  <si>
    <t>Cuvier, 1795</t>
  </si>
  <si>
    <t>(Richardson, 1902)</t>
  </si>
  <si>
    <t>Dana, 1849</t>
  </si>
  <si>
    <t>Stebbing, 1906</t>
  </si>
  <si>
    <t>Boas, 1883</t>
  </si>
  <si>
    <t>Rafinesque, 1815</t>
  </si>
  <si>
    <t>(Fabricius, 1798)</t>
  </si>
  <si>
    <t>(Chevreux &amp; Guerne, 1888)</t>
  </si>
  <si>
    <t>Grube, 1850</t>
  </si>
  <si>
    <t>Kinberg, 1856</t>
  </si>
  <si>
    <t>Grant, 1836</t>
  </si>
  <si>
    <t>Boeck, 1871</t>
  </si>
  <si>
    <t>AphiaID_accepted</t>
  </si>
  <si>
    <t>ScientificName_accepted</t>
  </si>
  <si>
    <t>Authority_accepted</t>
  </si>
  <si>
    <t>Kingdom</t>
  </si>
  <si>
    <t>Animalia</t>
  </si>
  <si>
    <t>Phylum</t>
  </si>
  <si>
    <t>Nematoda</t>
  </si>
  <si>
    <t>Mollusca</t>
  </si>
  <si>
    <t>Annelida</t>
  </si>
  <si>
    <t>Class</t>
  </si>
  <si>
    <t>Chromadorea</t>
  </si>
  <si>
    <t>Enoplea</t>
  </si>
  <si>
    <t>Thecostraca</t>
  </si>
  <si>
    <t>Malacostraca</t>
  </si>
  <si>
    <t>Order</t>
  </si>
  <si>
    <t>Chromadorida</t>
  </si>
  <si>
    <t>Desmodorida</t>
  </si>
  <si>
    <t>Rhabditida</t>
  </si>
  <si>
    <t>Plectida</t>
  </si>
  <si>
    <t>Monhysterida</t>
  </si>
  <si>
    <t>Enoplida</t>
  </si>
  <si>
    <t>Araeolaimida</t>
  </si>
  <si>
    <t>Desmoscolecida</t>
  </si>
  <si>
    <t>Triplonchida</t>
  </si>
  <si>
    <t>Balanomorpha</t>
  </si>
  <si>
    <t>Arcida</t>
  </si>
  <si>
    <t>Eunicida</t>
  </si>
  <si>
    <t>Scalpellomorpha</t>
  </si>
  <si>
    <t>Mytilida</t>
  </si>
  <si>
    <t>Phyllodocida</t>
  </si>
  <si>
    <t>Ostreida</t>
  </si>
  <si>
    <t>Venerida</t>
  </si>
  <si>
    <t>Family</t>
  </si>
  <si>
    <t>Cephalobidae</t>
  </si>
  <si>
    <t>Aegialoalaimidae</t>
  </si>
  <si>
    <t>Anoplostomatidae</t>
  </si>
  <si>
    <t>Leptolaimidae</t>
  </si>
  <si>
    <t>Aponchiidae</t>
  </si>
  <si>
    <t>Diplopeltidae</t>
  </si>
  <si>
    <t>Axonolaimidae</t>
  </si>
  <si>
    <t>Tripyloididae</t>
  </si>
  <si>
    <t>Enchelidiidae</t>
  </si>
  <si>
    <t>Anticomidae</t>
  </si>
  <si>
    <t>Neotonchidae</t>
  </si>
  <si>
    <t>Desmoscolecidae</t>
  </si>
  <si>
    <t>Monhysteridae</t>
  </si>
  <si>
    <t>Thoracostomopsidae</t>
  </si>
  <si>
    <t>Oxystominidae</t>
  </si>
  <si>
    <t>Haliplectidae</t>
  </si>
  <si>
    <t>Microlaimidae</t>
  </si>
  <si>
    <t>Monoposthiidae</t>
  </si>
  <si>
    <t>Phanodermatidae</t>
  </si>
  <si>
    <t>Ironidae</t>
  </si>
  <si>
    <t>Rhabdodemaniidae</t>
  </si>
  <si>
    <t>Rhabdolaimidae</t>
  </si>
  <si>
    <t>Leptosomatidae</t>
  </si>
  <si>
    <t>Chelonibiidae</t>
  </si>
  <si>
    <t>Metapseudidae</t>
  </si>
  <si>
    <t>Lepadidae</t>
  </si>
  <si>
    <t>Nereididae</t>
  </si>
  <si>
    <t>Coronulidae</t>
  </si>
  <si>
    <t>Podoceridae</t>
  </si>
  <si>
    <t>Genus</t>
  </si>
  <si>
    <t>Caprella</t>
  </si>
  <si>
    <t>Chelonibia</t>
  </si>
  <si>
    <t>Hoplopolemius</t>
  </si>
  <si>
    <t>Platylepas</t>
  </si>
  <si>
    <t>Podocerus</t>
  </si>
  <si>
    <t>Subgenus</t>
  </si>
  <si>
    <t>andreae</t>
  </si>
  <si>
    <t>testudinaria</t>
  </si>
  <si>
    <t>propinquus</t>
  </si>
  <si>
    <t>hexastylos</t>
  </si>
  <si>
    <t>chelonophilus</t>
  </si>
  <si>
    <t>Subspecies</t>
  </si>
  <si>
    <t>isMarine</t>
  </si>
  <si>
    <t>isBrackish</t>
  </si>
  <si>
    <t>isFresh</t>
  </si>
  <si>
    <t>isTerrestrial</t>
  </si>
  <si>
    <t>dC13</t>
  </si>
  <si>
    <t>dN15</t>
  </si>
  <si>
    <t>C:N (mass)</t>
  </si>
  <si>
    <t>C:N (molar)</t>
  </si>
  <si>
    <t>C:N mass</t>
  </si>
  <si>
    <t>C:N moles</t>
  </si>
  <si>
    <t>MMF238_239_BM</t>
  </si>
  <si>
    <t>MMF255_256_BL</t>
  </si>
  <si>
    <t>MMF259_260_BH</t>
  </si>
  <si>
    <t>MMF259_260_BL</t>
  </si>
  <si>
    <t>MMF238_239_BH</t>
  </si>
  <si>
    <t>MMF259_260_BM</t>
  </si>
  <si>
    <t>MMF261_262_BH</t>
  </si>
  <si>
    <t>MMF261_262_BL</t>
  </si>
  <si>
    <t>MMF261_262_BM</t>
  </si>
  <si>
    <t>MML079_247_BH</t>
  </si>
  <si>
    <t>MML079_247_BL</t>
  </si>
  <si>
    <t>MML079_247_BM</t>
  </si>
  <si>
    <t>MML099_100_BH</t>
  </si>
  <si>
    <t>MML099_100_BL</t>
  </si>
  <si>
    <t>MML099_100_BM</t>
  </si>
  <si>
    <t>MML176_178_BH</t>
  </si>
  <si>
    <t>MML176_178_BL</t>
  </si>
  <si>
    <t>MML176_178_BM</t>
  </si>
  <si>
    <t>MML251_252_BH</t>
  </si>
  <si>
    <t>MML251_252_BL</t>
  </si>
  <si>
    <t>MML251_252_BM</t>
  </si>
  <si>
    <t>MMF231_232_TA</t>
  </si>
  <si>
    <t>MMF231_232_TM</t>
  </si>
  <si>
    <t>MMF231_232_TP</t>
  </si>
  <si>
    <t>MMF238_239_TA</t>
  </si>
  <si>
    <t>MMF238_239_TM</t>
  </si>
  <si>
    <t>MMF238_239_TP</t>
  </si>
  <si>
    <t>MMF253_254_TA</t>
  </si>
  <si>
    <t>MMF253_254_TM</t>
  </si>
  <si>
    <t>MMF253_254_TP</t>
  </si>
  <si>
    <t>MMF255_256_TM</t>
  </si>
  <si>
    <t>MMF255_256_TP</t>
  </si>
  <si>
    <t>MMF259_260_TA</t>
  </si>
  <si>
    <t>MMF259_260_TM</t>
  </si>
  <si>
    <t>MMF259_260_TP</t>
  </si>
  <si>
    <t>MMF261_262_TA</t>
  </si>
  <si>
    <t>MMF261_262_TM</t>
  </si>
  <si>
    <t>MMF261_262_TP</t>
  </si>
  <si>
    <t>MML077_078ALLTHEBOTLES_TA</t>
  </si>
  <si>
    <t>MML079_247_TA</t>
  </si>
  <si>
    <t>MML079_247_TM</t>
  </si>
  <si>
    <t>MML079_247_TP</t>
  </si>
  <si>
    <t>MML085_086_TA</t>
  </si>
  <si>
    <t>MML085_086_TM</t>
  </si>
  <si>
    <t>MML085_086_TP</t>
  </si>
  <si>
    <t>MML089_090_TA</t>
  </si>
  <si>
    <t>MML089_090_TM</t>
  </si>
  <si>
    <t>MML089_090_TP</t>
  </si>
  <si>
    <t>MML091_092_TA</t>
  </si>
  <si>
    <t>MML091_092_TM</t>
  </si>
  <si>
    <t>MML091_092_TP</t>
  </si>
  <si>
    <t>MML093_094_TA</t>
  </si>
  <si>
    <t>MML093_094_TM</t>
  </si>
  <si>
    <t>MML093_094_TP</t>
  </si>
  <si>
    <t>MML095_096_TA</t>
  </si>
  <si>
    <t>MML095_096_TM</t>
  </si>
  <si>
    <t>MML095_096_TP</t>
  </si>
  <si>
    <t>MML097_098 2nd_TM</t>
  </si>
  <si>
    <t>MML097_098 2nd_TP</t>
  </si>
  <si>
    <t>MML097_098_TA</t>
  </si>
  <si>
    <t>MML097_098_TM</t>
  </si>
  <si>
    <t>MML097_098_TP</t>
  </si>
  <si>
    <t>MML099_100_TA</t>
  </si>
  <si>
    <t>MML099_100_TM</t>
  </si>
  <si>
    <t>MML099_100_TP</t>
  </si>
  <si>
    <t>MML176_178_TA</t>
  </si>
  <si>
    <t>MML176_178_TM</t>
  </si>
  <si>
    <t>MML176_178_TP</t>
  </si>
  <si>
    <t>MML220_222_TA</t>
  </si>
  <si>
    <t>MML220_222_TM</t>
  </si>
  <si>
    <t>MML220_222_TP</t>
  </si>
  <si>
    <t>MML221_223_TM</t>
  </si>
  <si>
    <t>MML221_223_TP</t>
  </si>
  <si>
    <t>MML224_225_TA</t>
  </si>
  <si>
    <t>MML224_225_TM</t>
  </si>
  <si>
    <t>MML224_225_TP</t>
  </si>
  <si>
    <t>MML234_235_TA</t>
  </si>
  <si>
    <t>MML234_235_TM</t>
  </si>
  <si>
    <t>MML234_235_TP</t>
  </si>
  <si>
    <t>MML236_237_TA</t>
  </si>
  <si>
    <t>MML236_237_TM</t>
  </si>
  <si>
    <t>MML236_237_TP</t>
  </si>
  <si>
    <t>MML251_252_TA</t>
  </si>
  <si>
    <t>MML251_252_TM</t>
  </si>
  <si>
    <t>MML251_252_TP</t>
  </si>
  <si>
    <t>MML257_258_TA</t>
  </si>
  <si>
    <t>MML257_258_TM</t>
  </si>
  <si>
    <t>MML257_258_TP</t>
  </si>
  <si>
    <t>Isoscape</t>
  </si>
  <si>
    <t>DFA</t>
  </si>
  <si>
    <t>EGOM</t>
  </si>
  <si>
    <t>NGOM</t>
  </si>
  <si>
    <t>SGOM</t>
  </si>
  <si>
    <t>SNWA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</si>
</sst>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0" fillId="9" borderId="0" xfId="0" applyFill="1"/>
    <xf numFmtId="0" fontId="2" fillId="4" borderId="0" xfId="0" applyFont="1" applyFill="1"/>
    <xf numFmtId="0" fontId="1" fillId="3" borderId="0" xfId="0" applyFont="1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  <xf numFmtId="0" fontId="1" fillId="9" borderId="0" xfId="0" applyFont="1" applyFill="1"/>
    <xf numFmtId="0" fontId="3" fillId="9" borderId="0" xfId="1" applyFill="1"/>
    <xf numFmtId="0" fontId="2" fillId="0" borderId="0" xfId="0" applyFont="1" applyFill="1"/>
    <xf numFmtId="0" fontId="4" fillId="0" borderId="0" xfId="1" applyFont="1"/>
    <xf numFmtId="0" fontId="3" fillId="0" borderId="0" xfId="1"/>
    <xf numFmtId="2" fontId="5" fillId="0" borderId="0" xfId="0" applyNumberFormat="1" applyFont="1" applyFill="1" applyBorder="1" applyAlignment="1">
      <alignment vertical="top"/>
    </xf>
    <xf numFmtId="0" fontId="0" fillId="8" borderId="0" xfId="0" applyFill="1"/>
    <xf numFmtId="2" fontId="5" fillId="8" borderId="0" xfId="0" applyNumberFormat="1" applyFont="1" applyFill="1" applyBorder="1" applyAlignment="1">
      <alignment vertical="top"/>
    </xf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S190"/>
  <sheetViews>
    <sheetView tabSelected="1" topLeftCell="MZ1" zoomScale="55" zoomScaleNormal="55" workbookViewId="0">
      <selection activeCell="NE1" sqref="NE1"/>
    </sheetView>
  </sheetViews>
  <sheetFormatPr defaultRowHeight="15" x14ac:dyDescent="0.25"/>
  <cols>
    <col min="25" max="25" width="9.140625" style="22"/>
    <col min="72" max="73" width="9.140625" style="13"/>
    <col min="188" max="189" width="9.140625" style="13"/>
    <col min="303" max="304" width="9.140625" style="13"/>
    <col min="312" max="312" width="11" bestFit="1" customWidth="1"/>
    <col min="313" max="313" width="9.42578125" style="13" customWidth="1"/>
    <col min="314" max="339" width="9.42578125" customWidth="1"/>
    <col min="340" max="341" width="39.42578125" bestFit="1" customWidth="1"/>
    <col min="342" max="346" width="9.42578125" customWidth="1"/>
    <col min="347" max="347" width="11.28515625" customWidth="1"/>
    <col min="348" max="349" width="27" customWidth="1"/>
    <col min="350" max="350" width="36" bestFit="1" customWidth="1"/>
    <col min="351" max="351" width="22.42578125" bestFit="1" customWidth="1"/>
    <col min="352" max="352" width="16.42578125" bestFit="1" customWidth="1"/>
    <col min="353" max="353" width="7.42578125" bestFit="1" customWidth="1"/>
    <col min="358" max="358" width="15" bestFit="1" customWidth="1"/>
    <col min="359" max="359" width="20.85546875" bestFit="1" customWidth="1"/>
    <col min="360" max="360" width="8.7109375" bestFit="1" customWidth="1"/>
    <col min="361" max="361" width="13.85546875" customWidth="1"/>
    <col min="362" max="362" width="21.42578125" bestFit="1" customWidth="1"/>
    <col min="363" max="366" width="9.140625" customWidth="1"/>
    <col min="367" max="367" width="15" customWidth="1"/>
    <col min="368" max="368" width="14.42578125" bestFit="1" customWidth="1"/>
    <col min="369" max="382" width="9.140625" customWidth="1"/>
    <col min="383" max="383" width="39.85546875" bestFit="1" customWidth="1"/>
    <col min="384" max="390" width="9.140625" customWidth="1"/>
    <col min="391" max="391" width="18.85546875" customWidth="1"/>
    <col min="392" max="397" width="9.140625" customWidth="1"/>
    <col min="398" max="398" width="11" customWidth="1"/>
    <col min="399" max="402" width="9.140625" customWidth="1"/>
    <col min="405" max="405" width="12.140625" bestFit="1" customWidth="1"/>
    <col min="406" max="406" width="12.5703125" bestFit="1" customWidth="1"/>
  </cols>
  <sheetData>
    <row r="1" spans="1:40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s="4" t="s">
        <v>1</v>
      </c>
      <c r="AA1" s="4" t="s">
        <v>2</v>
      </c>
      <c r="AB1" s="4" t="s">
        <v>3</v>
      </c>
      <c r="AC1" s="4" t="s">
        <v>4</v>
      </c>
      <c r="AD1" s="4" t="s">
        <v>5</v>
      </c>
      <c r="AE1" s="4" t="s">
        <v>6</v>
      </c>
      <c r="AF1" s="4" t="s">
        <v>7</v>
      </c>
      <c r="AG1" s="4" t="s">
        <v>8</v>
      </c>
      <c r="AH1" s="4" t="s">
        <v>9</v>
      </c>
      <c r="AI1" s="4" t="s">
        <v>10</v>
      </c>
      <c r="AJ1" s="4" t="s">
        <v>11</v>
      </c>
      <c r="AK1" s="4" t="s">
        <v>12</v>
      </c>
      <c r="AL1" s="4" t="s">
        <v>13</v>
      </c>
      <c r="AM1" s="4" t="s">
        <v>14</v>
      </c>
      <c r="AN1" s="4" t="s">
        <v>15</v>
      </c>
      <c r="AO1" s="4" t="s">
        <v>16</v>
      </c>
      <c r="AP1" s="4" t="s">
        <v>17</v>
      </c>
      <c r="AQ1" s="4" t="s">
        <v>18</v>
      </c>
      <c r="AR1" s="4" t="s">
        <v>19</v>
      </c>
      <c r="AS1" s="4" t="s">
        <v>20</v>
      </c>
      <c r="AT1" s="4" t="s">
        <v>21</v>
      </c>
      <c r="AU1" s="4" t="s">
        <v>22</v>
      </c>
      <c r="AV1" s="5" t="s">
        <v>25</v>
      </c>
      <c r="AW1" s="3" t="s">
        <v>24</v>
      </c>
      <c r="AX1" s="6" t="s">
        <v>1</v>
      </c>
      <c r="AY1" s="6" t="s">
        <v>2</v>
      </c>
      <c r="AZ1" s="6" t="s">
        <v>3</v>
      </c>
      <c r="BA1" s="6" t="s">
        <v>4</v>
      </c>
      <c r="BB1" s="6" t="s">
        <v>5</v>
      </c>
      <c r="BC1" s="6" t="s">
        <v>6</v>
      </c>
      <c r="BD1" s="6" t="s">
        <v>7</v>
      </c>
      <c r="BE1" s="6" t="s">
        <v>8</v>
      </c>
      <c r="BF1" s="6" t="s">
        <v>9</v>
      </c>
      <c r="BG1" s="6" t="s">
        <v>10</v>
      </c>
      <c r="BH1" s="6" t="s">
        <v>11</v>
      </c>
      <c r="BI1" s="6" t="s">
        <v>12</v>
      </c>
      <c r="BJ1" s="6" t="s">
        <v>13</v>
      </c>
      <c r="BK1" s="6" t="s">
        <v>14</v>
      </c>
      <c r="BL1" s="6" t="s">
        <v>15</v>
      </c>
      <c r="BM1" s="6" t="s">
        <v>16</v>
      </c>
      <c r="BN1" s="6" t="s">
        <v>17</v>
      </c>
      <c r="BO1" s="6" t="s">
        <v>18</v>
      </c>
      <c r="BP1" s="6" t="s">
        <v>19</v>
      </c>
      <c r="BQ1" s="6" t="s">
        <v>20</v>
      </c>
      <c r="BR1" s="6" t="s">
        <v>21</v>
      </c>
      <c r="BS1" s="6" t="s">
        <v>22</v>
      </c>
      <c r="BT1" s="7" t="s">
        <v>26</v>
      </c>
      <c r="BU1" s="3" t="s">
        <v>24</v>
      </c>
      <c r="BV1" s="8" t="s">
        <v>27</v>
      </c>
      <c r="BW1" s="8" t="s">
        <v>28</v>
      </c>
      <c r="BX1" s="8" t="s">
        <v>29</v>
      </c>
      <c r="BY1" s="8" t="s">
        <v>30</v>
      </c>
      <c r="BZ1" s="8" t="s">
        <v>31</v>
      </c>
      <c r="CA1" s="8" t="s">
        <v>32</v>
      </c>
      <c r="CB1" s="8" t="s">
        <v>33</v>
      </c>
      <c r="CC1" s="8" t="s">
        <v>34</v>
      </c>
      <c r="CD1" s="8" t="s">
        <v>35</v>
      </c>
      <c r="CE1" s="8" t="s">
        <v>36</v>
      </c>
      <c r="CF1" s="8" t="s">
        <v>37</v>
      </c>
      <c r="CG1" s="8" t="s">
        <v>38</v>
      </c>
      <c r="CH1" s="8" t="s">
        <v>39</v>
      </c>
      <c r="CI1" s="8" t="s">
        <v>40</v>
      </c>
      <c r="CJ1" s="8" t="s">
        <v>41</v>
      </c>
      <c r="CK1" s="8" t="s">
        <v>42</v>
      </c>
      <c r="CL1" s="8" t="s">
        <v>43</v>
      </c>
      <c r="CM1" s="8" t="s">
        <v>44</v>
      </c>
      <c r="CN1" s="8" t="s">
        <v>45</v>
      </c>
      <c r="CO1" s="8" t="s">
        <v>46</v>
      </c>
      <c r="CP1" s="8" t="s">
        <v>47</v>
      </c>
      <c r="CQ1" s="8" t="s">
        <v>48</v>
      </c>
      <c r="CR1" s="8" t="s">
        <v>49</v>
      </c>
      <c r="CS1" s="8" t="s">
        <v>50</v>
      </c>
      <c r="CT1" s="8" t="s">
        <v>51</v>
      </c>
      <c r="CU1" s="8" t="s">
        <v>52</v>
      </c>
      <c r="CV1" s="8" t="s">
        <v>53</v>
      </c>
      <c r="CW1" s="8" t="s">
        <v>54</v>
      </c>
      <c r="CX1" s="8" t="s">
        <v>55</v>
      </c>
      <c r="CY1" s="8" t="s">
        <v>56</v>
      </c>
      <c r="CZ1" s="8" t="s">
        <v>57</v>
      </c>
      <c r="DA1" s="8" t="s">
        <v>58</v>
      </c>
      <c r="DB1" s="8" t="s">
        <v>59</v>
      </c>
      <c r="DC1" s="8" t="s">
        <v>60</v>
      </c>
      <c r="DD1" s="8" t="s">
        <v>61</v>
      </c>
      <c r="DE1" s="8" t="s">
        <v>62</v>
      </c>
      <c r="DF1" s="8" t="s">
        <v>63</v>
      </c>
      <c r="DG1" s="8" t="s">
        <v>64</v>
      </c>
      <c r="DH1" s="8" t="s">
        <v>65</v>
      </c>
      <c r="DI1" s="8" t="s">
        <v>66</v>
      </c>
      <c r="DJ1" s="8" t="s">
        <v>67</v>
      </c>
      <c r="DK1" s="8" t="s">
        <v>68</v>
      </c>
      <c r="DL1" s="8" t="s">
        <v>69</v>
      </c>
      <c r="DM1" s="8" t="s">
        <v>70</v>
      </c>
      <c r="DN1" s="8" t="s">
        <v>71</v>
      </c>
      <c r="DO1" s="8" t="s">
        <v>72</v>
      </c>
      <c r="DP1" s="8" t="s">
        <v>73</v>
      </c>
      <c r="DQ1" s="8" t="s">
        <v>74</v>
      </c>
      <c r="DR1" s="8" t="s">
        <v>75</v>
      </c>
      <c r="DS1" s="8" t="s">
        <v>76</v>
      </c>
      <c r="DT1" s="8" t="s">
        <v>77</v>
      </c>
      <c r="DU1" s="8" t="s">
        <v>78</v>
      </c>
      <c r="DV1" s="8" t="s">
        <v>79</v>
      </c>
      <c r="DW1" s="8" t="s">
        <v>80</v>
      </c>
      <c r="DX1" s="8" t="s">
        <v>81</v>
      </c>
      <c r="DY1" s="8" t="s">
        <v>82</v>
      </c>
      <c r="DZ1" s="8" t="s">
        <v>83</v>
      </c>
      <c r="EA1" s="8" t="s">
        <v>84</v>
      </c>
      <c r="EB1" s="8" t="s">
        <v>85</v>
      </c>
      <c r="EC1" s="8" t="s">
        <v>86</v>
      </c>
      <c r="ED1" s="8" t="s">
        <v>87</v>
      </c>
      <c r="EE1" s="8" t="s">
        <v>88</v>
      </c>
      <c r="EF1" s="8" t="s">
        <v>89</v>
      </c>
      <c r="EG1" s="8" t="s">
        <v>90</v>
      </c>
      <c r="EH1" s="8" t="s">
        <v>91</v>
      </c>
      <c r="EI1" s="8" t="s">
        <v>92</v>
      </c>
      <c r="EJ1" s="8" t="s">
        <v>93</v>
      </c>
      <c r="EK1" s="8" t="s">
        <v>94</v>
      </c>
      <c r="EL1" s="8" t="s">
        <v>95</v>
      </c>
      <c r="EM1" s="8" t="s">
        <v>96</v>
      </c>
      <c r="EN1" s="8" t="s">
        <v>97</v>
      </c>
      <c r="EO1" s="8" t="s">
        <v>98</v>
      </c>
      <c r="EP1" s="8" t="s">
        <v>99</v>
      </c>
      <c r="EQ1" s="8" t="s">
        <v>100</v>
      </c>
      <c r="ER1" s="8" t="s">
        <v>101</v>
      </c>
      <c r="ES1" s="8" t="s">
        <v>102</v>
      </c>
      <c r="ET1" s="8" t="s">
        <v>103</v>
      </c>
      <c r="EU1" s="8" t="s">
        <v>104</v>
      </c>
      <c r="EV1" s="8" t="s">
        <v>105</v>
      </c>
      <c r="EW1" s="8" t="s">
        <v>106</v>
      </c>
      <c r="EX1" s="8" t="s">
        <v>107</v>
      </c>
      <c r="EY1" s="8" t="s">
        <v>108</v>
      </c>
      <c r="EZ1" s="8" t="s">
        <v>109</v>
      </c>
      <c r="FA1" s="8" t="s">
        <v>110</v>
      </c>
      <c r="FB1" s="8" t="s">
        <v>111</v>
      </c>
      <c r="FC1" s="8" t="s">
        <v>112</v>
      </c>
      <c r="FD1" s="8" t="s">
        <v>113</v>
      </c>
      <c r="FE1" s="8" t="s">
        <v>114</v>
      </c>
      <c r="FF1" s="8" t="s">
        <v>115</v>
      </c>
      <c r="FG1" s="8" t="s">
        <v>116</v>
      </c>
      <c r="FH1" s="8" t="s">
        <v>117</v>
      </c>
      <c r="FI1" s="8" t="s">
        <v>118</v>
      </c>
      <c r="FJ1" s="8" t="s">
        <v>119</v>
      </c>
      <c r="FK1" s="8" t="s">
        <v>120</v>
      </c>
      <c r="FL1" s="8" t="s">
        <v>121</v>
      </c>
      <c r="FM1" s="8" t="s">
        <v>122</v>
      </c>
      <c r="FN1" s="8" t="s">
        <v>123</v>
      </c>
      <c r="FO1" s="8" t="s">
        <v>124</v>
      </c>
      <c r="FP1" s="8" t="s">
        <v>125</v>
      </c>
      <c r="FQ1" s="8" t="s">
        <v>126</v>
      </c>
      <c r="FR1" s="8" t="s">
        <v>127</v>
      </c>
      <c r="FS1" s="8" t="s">
        <v>128</v>
      </c>
      <c r="FT1" s="8" t="s">
        <v>129</v>
      </c>
      <c r="FU1" s="8" t="s">
        <v>130</v>
      </c>
      <c r="FV1" s="8" t="s">
        <v>131</v>
      </c>
      <c r="FW1" s="8" t="s">
        <v>132</v>
      </c>
      <c r="FX1" s="8" t="s">
        <v>133</v>
      </c>
      <c r="FY1" s="8" t="s">
        <v>134</v>
      </c>
      <c r="FZ1" s="8" t="s">
        <v>135</v>
      </c>
      <c r="GA1" s="8" t="s">
        <v>136</v>
      </c>
      <c r="GB1" s="8" t="s">
        <v>137</v>
      </c>
      <c r="GC1" s="8" t="s">
        <v>138</v>
      </c>
      <c r="GD1" s="8" t="s">
        <v>139</v>
      </c>
      <c r="GE1" s="8" t="s">
        <v>140</v>
      </c>
      <c r="GF1" s="9" t="s">
        <v>141</v>
      </c>
      <c r="GG1" s="3" t="s">
        <v>24</v>
      </c>
      <c r="GH1" s="10" t="s">
        <v>27</v>
      </c>
      <c r="GI1" s="10" t="s">
        <v>28</v>
      </c>
      <c r="GJ1" s="10" t="s">
        <v>29</v>
      </c>
      <c r="GK1" s="10" t="s">
        <v>30</v>
      </c>
      <c r="GL1" s="10" t="s">
        <v>31</v>
      </c>
      <c r="GM1" s="10" t="s">
        <v>32</v>
      </c>
      <c r="GN1" s="10" t="s">
        <v>33</v>
      </c>
      <c r="GO1" s="10" t="s">
        <v>34</v>
      </c>
      <c r="GP1" s="10" t="s">
        <v>35</v>
      </c>
      <c r="GQ1" s="10" t="s">
        <v>36</v>
      </c>
      <c r="GR1" s="10" t="s">
        <v>37</v>
      </c>
      <c r="GS1" s="10" t="s">
        <v>38</v>
      </c>
      <c r="GT1" s="10" t="s">
        <v>39</v>
      </c>
      <c r="GU1" s="10" t="s">
        <v>40</v>
      </c>
      <c r="GV1" s="10" t="s">
        <v>41</v>
      </c>
      <c r="GW1" s="10" t="s">
        <v>42</v>
      </c>
      <c r="GX1" s="10" t="s">
        <v>43</v>
      </c>
      <c r="GY1" s="10" t="s">
        <v>44</v>
      </c>
      <c r="GZ1" s="10" t="s">
        <v>45</v>
      </c>
      <c r="HA1" s="10" t="s">
        <v>46</v>
      </c>
      <c r="HB1" s="10" t="s">
        <v>47</v>
      </c>
      <c r="HC1" s="10" t="s">
        <v>48</v>
      </c>
      <c r="HD1" s="10" t="s">
        <v>49</v>
      </c>
      <c r="HE1" s="10" t="s">
        <v>50</v>
      </c>
      <c r="HF1" s="10" t="s">
        <v>51</v>
      </c>
      <c r="HG1" s="10" t="s">
        <v>52</v>
      </c>
      <c r="HH1" s="10" t="s">
        <v>53</v>
      </c>
      <c r="HI1" s="10" t="s">
        <v>54</v>
      </c>
      <c r="HJ1" s="10" t="s">
        <v>55</v>
      </c>
      <c r="HK1" s="10" t="s">
        <v>56</v>
      </c>
      <c r="HL1" s="10" t="s">
        <v>57</v>
      </c>
      <c r="HM1" s="10" t="s">
        <v>58</v>
      </c>
      <c r="HN1" s="10" t="s">
        <v>59</v>
      </c>
      <c r="HO1" s="10" t="s">
        <v>60</v>
      </c>
      <c r="HP1" s="10" t="s">
        <v>61</v>
      </c>
      <c r="HQ1" s="10" t="s">
        <v>62</v>
      </c>
      <c r="HR1" s="10" t="s">
        <v>63</v>
      </c>
      <c r="HS1" s="10" t="s">
        <v>64</v>
      </c>
      <c r="HT1" s="10" t="s">
        <v>65</v>
      </c>
      <c r="HU1" s="10" t="s">
        <v>66</v>
      </c>
      <c r="HV1" s="10" t="s">
        <v>67</v>
      </c>
      <c r="HW1" s="10" t="s">
        <v>68</v>
      </c>
      <c r="HX1" s="10" t="s">
        <v>69</v>
      </c>
      <c r="HY1" s="10" t="s">
        <v>70</v>
      </c>
      <c r="HZ1" s="10" t="s">
        <v>71</v>
      </c>
      <c r="IA1" s="10" t="s">
        <v>72</v>
      </c>
      <c r="IB1" s="10" t="s">
        <v>73</v>
      </c>
      <c r="IC1" s="10" t="s">
        <v>74</v>
      </c>
      <c r="ID1" s="10" t="s">
        <v>75</v>
      </c>
      <c r="IE1" s="10" t="s">
        <v>76</v>
      </c>
      <c r="IF1" s="10" t="s">
        <v>77</v>
      </c>
      <c r="IG1" s="10" t="s">
        <v>78</v>
      </c>
      <c r="IH1" s="10" t="s">
        <v>79</v>
      </c>
      <c r="II1" s="10" t="s">
        <v>80</v>
      </c>
      <c r="IJ1" s="10" t="s">
        <v>81</v>
      </c>
      <c r="IK1" s="10" t="s">
        <v>82</v>
      </c>
      <c r="IL1" s="10" t="s">
        <v>83</v>
      </c>
      <c r="IM1" s="10" t="s">
        <v>84</v>
      </c>
      <c r="IN1" s="10" t="s">
        <v>85</v>
      </c>
      <c r="IO1" s="10" t="s">
        <v>86</v>
      </c>
      <c r="IP1" s="10" t="s">
        <v>87</v>
      </c>
      <c r="IQ1" s="10" t="s">
        <v>88</v>
      </c>
      <c r="IR1" s="10" t="s">
        <v>89</v>
      </c>
      <c r="IS1" s="10" t="s">
        <v>90</v>
      </c>
      <c r="IT1" s="10" t="s">
        <v>91</v>
      </c>
      <c r="IU1" s="10" t="s">
        <v>92</v>
      </c>
      <c r="IV1" s="10" t="s">
        <v>93</v>
      </c>
      <c r="IW1" s="10" t="s">
        <v>94</v>
      </c>
      <c r="IX1" s="10" t="s">
        <v>95</v>
      </c>
      <c r="IY1" s="10" t="s">
        <v>96</v>
      </c>
      <c r="IZ1" s="10" t="s">
        <v>97</v>
      </c>
      <c r="JA1" s="10" t="s">
        <v>98</v>
      </c>
      <c r="JB1" s="10" t="s">
        <v>99</v>
      </c>
      <c r="JC1" s="10" t="s">
        <v>100</v>
      </c>
      <c r="JD1" s="10" t="s">
        <v>101</v>
      </c>
      <c r="JE1" s="10" t="s">
        <v>102</v>
      </c>
      <c r="JF1" s="10" t="s">
        <v>103</v>
      </c>
      <c r="JG1" s="10" t="s">
        <v>106</v>
      </c>
      <c r="JH1" s="10" t="s">
        <v>105</v>
      </c>
      <c r="JI1" s="10" t="s">
        <v>107</v>
      </c>
      <c r="JJ1" s="10" t="s">
        <v>108</v>
      </c>
      <c r="JK1" s="10" t="s">
        <v>109</v>
      </c>
      <c r="JL1" s="10" t="s">
        <v>110</v>
      </c>
      <c r="JM1" s="10" t="s">
        <v>111</v>
      </c>
      <c r="JN1" s="10" t="s">
        <v>112</v>
      </c>
      <c r="JO1" s="10" t="s">
        <v>113</v>
      </c>
      <c r="JP1" s="10" t="s">
        <v>114</v>
      </c>
      <c r="JQ1" s="10" t="s">
        <v>115</v>
      </c>
      <c r="JR1" s="10" t="s">
        <v>116</v>
      </c>
      <c r="JS1" s="10" t="s">
        <v>117</v>
      </c>
      <c r="JT1" s="10" t="s">
        <v>118</v>
      </c>
      <c r="JU1" s="10" t="s">
        <v>119</v>
      </c>
      <c r="JV1" s="10" t="s">
        <v>120</v>
      </c>
      <c r="JW1" s="10" t="s">
        <v>121</v>
      </c>
      <c r="JX1" s="10" t="s">
        <v>122</v>
      </c>
      <c r="JY1" s="10" t="s">
        <v>123</v>
      </c>
      <c r="JZ1" s="10" t="s">
        <v>124</v>
      </c>
      <c r="KA1" s="10" t="s">
        <v>125</v>
      </c>
      <c r="KB1" s="10" t="s">
        <v>126</v>
      </c>
      <c r="KC1" s="10" t="s">
        <v>127</v>
      </c>
      <c r="KD1" s="10" t="s">
        <v>128</v>
      </c>
      <c r="KE1" s="10" t="s">
        <v>129</v>
      </c>
      <c r="KF1" s="10" t="s">
        <v>130</v>
      </c>
      <c r="KG1" s="10" t="s">
        <v>131</v>
      </c>
      <c r="KH1" s="10" t="s">
        <v>132</v>
      </c>
      <c r="KI1" s="10" t="s">
        <v>133</v>
      </c>
      <c r="KJ1" s="10" t="s">
        <v>134</v>
      </c>
      <c r="KK1" s="10" t="s">
        <v>135</v>
      </c>
      <c r="KL1" s="10" t="s">
        <v>136</v>
      </c>
      <c r="KM1" s="10" t="s">
        <v>137</v>
      </c>
      <c r="KN1" s="10" t="s">
        <v>138</v>
      </c>
      <c r="KO1" s="10" t="s">
        <v>139</v>
      </c>
      <c r="KP1" s="10" t="s">
        <v>140</v>
      </c>
      <c r="KQ1" s="11" t="s">
        <v>142</v>
      </c>
      <c r="KR1" s="3" t="s">
        <v>24</v>
      </c>
      <c r="KS1" s="12" t="s">
        <v>143</v>
      </c>
      <c r="KT1" s="12" t="s">
        <v>144</v>
      </c>
      <c r="KU1" s="12" t="s">
        <v>145</v>
      </c>
      <c r="KV1" s="12" t="s">
        <v>146</v>
      </c>
      <c r="KW1" s="12" t="s">
        <v>813</v>
      </c>
      <c r="KX1" s="12" t="s">
        <v>814</v>
      </c>
      <c r="KY1" s="12" t="s">
        <v>817</v>
      </c>
      <c r="KZ1" s="12" t="s">
        <v>818</v>
      </c>
      <c r="LA1" s="3" t="s">
        <v>24</v>
      </c>
      <c r="LB1" s="2" t="s">
        <v>147</v>
      </c>
      <c r="LC1" s="1" t="s">
        <v>148</v>
      </c>
      <c r="LD1" s="1" t="s">
        <v>149</v>
      </c>
      <c r="LE1" s="1" t="s">
        <v>9</v>
      </c>
      <c r="LF1" s="1" t="s">
        <v>150</v>
      </c>
      <c r="LG1" s="1" t="s">
        <v>151</v>
      </c>
      <c r="LH1" s="1" t="s">
        <v>152</v>
      </c>
      <c r="LI1" s="1" t="s">
        <v>153</v>
      </c>
      <c r="LJ1" s="1" t="s">
        <v>154</v>
      </c>
      <c r="LK1" s="1" t="s">
        <v>155</v>
      </c>
      <c r="LL1" s="1" t="s">
        <v>156</v>
      </c>
      <c r="LM1" s="1" t="s">
        <v>157</v>
      </c>
      <c r="LN1" s="1" t="s">
        <v>158</v>
      </c>
      <c r="LO1" s="1" t="s">
        <v>20</v>
      </c>
      <c r="LP1" s="1" t="s">
        <v>159</v>
      </c>
      <c r="LQ1" s="1" t="s">
        <v>160</v>
      </c>
      <c r="LR1" s="1" t="s">
        <v>161</v>
      </c>
      <c r="LS1" s="1" t="s">
        <v>162</v>
      </c>
      <c r="LT1" s="1" t="s">
        <v>163</v>
      </c>
      <c r="LU1" s="1" t="s">
        <v>164</v>
      </c>
      <c r="LV1" s="1" t="s">
        <v>165</v>
      </c>
      <c r="LW1" s="1" t="s">
        <v>166</v>
      </c>
      <c r="LX1" s="1" t="s">
        <v>167</v>
      </c>
      <c r="LY1" s="1" t="s">
        <v>168</v>
      </c>
      <c r="LZ1" s="1" t="s">
        <v>169</v>
      </c>
      <c r="MA1" s="1" t="s">
        <v>170</v>
      </c>
      <c r="MB1" s="1" t="s">
        <v>171</v>
      </c>
      <c r="MC1" s="1" t="s">
        <v>172</v>
      </c>
      <c r="MD1" s="1" t="s">
        <v>173</v>
      </c>
      <c r="ME1" s="1" t="s">
        <v>10</v>
      </c>
      <c r="MF1" s="1" t="s">
        <v>174</v>
      </c>
      <c r="MG1" s="1" t="s">
        <v>175</v>
      </c>
      <c r="MH1" s="1" t="s">
        <v>176</v>
      </c>
      <c r="MI1" s="1" t="s">
        <v>177</v>
      </c>
      <c r="MJ1" s="1" t="s">
        <v>178</v>
      </c>
      <c r="MK1" s="28"/>
      <c r="ML1" t="s">
        <v>179</v>
      </c>
      <c r="MM1" t="s">
        <v>180</v>
      </c>
      <c r="MN1" t="s">
        <v>181</v>
      </c>
      <c r="MO1" t="s">
        <v>182</v>
      </c>
      <c r="MP1" t="s">
        <v>183</v>
      </c>
      <c r="MQ1" t="s">
        <v>184</v>
      </c>
      <c r="MR1" t="s">
        <v>185</v>
      </c>
      <c r="MS1" t="s">
        <v>186</v>
      </c>
      <c r="MT1" t="s">
        <v>187</v>
      </c>
      <c r="MU1" t="s">
        <v>188</v>
      </c>
      <c r="MV1" t="s">
        <v>189</v>
      </c>
      <c r="MW1" s="13" t="s">
        <v>190</v>
      </c>
      <c r="MX1" s="13" t="s">
        <v>191</v>
      </c>
      <c r="MY1" t="s">
        <v>192</v>
      </c>
      <c r="MZ1" t="s">
        <v>193</v>
      </c>
      <c r="NA1" t="s">
        <v>194</v>
      </c>
      <c r="NB1" t="s">
        <v>195</v>
      </c>
      <c r="NC1" t="s">
        <v>196</v>
      </c>
      <c r="ND1" t="s">
        <v>197</v>
      </c>
      <c r="NE1" t="s">
        <v>198</v>
      </c>
      <c r="NF1" t="s">
        <v>199</v>
      </c>
      <c r="NG1" t="s">
        <v>200</v>
      </c>
      <c r="NH1" t="s">
        <v>201</v>
      </c>
      <c r="NI1" t="s">
        <v>202</v>
      </c>
      <c r="NJ1" t="s">
        <v>203</v>
      </c>
      <c r="NK1" t="s">
        <v>204</v>
      </c>
      <c r="NL1" t="s">
        <v>205</v>
      </c>
      <c r="NM1" t="s">
        <v>206</v>
      </c>
      <c r="NN1" t="s">
        <v>207</v>
      </c>
      <c r="NO1" t="s">
        <v>208</v>
      </c>
      <c r="NP1" t="s">
        <v>209</v>
      </c>
      <c r="NQ1" t="s">
        <v>210</v>
      </c>
      <c r="NR1" t="s">
        <v>211</v>
      </c>
      <c r="NS1" t="s">
        <v>212</v>
      </c>
      <c r="NT1" t="s">
        <v>213</v>
      </c>
      <c r="NU1" t="s">
        <v>214</v>
      </c>
      <c r="NV1" t="s">
        <v>215</v>
      </c>
      <c r="NW1" t="s">
        <v>216</v>
      </c>
      <c r="NX1" t="s">
        <v>217</v>
      </c>
      <c r="NY1" t="s">
        <v>218</v>
      </c>
      <c r="NZ1" t="s">
        <v>219</v>
      </c>
      <c r="OA1" t="s">
        <v>220</v>
      </c>
      <c r="OB1" s="14" t="s">
        <v>143</v>
      </c>
      <c r="OC1" t="s">
        <v>221</v>
      </c>
      <c r="OD1" t="s">
        <v>222</v>
      </c>
      <c r="OE1" t="s">
        <v>223</v>
      </c>
      <c r="OF1" t="s">
        <v>224</v>
      </c>
      <c r="OG1" t="s">
        <v>225</v>
      </c>
      <c r="OH1" t="s">
        <v>226</v>
      </c>
      <c r="OI1" t="s">
        <v>227</v>
      </c>
      <c r="OJ1" t="s">
        <v>228</v>
      </c>
      <c r="OK1" t="s">
        <v>229</v>
      </c>
      <c r="OL1" t="s">
        <v>230</v>
      </c>
      <c r="OM1" t="s">
        <v>231</v>
      </c>
      <c r="ON1" t="s">
        <v>813</v>
      </c>
      <c r="OO1" t="s">
        <v>814</v>
      </c>
      <c r="OP1" t="s">
        <v>815</v>
      </c>
      <c r="OQ1" t="s">
        <v>816</v>
      </c>
      <c r="OR1" t="s">
        <v>907</v>
      </c>
      <c r="OS1" t="s">
        <v>908</v>
      </c>
    </row>
    <row r="2" spans="1:409" x14ac:dyDescent="0.25">
      <c r="A2" s="14">
        <v>1</v>
      </c>
      <c r="B2" s="1">
        <v>16</v>
      </c>
      <c r="C2" s="1">
        <v>0</v>
      </c>
      <c r="D2" s="1">
        <v>0</v>
      </c>
      <c r="E2" s="1">
        <v>9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/>
      <c r="R2" s="1">
        <v>11</v>
      </c>
      <c r="S2" s="1">
        <v>2</v>
      </c>
      <c r="T2" s="1">
        <v>0</v>
      </c>
      <c r="U2" s="1">
        <v>0</v>
      </c>
      <c r="V2" s="1">
        <v>0</v>
      </c>
      <c r="W2" s="1">
        <v>0</v>
      </c>
      <c r="X2" s="2">
        <v>39</v>
      </c>
      <c r="Y2" s="3"/>
      <c r="Z2" s="15">
        <f t="shared" ref="Z2:Z33" si="0">AX2/$OB2*10</f>
        <v>7.5451232280602243</v>
      </c>
      <c r="AA2" s="15">
        <f t="shared" ref="AA2:AA33" si="1">AY2/$OB2*10</f>
        <v>0</v>
      </c>
      <c r="AB2" s="15">
        <f t="shared" ref="AB2:AB33" si="2">AZ2/$OB2*10</f>
        <v>0</v>
      </c>
      <c r="AC2" s="15">
        <f t="shared" ref="AC2:AC33" si="3">BA2/$OB2*10</f>
        <v>4.2441318157838754</v>
      </c>
      <c r="AD2" s="15">
        <f t="shared" ref="AD2:AD33" si="4">BB2/$OB2*10</f>
        <v>0</v>
      </c>
      <c r="AE2" s="15">
        <f t="shared" ref="AE2:AE33" si="5">BC2/$OB2*10</f>
        <v>0</v>
      </c>
      <c r="AF2" s="15">
        <f t="shared" ref="AF2:AF33" si="6">BD2/$OB2*10</f>
        <v>0</v>
      </c>
      <c r="AG2" s="15">
        <f t="shared" ref="AG2:AG33" si="7">BE2/$OB2*10</f>
        <v>0</v>
      </c>
      <c r="AH2" s="15">
        <f t="shared" ref="AH2:AH33" si="8">BF2/$OB2*10</f>
        <v>0</v>
      </c>
      <c r="AI2" s="15">
        <f t="shared" ref="AI2:AI33" si="9">BG2/$OB2*10</f>
        <v>0.47157020175376402</v>
      </c>
      <c r="AJ2" s="15">
        <f t="shared" ref="AJ2:AJ33" si="10">BH2/$OB2*10</f>
        <v>0</v>
      </c>
      <c r="AK2" s="15">
        <f t="shared" ref="AK2:AK33" si="11">BI2/$OB2*10</f>
        <v>0</v>
      </c>
      <c r="AL2" s="15">
        <f t="shared" ref="AL2:AL33" si="12">BJ2/$OB2*10</f>
        <v>0</v>
      </c>
      <c r="AM2" s="15">
        <f t="shared" ref="AM2:AM33" si="13">BK2/$OB2*10</f>
        <v>0</v>
      </c>
      <c r="AN2" s="15">
        <f t="shared" ref="AN2:AN33" si="14">BL2/$OB2*10</f>
        <v>0</v>
      </c>
      <c r="AO2" s="15">
        <f t="shared" ref="AO2:AO33" si="15">BM2/$OB2*10</f>
        <v>0</v>
      </c>
      <c r="AP2" s="15">
        <f t="shared" ref="AP2:AP33" si="16">BN2/$OB2*10</f>
        <v>5.1872722192914047</v>
      </c>
      <c r="AQ2" s="15">
        <f t="shared" ref="AQ2:AQ33" si="17">BO2/$OB2*10</f>
        <v>0.94314040350752804</v>
      </c>
      <c r="AR2" s="15">
        <f t="shared" ref="AR2:AR33" si="18">BP2/$OB2*10</f>
        <v>0</v>
      </c>
      <c r="AS2" s="15">
        <f t="shared" ref="AS2:AS33" si="19">BQ2/$OB2*10</f>
        <v>0</v>
      </c>
      <c r="AT2" s="15">
        <f t="shared" ref="AT2:AT33" si="20">BR2/$OB2*10</f>
        <v>0</v>
      </c>
      <c r="AU2" s="15">
        <f t="shared" ref="AU2:AU33" si="21">BS2/$OB2*10</f>
        <v>0</v>
      </c>
      <c r="AV2" s="5">
        <f t="shared" ref="AV2:AV33" si="22">BT2/$OB2*10</f>
        <v>18.391237868396793</v>
      </c>
      <c r="AW2" s="16"/>
      <c r="AX2" s="6">
        <v>16</v>
      </c>
      <c r="AY2" s="6">
        <v>0</v>
      </c>
      <c r="AZ2" s="6">
        <v>0</v>
      </c>
      <c r="BA2" s="6">
        <v>9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1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11</v>
      </c>
      <c r="BO2" s="6">
        <v>2</v>
      </c>
      <c r="BP2" s="6">
        <v>0</v>
      </c>
      <c r="BQ2" s="6">
        <v>0</v>
      </c>
      <c r="BR2" s="6">
        <v>0</v>
      </c>
      <c r="BS2" s="6">
        <v>0</v>
      </c>
      <c r="BT2" s="7">
        <v>39</v>
      </c>
      <c r="BU2" s="16"/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1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10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0</v>
      </c>
      <c r="DQ2" s="8">
        <v>0</v>
      </c>
      <c r="DR2" s="8">
        <v>0</v>
      </c>
      <c r="DS2" s="8">
        <v>3</v>
      </c>
      <c r="DT2" s="8">
        <v>0</v>
      </c>
      <c r="DU2" s="8">
        <v>0</v>
      </c>
      <c r="DV2" s="8">
        <v>0</v>
      </c>
      <c r="DW2" s="8">
        <v>0</v>
      </c>
      <c r="DX2" s="8">
        <v>0</v>
      </c>
      <c r="DY2" s="8">
        <v>0</v>
      </c>
      <c r="DZ2" s="8">
        <v>0</v>
      </c>
      <c r="EA2" s="8">
        <v>0</v>
      </c>
      <c r="EB2" s="8">
        <v>0</v>
      </c>
      <c r="EC2" s="8">
        <v>0</v>
      </c>
      <c r="ED2" s="8">
        <v>0</v>
      </c>
      <c r="EE2" s="8">
        <v>0</v>
      </c>
      <c r="EF2" s="8">
        <v>1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0</v>
      </c>
      <c r="EQ2" s="8">
        <v>0</v>
      </c>
      <c r="ER2" s="8">
        <v>0</v>
      </c>
      <c r="ES2" s="8">
        <v>0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0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0</v>
      </c>
      <c r="FK2" s="8">
        <v>0</v>
      </c>
      <c r="FL2" s="8">
        <v>0</v>
      </c>
      <c r="FM2" s="8">
        <v>0</v>
      </c>
      <c r="FN2" s="8">
        <v>2</v>
      </c>
      <c r="FO2" s="8">
        <v>0</v>
      </c>
      <c r="FP2" s="8">
        <v>0</v>
      </c>
      <c r="FQ2" s="8">
        <v>0</v>
      </c>
      <c r="FR2" s="8">
        <v>0</v>
      </c>
      <c r="FS2" s="8">
        <v>0</v>
      </c>
      <c r="FT2" s="8">
        <v>0</v>
      </c>
      <c r="FU2" s="8">
        <v>0</v>
      </c>
      <c r="FV2" s="8">
        <v>0</v>
      </c>
      <c r="FW2" s="8">
        <v>0</v>
      </c>
      <c r="FX2" s="8">
        <v>0</v>
      </c>
      <c r="FY2" s="8">
        <v>0</v>
      </c>
      <c r="FZ2" s="8">
        <v>0</v>
      </c>
      <c r="GA2" s="8">
        <v>1</v>
      </c>
      <c r="GB2" s="8">
        <v>0</v>
      </c>
      <c r="GC2" s="8">
        <v>0</v>
      </c>
      <c r="GD2" s="8">
        <v>0</v>
      </c>
      <c r="GE2" s="8">
        <v>0</v>
      </c>
      <c r="GF2" s="9">
        <v>18</v>
      </c>
      <c r="GG2" s="3"/>
      <c r="GH2" s="10">
        <f t="shared" ref="GH2:GQ3" si="23">(BV2/$GF2)*$AX2</f>
        <v>0</v>
      </c>
      <c r="GI2" s="10">
        <f t="shared" si="23"/>
        <v>0</v>
      </c>
      <c r="GJ2" s="10">
        <f t="shared" si="23"/>
        <v>0</v>
      </c>
      <c r="GK2" s="10">
        <f t="shared" si="23"/>
        <v>0</v>
      </c>
      <c r="GL2" s="10">
        <f t="shared" si="23"/>
        <v>0</v>
      </c>
      <c r="GM2" s="10">
        <f t="shared" si="23"/>
        <v>0</v>
      </c>
      <c r="GN2" s="10">
        <f t="shared" si="23"/>
        <v>0</v>
      </c>
      <c r="GO2" s="10">
        <f t="shared" si="23"/>
        <v>0</v>
      </c>
      <c r="GP2" s="10">
        <f t="shared" si="23"/>
        <v>0</v>
      </c>
      <c r="GQ2" s="10">
        <f t="shared" si="23"/>
        <v>0</v>
      </c>
      <c r="GR2" s="10">
        <f t="shared" ref="GR2:HA3" si="24">(CF2/$GF2)*$AX2</f>
        <v>0</v>
      </c>
      <c r="GS2" s="10">
        <f t="shared" si="24"/>
        <v>0</v>
      </c>
      <c r="GT2" s="10">
        <f t="shared" si="24"/>
        <v>0</v>
      </c>
      <c r="GU2" s="10">
        <f t="shared" si="24"/>
        <v>0</v>
      </c>
      <c r="GV2" s="10">
        <f t="shared" si="24"/>
        <v>0</v>
      </c>
      <c r="GW2" s="10">
        <f t="shared" si="24"/>
        <v>0</v>
      </c>
      <c r="GX2" s="10">
        <f t="shared" si="24"/>
        <v>0.88888888888888884</v>
      </c>
      <c r="GY2" s="10">
        <f t="shared" si="24"/>
        <v>0</v>
      </c>
      <c r="GZ2" s="10">
        <f t="shared" si="24"/>
        <v>0</v>
      </c>
      <c r="HA2" s="10">
        <f t="shared" si="24"/>
        <v>0</v>
      </c>
      <c r="HB2" s="10">
        <f t="shared" ref="HB2:HK3" si="25">(CP2/$GF2)*$AX2</f>
        <v>0</v>
      </c>
      <c r="HC2" s="10">
        <f t="shared" si="25"/>
        <v>0</v>
      </c>
      <c r="HD2" s="10">
        <f t="shared" si="25"/>
        <v>0</v>
      </c>
      <c r="HE2" s="10">
        <f t="shared" si="25"/>
        <v>0</v>
      </c>
      <c r="HF2" s="10">
        <f t="shared" si="25"/>
        <v>0</v>
      </c>
      <c r="HG2" s="10">
        <f t="shared" si="25"/>
        <v>0</v>
      </c>
      <c r="HH2" s="10">
        <f t="shared" si="25"/>
        <v>0</v>
      </c>
      <c r="HI2" s="10">
        <f t="shared" si="25"/>
        <v>0</v>
      </c>
      <c r="HJ2" s="10">
        <f t="shared" si="25"/>
        <v>0</v>
      </c>
      <c r="HK2" s="10">
        <f t="shared" si="25"/>
        <v>0</v>
      </c>
      <c r="HL2" s="10">
        <f t="shared" ref="HL2:HU3" si="26">(CZ2/$GF2)*$AX2</f>
        <v>0</v>
      </c>
      <c r="HM2" s="10">
        <f t="shared" si="26"/>
        <v>0</v>
      </c>
      <c r="HN2" s="10">
        <f t="shared" si="26"/>
        <v>0</v>
      </c>
      <c r="HO2" s="10">
        <f t="shared" si="26"/>
        <v>0</v>
      </c>
      <c r="HP2" s="10">
        <f t="shared" si="26"/>
        <v>0</v>
      </c>
      <c r="HQ2" s="10">
        <f t="shared" si="26"/>
        <v>0</v>
      </c>
      <c r="HR2" s="10">
        <f t="shared" si="26"/>
        <v>0</v>
      </c>
      <c r="HS2" s="10">
        <f t="shared" si="26"/>
        <v>0</v>
      </c>
      <c r="HT2" s="10">
        <f t="shared" si="26"/>
        <v>0</v>
      </c>
      <c r="HU2" s="10">
        <f t="shared" si="26"/>
        <v>8.8888888888888893</v>
      </c>
      <c r="HV2" s="10">
        <f t="shared" ref="HV2:IE3" si="27">(DJ2/$GF2)*$AX2</f>
        <v>0</v>
      </c>
      <c r="HW2" s="10">
        <f t="shared" si="27"/>
        <v>0</v>
      </c>
      <c r="HX2" s="10">
        <f t="shared" si="27"/>
        <v>0</v>
      </c>
      <c r="HY2" s="10">
        <f t="shared" si="27"/>
        <v>0</v>
      </c>
      <c r="HZ2" s="10">
        <f t="shared" si="27"/>
        <v>0</v>
      </c>
      <c r="IA2" s="10">
        <f t="shared" si="27"/>
        <v>0</v>
      </c>
      <c r="IB2" s="10">
        <f t="shared" si="27"/>
        <v>0</v>
      </c>
      <c r="IC2" s="10">
        <f t="shared" si="27"/>
        <v>0</v>
      </c>
      <c r="ID2" s="10">
        <f t="shared" si="27"/>
        <v>0</v>
      </c>
      <c r="IE2" s="10">
        <f t="shared" si="27"/>
        <v>2.6666666666666665</v>
      </c>
      <c r="IF2" s="10">
        <f t="shared" ref="IF2:IO3" si="28">(DT2/$GF2)*$AX2</f>
        <v>0</v>
      </c>
      <c r="IG2" s="10">
        <f t="shared" si="28"/>
        <v>0</v>
      </c>
      <c r="IH2" s="10">
        <f t="shared" si="28"/>
        <v>0</v>
      </c>
      <c r="II2" s="10">
        <f t="shared" si="28"/>
        <v>0</v>
      </c>
      <c r="IJ2" s="10">
        <f t="shared" si="28"/>
        <v>0</v>
      </c>
      <c r="IK2" s="10">
        <f t="shared" si="28"/>
        <v>0</v>
      </c>
      <c r="IL2" s="10">
        <f t="shared" si="28"/>
        <v>0</v>
      </c>
      <c r="IM2" s="10">
        <f t="shared" si="28"/>
        <v>0</v>
      </c>
      <c r="IN2" s="10">
        <f t="shared" si="28"/>
        <v>0</v>
      </c>
      <c r="IO2" s="10">
        <f t="shared" si="28"/>
        <v>0</v>
      </c>
      <c r="IP2" s="10">
        <f t="shared" ref="IP2:IY3" si="29">(ED2/$GF2)*$AX2</f>
        <v>0</v>
      </c>
      <c r="IQ2" s="10">
        <f t="shared" si="29"/>
        <v>0</v>
      </c>
      <c r="IR2" s="10">
        <f t="shared" si="29"/>
        <v>0.88888888888888884</v>
      </c>
      <c r="IS2" s="10">
        <f t="shared" si="29"/>
        <v>0</v>
      </c>
      <c r="IT2" s="10">
        <f t="shared" si="29"/>
        <v>0</v>
      </c>
      <c r="IU2" s="10">
        <f t="shared" si="29"/>
        <v>0</v>
      </c>
      <c r="IV2" s="10">
        <f t="shared" si="29"/>
        <v>0</v>
      </c>
      <c r="IW2" s="10">
        <f t="shared" si="29"/>
        <v>0</v>
      </c>
      <c r="IX2" s="10">
        <f t="shared" si="29"/>
        <v>0</v>
      </c>
      <c r="IY2" s="10">
        <f t="shared" si="29"/>
        <v>0</v>
      </c>
      <c r="IZ2" s="10">
        <f t="shared" ref="IZ2:JF3" si="30">(EN2/$GF2)*$AX2</f>
        <v>0</v>
      </c>
      <c r="JA2" s="10">
        <f t="shared" si="30"/>
        <v>0</v>
      </c>
      <c r="JB2" s="10">
        <f t="shared" si="30"/>
        <v>0</v>
      </c>
      <c r="JC2" s="10">
        <f t="shared" si="30"/>
        <v>0</v>
      </c>
      <c r="JD2" s="10">
        <f t="shared" si="30"/>
        <v>0</v>
      </c>
      <c r="JE2" s="10">
        <f t="shared" si="30"/>
        <v>0</v>
      </c>
      <c r="JF2" s="10">
        <f t="shared" si="30"/>
        <v>0</v>
      </c>
      <c r="JG2" s="10">
        <v>0</v>
      </c>
      <c r="JH2" s="10">
        <f>(EV2/$GF2)*$AX2</f>
        <v>0</v>
      </c>
      <c r="JI2" s="10">
        <f t="shared" ref="JI2:JR3" si="31">(EX2/$GF2)*$AX2</f>
        <v>0</v>
      </c>
      <c r="JJ2" s="10">
        <f t="shared" si="31"/>
        <v>0</v>
      </c>
      <c r="JK2" s="10">
        <f t="shared" si="31"/>
        <v>0</v>
      </c>
      <c r="JL2" s="10">
        <f t="shared" si="31"/>
        <v>0</v>
      </c>
      <c r="JM2" s="10">
        <f t="shared" si="31"/>
        <v>0</v>
      </c>
      <c r="JN2" s="10">
        <f t="shared" si="31"/>
        <v>0</v>
      </c>
      <c r="JO2" s="10">
        <f t="shared" si="31"/>
        <v>0</v>
      </c>
      <c r="JP2" s="10">
        <f t="shared" si="31"/>
        <v>0</v>
      </c>
      <c r="JQ2" s="10">
        <f t="shared" si="31"/>
        <v>0</v>
      </c>
      <c r="JR2" s="10">
        <f t="shared" si="31"/>
        <v>0</v>
      </c>
      <c r="JS2" s="10">
        <f t="shared" ref="JS2:KB3" si="32">(FH2/$GF2)*$AX2</f>
        <v>0</v>
      </c>
      <c r="JT2" s="10">
        <f t="shared" si="32"/>
        <v>0</v>
      </c>
      <c r="JU2" s="10">
        <f t="shared" si="32"/>
        <v>0</v>
      </c>
      <c r="JV2" s="10">
        <f t="shared" si="32"/>
        <v>0</v>
      </c>
      <c r="JW2" s="10">
        <f t="shared" si="32"/>
        <v>0</v>
      </c>
      <c r="JX2" s="10">
        <f t="shared" si="32"/>
        <v>0</v>
      </c>
      <c r="JY2" s="10">
        <f t="shared" si="32"/>
        <v>1.7777777777777777</v>
      </c>
      <c r="JZ2" s="10">
        <f t="shared" si="32"/>
        <v>0</v>
      </c>
      <c r="KA2" s="10">
        <f t="shared" si="32"/>
        <v>0</v>
      </c>
      <c r="KB2" s="10">
        <f t="shared" si="32"/>
        <v>0</v>
      </c>
      <c r="KC2" s="10">
        <f t="shared" ref="KC2:KL3" si="33">(FR2/$GF2)*$AX2</f>
        <v>0</v>
      </c>
      <c r="KD2" s="10">
        <f t="shared" si="33"/>
        <v>0</v>
      </c>
      <c r="KE2" s="10">
        <f t="shared" si="33"/>
        <v>0</v>
      </c>
      <c r="KF2" s="10">
        <f t="shared" si="33"/>
        <v>0</v>
      </c>
      <c r="KG2" s="10">
        <f t="shared" si="33"/>
        <v>0</v>
      </c>
      <c r="KH2" s="10">
        <f t="shared" si="33"/>
        <v>0</v>
      </c>
      <c r="KI2" s="10">
        <f t="shared" si="33"/>
        <v>0</v>
      </c>
      <c r="KJ2" s="10">
        <f t="shared" si="33"/>
        <v>0</v>
      </c>
      <c r="KK2" s="10">
        <f t="shared" si="33"/>
        <v>0</v>
      </c>
      <c r="KL2" s="10">
        <f t="shared" si="33"/>
        <v>0.88888888888888884</v>
      </c>
      <c r="KM2" s="10">
        <f t="shared" ref="KM2:KP3" si="34">(GB2/$GF2)*$AX2</f>
        <v>0</v>
      </c>
      <c r="KN2" s="10">
        <f t="shared" si="34"/>
        <v>0</v>
      </c>
      <c r="KO2" s="10">
        <f t="shared" si="34"/>
        <v>0</v>
      </c>
      <c r="KP2" s="10">
        <f t="shared" si="34"/>
        <v>0</v>
      </c>
      <c r="KQ2" s="11">
        <v>16</v>
      </c>
      <c r="KR2" s="16"/>
      <c r="KS2" s="12">
        <v>21.205750411731103</v>
      </c>
      <c r="KT2" s="26">
        <v>87</v>
      </c>
      <c r="KU2" s="26">
        <v>0.95402298850574707</v>
      </c>
      <c r="KV2" s="26">
        <v>1</v>
      </c>
      <c r="KW2" s="26">
        <v>-15.39</v>
      </c>
      <c r="KX2" s="26">
        <v>10.97</v>
      </c>
      <c r="KY2" s="26">
        <v>2.92</v>
      </c>
      <c r="KZ2" s="26">
        <v>3.4</v>
      </c>
      <c r="LA2" s="17"/>
      <c r="LB2" s="2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28"/>
      <c r="ML2" t="s">
        <v>823</v>
      </c>
      <c r="MM2" t="s">
        <v>252</v>
      </c>
      <c r="MN2" t="s">
        <v>232</v>
      </c>
      <c r="MO2" t="s">
        <v>233</v>
      </c>
      <c r="MP2" t="s">
        <v>234</v>
      </c>
      <c r="MQ2" t="s">
        <v>235</v>
      </c>
      <c r="MR2">
        <v>1</v>
      </c>
      <c r="MS2" t="s">
        <v>236</v>
      </c>
      <c r="MT2" t="s">
        <v>237</v>
      </c>
      <c r="MU2" t="s">
        <v>238</v>
      </c>
      <c r="MV2">
        <v>39</v>
      </c>
      <c r="MW2" s="13">
        <v>420</v>
      </c>
      <c r="MX2" s="13" t="s">
        <v>239</v>
      </c>
      <c r="MY2" t="s">
        <v>240</v>
      </c>
      <c r="MZ2" t="s">
        <v>241</v>
      </c>
      <c r="NA2" t="s">
        <v>242</v>
      </c>
      <c r="NB2" t="s">
        <v>243</v>
      </c>
      <c r="ND2" s="18">
        <v>43278</v>
      </c>
      <c r="NE2" s="19">
        <v>2.0833333333333333E-3</v>
      </c>
      <c r="NF2" t="s">
        <v>244</v>
      </c>
      <c r="NG2" t="s">
        <v>245</v>
      </c>
      <c r="NH2" t="s">
        <v>246</v>
      </c>
      <c r="NI2">
        <v>91</v>
      </c>
      <c r="NJ2" t="s">
        <v>244</v>
      </c>
      <c r="NK2">
        <v>2</v>
      </c>
      <c r="NL2" t="s">
        <v>247</v>
      </c>
      <c r="NM2">
        <v>29.614260000000002</v>
      </c>
      <c r="NN2">
        <v>-84.956339999999997</v>
      </c>
      <c r="NO2" t="s">
        <v>248</v>
      </c>
      <c r="NP2" t="s">
        <v>249</v>
      </c>
      <c r="NQ2">
        <v>12</v>
      </c>
      <c r="NR2" t="s">
        <v>247</v>
      </c>
      <c r="NS2">
        <v>982000410601498</v>
      </c>
      <c r="NT2" t="s">
        <v>244</v>
      </c>
      <c r="NU2" t="s">
        <v>244</v>
      </c>
      <c r="NV2" t="s">
        <v>248</v>
      </c>
      <c r="NW2" t="s">
        <v>237</v>
      </c>
      <c r="NX2" t="s">
        <v>238</v>
      </c>
      <c r="NY2">
        <v>95.8</v>
      </c>
      <c r="NZ2">
        <v>94.1</v>
      </c>
      <c r="OA2">
        <v>87</v>
      </c>
      <c r="OB2" s="14">
        <v>21.205750411731103</v>
      </c>
      <c r="OC2" t="s">
        <v>248</v>
      </c>
      <c r="OD2" t="s">
        <v>247</v>
      </c>
      <c r="OE2" t="s">
        <v>248</v>
      </c>
      <c r="OF2" t="s">
        <v>250</v>
      </c>
      <c r="OG2" t="s">
        <v>247</v>
      </c>
      <c r="OH2">
        <v>8</v>
      </c>
      <c r="OI2" t="s">
        <v>237</v>
      </c>
      <c r="OJ2" t="s">
        <v>251</v>
      </c>
      <c r="OK2">
        <v>87</v>
      </c>
      <c r="OL2">
        <v>0.95402298850574707</v>
      </c>
      <c r="OM2">
        <v>1</v>
      </c>
      <c r="ON2">
        <v>-15.39</v>
      </c>
      <c r="OO2">
        <v>10.97</v>
      </c>
      <c r="OP2">
        <v>2.92</v>
      </c>
      <c r="OQ2">
        <v>3.4</v>
      </c>
      <c r="OR2" t="s">
        <v>909</v>
      </c>
      <c r="OS2" t="s">
        <v>909</v>
      </c>
    </row>
    <row r="3" spans="1:409" x14ac:dyDescent="0.25">
      <c r="A3" s="14">
        <v>2</v>
      </c>
      <c r="B3" s="1">
        <v>11</v>
      </c>
      <c r="C3" s="1">
        <v>0</v>
      </c>
      <c r="D3" s="1">
        <v>0</v>
      </c>
      <c r="E3" s="1">
        <v>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2">
        <v>17</v>
      </c>
      <c r="Y3" s="3"/>
      <c r="Z3" s="15">
        <f t="shared" si="0"/>
        <v>5.1872722192914047</v>
      </c>
      <c r="AA3" s="15">
        <f t="shared" si="1"/>
        <v>0</v>
      </c>
      <c r="AB3" s="15">
        <f t="shared" si="2"/>
        <v>0</v>
      </c>
      <c r="AC3" s="15">
        <f t="shared" si="3"/>
        <v>2.8294212105225842</v>
      </c>
      <c r="AD3" s="15">
        <f t="shared" si="4"/>
        <v>0</v>
      </c>
      <c r="AE3" s="15">
        <f t="shared" si="5"/>
        <v>0</v>
      </c>
      <c r="AF3" s="15">
        <f t="shared" si="6"/>
        <v>0</v>
      </c>
      <c r="AG3" s="15">
        <f t="shared" si="7"/>
        <v>0</v>
      </c>
      <c r="AH3" s="15">
        <f t="shared" si="8"/>
        <v>0</v>
      </c>
      <c r="AI3" s="15">
        <f t="shared" si="9"/>
        <v>0</v>
      </c>
      <c r="AJ3" s="15">
        <f t="shared" si="10"/>
        <v>0</v>
      </c>
      <c r="AK3" s="15">
        <f t="shared" si="11"/>
        <v>0</v>
      </c>
      <c r="AL3" s="15">
        <f t="shared" si="12"/>
        <v>0</v>
      </c>
      <c r="AM3" s="15">
        <f t="shared" si="13"/>
        <v>0</v>
      </c>
      <c r="AN3" s="15">
        <f t="shared" si="14"/>
        <v>0</v>
      </c>
      <c r="AO3" s="15">
        <f t="shared" si="15"/>
        <v>0</v>
      </c>
      <c r="AP3" s="15">
        <f t="shared" si="16"/>
        <v>0</v>
      </c>
      <c r="AQ3" s="15">
        <f t="shared" si="17"/>
        <v>0</v>
      </c>
      <c r="AR3" s="15">
        <f t="shared" si="18"/>
        <v>0</v>
      </c>
      <c r="AS3" s="15">
        <f t="shared" si="19"/>
        <v>0</v>
      </c>
      <c r="AT3" s="15">
        <f t="shared" si="20"/>
        <v>0</v>
      </c>
      <c r="AU3" s="15">
        <f t="shared" si="21"/>
        <v>0</v>
      </c>
      <c r="AV3" s="5">
        <f t="shared" si="22"/>
        <v>8.0166934298139871</v>
      </c>
      <c r="AW3" s="16"/>
      <c r="AX3" s="6">
        <v>11</v>
      </c>
      <c r="AY3" s="6">
        <v>0</v>
      </c>
      <c r="AZ3" s="6">
        <v>0</v>
      </c>
      <c r="BA3" s="6">
        <v>6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7">
        <v>17</v>
      </c>
      <c r="BU3" s="16"/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</v>
      </c>
      <c r="DK3" s="8">
        <v>0</v>
      </c>
      <c r="DL3" s="8">
        <v>0</v>
      </c>
      <c r="DM3" s="8">
        <v>0</v>
      </c>
      <c r="DN3" s="8">
        <v>0</v>
      </c>
      <c r="DO3" s="8">
        <v>0</v>
      </c>
      <c r="DP3" s="8">
        <v>0</v>
      </c>
      <c r="DQ3" s="8">
        <v>0</v>
      </c>
      <c r="DR3" s="8">
        <v>0</v>
      </c>
      <c r="DS3" s="8">
        <v>0</v>
      </c>
      <c r="DT3" s="8">
        <v>0</v>
      </c>
      <c r="DU3" s="8">
        <v>0</v>
      </c>
      <c r="DV3" s="8">
        <v>2</v>
      </c>
      <c r="DW3" s="8">
        <v>0</v>
      </c>
      <c r="DX3" s="8">
        <v>0</v>
      </c>
      <c r="DY3" s="8">
        <v>0</v>
      </c>
      <c r="DZ3" s="8">
        <v>0</v>
      </c>
      <c r="EA3" s="8">
        <v>0</v>
      </c>
      <c r="EB3" s="8">
        <v>0</v>
      </c>
      <c r="EC3" s="8">
        <v>0</v>
      </c>
      <c r="ED3" s="8">
        <v>0</v>
      </c>
      <c r="EE3" s="8">
        <v>0</v>
      </c>
      <c r="EF3" s="8">
        <v>8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0</v>
      </c>
      <c r="FG3" s="8">
        <v>0</v>
      </c>
      <c r="FH3" s="8">
        <v>0</v>
      </c>
      <c r="FI3" s="8">
        <v>0</v>
      </c>
      <c r="FJ3" s="8">
        <v>0</v>
      </c>
      <c r="FK3" s="8">
        <v>0</v>
      </c>
      <c r="FL3" s="8">
        <v>0</v>
      </c>
      <c r="FM3" s="8">
        <v>0</v>
      </c>
      <c r="FN3" s="8">
        <v>0</v>
      </c>
      <c r="FO3" s="8">
        <v>0</v>
      </c>
      <c r="FP3" s="8">
        <v>0</v>
      </c>
      <c r="FQ3" s="8">
        <v>0</v>
      </c>
      <c r="FR3" s="8">
        <v>0</v>
      </c>
      <c r="FS3" s="8">
        <v>0</v>
      </c>
      <c r="FT3" s="8">
        <v>0</v>
      </c>
      <c r="FU3" s="8">
        <v>0</v>
      </c>
      <c r="FV3" s="8">
        <v>0</v>
      </c>
      <c r="FW3" s="8">
        <v>0</v>
      </c>
      <c r="FX3" s="8">
        <v>0</v>
      </c>
      <c r="FY3" s="8">
        <v>0</v>
      </c>
      <c r="FZ3" s="8">
        <v>0</v>
      </c>
      <c r="GA3" s="8">
        <v>0</v>
      </c>
      <c r="GB3" s="8">
        <v>0</v>
      </c>
      <c r="GC3" s="8">
        <v>0</v>
      </c>
      <c r="GD3" s="8">
        <v>0</v>
      </c>
      <c r="GE3" s="8">
        <v>0</v>
      </c>
      <c r="GF3" s="9">
        <v>10</v>
      </c>
      <c r="GG3" s="3"/>
      <c r="GH3" s="10">
        <f t="shared" si="23"/>
        <v>0</v>
      </c>
      <c r="GI3" s="10">
        <f t="shared" si="23"/>
        <v>0</v>
      </c>
      <c r="GJ3" s="10">
        <f t="shared" si="23"/>
        <v>0</v>
      </c>
      <c r="GK3" s="10">
        <f t="shared" si="23"/>
        <v>0</v>
      </c>
      <c r="GL3" s="10">
        <f t="shared" si="23"/>
        <v>0</v>
      </c>
      <c r="GM3" s="10">
        <f t="shared" si="23"/>
        <v>0</v>
      </c>
      <c r="GN3" s="10">
        <f t="shared" si="23"/>
        <v>0</v>
      </c>
      <c r="GO3" s="10">
        <f t="shared" si="23"/>
        <v>0</v>
      </c>
      <c r="GP3" s="10">
        <f t="shared" si="23"/>
        <v>0</v>
      </c>
      <c r="GQ3" s="10">
        <f t="shared" si="23"/>
        <v>0</v>
      </c>
      <c r="GR3" s="10">
        <f t="shared" si="24"/>
        <v>0</v>
      </c>
      <c r="GS3" s="10">
        <f t="shared" si="24"/>
        <v>0</v>
      </c>
      <c r="GT3" s="10">
        <f t="shared" si="24"/>
        <v>0</v>
      </c>
      <c r="GU3" s="10">
        <f t="shared" si="24"/>
        <v>0</v>
      </c>
      <c r="GV3" s="10">
        <f t="shared" si="24"/>
        <v>0</v>
      </c>
      <c r="GW3" s="10">
        <f t="shared" si="24"/>
        <v>0</v>
      </c>
      <c r="GX3" s="10">
        <f t="shared" si="24"/>
        <v>0</v>
      </c>
      <c r="GY3" s="10">
        <f t="shared" si="24"/>
        <v>0</v>
      </c>
      <c r="GZ3" s="10">
        <f t="shared" si="24"/>
        <v>0</v>
      </c>
      <c r="HA3" s="10">
        <f t="shared" si="24"/>
        <v>0</v>
      </c>
      <c r="HB3" s="10">
        <f t="shared" si="25"/>
        <v>0</v>
      </c>
      <c r="HC3" s="10">
        <f t="shared" si="25"/>
        <v>0</v>
      </c>
      <c r="HD3" s="10">
        <f t="shared" si="25"/>
        <v>0</v>
      </c>
      <c r="HE3" s="10">
        <f t="shared" si="25"/>
        <v>0</v>
      </c>
      <c r="HF3" s="10">
        <f t="shared" si="25"/>
        <v>0</v>
      </c>
      <c r="HG3" s="10">
        <f t="shared" si="25"/>
        <v>0</v>
      </c>
      <c r="HH3" s="10">
        <f t="shared" si="25"/>
        <v>0</v>
      </c>
      <c r="HI3" s="10">
        <f t="shared" si="25"/>
        <v>0</v>
      </c>
      <c r="HJ3" s="10">
        <f t="shared" si="25"/>
        <v>0</v>
      </c>
      <c r="HK3" s="10">
        <f t="shared" si="25"/>
        <v>0</v>
      </c>
      <c r="HL3" s="10">
        <f t="shared" si="26"/>
        <v>0</v>
      </c>
      <c r="HM3" s="10">
        <f t="shared" si="26"/>
        <v>0</v>
      </c>
      <c r="HN3" s="10">
        <f t="shared" si="26"/>
        <v>0</v>
      </c>
      <c r="HO3" s="10">
        <f t="shared" si="26"/>
        <v>0</v>
      </c>
      <c r="HP3" s="10">
        <f t="shared" si="26"/>
        <v>0</v>
      </c>
      <c r="HQ3" s="10">
        <f t="shared" si="26"/>
        <v>0</v>
      </c>
      <c r="HR3" s="10">
        <f t="shared" si="26"/>
        <v>0</v>
      </c>
      <c r="HS3" s="10">
        <f t="shared" si="26"/>
        <v>0</v>
      </c>
      <c r="HT3" s="10">
        <f t="shared" si="26"/>
        <v>0</v>
      </c>
      <c r="HU3" s="10">
        <f t="shared" si="26"/>
        <v>0</v>
      </c>
      <c r="HV3" s="10">
        <f t="shared" si="27"/>
        <v>0</v>
      </c>
      <c r="HW3" s="10">
        <f t="shared" si="27"/>
        <v>0</v>
      </c>
      <c r="HX3" s="10">
        <f t="shared" si="27"/>
        <v>0</v>
      </c>
      <c r="HY3" s="10">
        <f t="shared" si="27"/>
        <v>0</v>
      </c>
      <c r="HZ3" s="10">
        <f t="shared" si="27"/>
        <v>0</v>
      </c>
      <c r="IA3" s="10">
        <f t="shared" si="27"/>
        <v>0</v>
      </c>
      <c r="IB3" s="10">
        <f t="shared" si="27"/>
        <v>0</v>
      </c>
      <c r="IC3" s="10">
        <f t="shared" si="27"/>
        <v>0</v>
      </c>
      <c r="ID3" s="10">
        <f t="shared" si="27"/>
        <v>0</v>
      </c>
      <c r="IE3" s="10">
        <f t="shared" si="27"/>
        <v>0</v>
      </c>
      <c r="IF3" s="10">
        <f t="shared" si="28"/>
        <v>0</v>
      </c>
      <c r="IG3" s="10">
        <f t="shared" si="28"/>
        <v>0</v>
      </c>
      <c r="IH3" s="10">
        <f t="shared" si="28"/>
        <v>2.2000000000000002</v>
      </c>
      <c r="II3" s="10">
        <f t="shared" si="28"/>
        <v>0</v>
      </c>
      <c r="IJ3" s="10">
        <f t="shared" si="28"/>
        <v>0</v>
      </c>
      <c r="IK3" s="10">
        <f t="shared" si="28"/>
        <v>0</v>
      </c>
      <c r="IL3" s="10">
        <f t="shared" si="28"/>
        <v>0</v>
      </c>
      <c r="IM3" s="10">
        <f t="shared" si="28"/>
        <v>0</v>
      </c>
      <c r="IN3" s="10">
        <f t="shared" si="28"/>
        <v>0</v>
      </c>
      <c r="IO3" s="10">
        <f t="shared" si="28"/>
        <v>0</v>
      </c>
      <c r="IP3" s="10">
        <f t="shared" si="29"/>
        <v>0</v>
      </c>
      <c r="IQ3" s="10">
        <f t="shared" si="29"/>
        <v>0</v>
      </c>
      <c r="IR3" s="10">
        <f t="shared" si="29"/>
        <v>8.8000000000000007</v>
      </c>
      <c r="IS3" s="10">
        <f t="shared" si="29"/>
        <v>0</v>
      </c>
      <c r="IT3" s="10">
        <f t="shared" si="29"/>
        <v>0</v>
      </c>
      <c r="IU3" s="10">
        <f t="shared" si="29"/>
        <v>0</v>
      </c>
      <c r="IV3" s="10">
        <f t="shared" si="29"/>
        <v>0</v>
      </c>
      <c r="IW3" s="10">
        <f t="shared" si="29"/>
        <v>0</v>
      </c>
      <c r="IX3" s="10">
        <f t="shared" si="29"/>
        <v>0</v>
      </c>
      <c r="IY3" s="10">
        <f t="shared" si="29"/>
        <v>0</v>
      </c>
      <c r="IZ3" s="10">
        <f t="shared" si="30"/>
        <v>0</v>
      </c>
      <c r="JA3" s="10">
        <f t="shared" si="30"/>
        <v>0</v>
      </c>
      <c r="JB3" s="10">
        <f t="shared" si="30"/>
        <v>0</v>
      </c>
      <c r="JC3" s="10">
        <f t="shared" si="30"/>
        <v>0</v>
      </c>
      <c r="JD3" s="10">
        <f t="shared" si="30"/>
        <v>0</v>
      </c>
      <c r="JE3" s="10">
        <f t="shared" si="30"/>
        <v>0</v>
      </c>
      <c r="JF3" s="10">
        <f t="shared" si="30"/>
        <v>0</v>
      </c>
      <c r="JG3" s="10">
        <v>0</v>
      </c>
      <c r="JH3" s="10">
        <f>(EV3/$GF3)*$AX3</f>
        <v>0</v>
      </c>
      <c r="JI3" s="10">
        <f t="shared" si="31"/>
        <v>0</v>
      </c>
      <c r="JJ3" s="10">
        <f t="shared" si="31"/>
        <v>0</v>
      </c>
      <c r="JK3" s="10">
        <f t="shared" si="31"/>
        <v>0</v>
      </c>
      <c r="JL3" s="10">
        <f t="shared" si="31"/>
        <v>0</v>
      </c>
      <c r="JM3" s="10">
        <f t="shared" si="31"/>
        <v>0</v>
      </c>
      <c r="JN3" s="10">
        <f t="shared" si="31"/>
        <v>0</v>
      </c>
      <c r="JO3" s="10">
        <f t="shared" si="31"/>
        <v>0</v>
      </c>
      <c r="JP3" s="10">
        <f t="shared" si="31"/>
        <v>0</v>
      </c>
      <c r="JQ3" s="10">
        <f t="shared" si="31"/>
        <v>0</v>
      </c>
      <c r="JR3" s="10">
        <f t="shared" si="31"/>
        <v>0</v>
      </c>
      <c r="JS3" s="10">
        <f t="shared" si="32"/>
        <v>0</v>
      </c>
      <c r="JT3" s="10">
        <f t="shared" si="32"/>
        <v>0</v>
      </c>
      <c r="JU3" s="10">
        <f t="shared" si="32"/>
        <v>0</v>
      </c>
      <c r="JV3" s="10">
        <f t="shared" si="32"/>
        <v>0</v>
      </c>
      <c r="JW3" s="10">
        <f t="shared" si="32"/>
        <v>0</v>
      </c>
      <c r="JX3" s="10">
        <f t="shared" si="32"/>
        <v>0</v>
      </c>
      <c r="JY3" s="10">
        <f t="shared" si="32"/>
        <v>0</v>
      </c>
      <c r="JZ3" s="10">
        <f t="shared" si="32"/>
        <v>0</v>
      </c>
      <c r="KA3" s="10">
        <f t="shared" si="32"/>
        <v>0</v>
      </c>
      <c r="KB3" s="10">
        <f t="shared" si="32"/>
        <v>0</v>
      </c>
      <c r="KC3" s="10">
        <f t="shared" si="33"/>
        <v>0</v>
      </c>
      <c r="KD3" s="10">
        <f t="shared" si="33"/>
        <v>0</v>
      </c>
      <c r="KE3" s="10">
        <f t="shared" si="33"/>
        <v>0</v>
      </c>
      <c r="KF3" s="10">
        <f t="shared" si="33"/>
        <v>0</v>
      </c>
      <c r="KG3" s="10">
        <f t="shared" si="33"/>
        <v>0</v>
      </c>
      <c r="KH3" s="10">
        <f t="shared" si="33"/>
        <v>0</v>
      </c>
      <c r="KI3" s="10">
        <f t="shared" si="33"/>
        <v>0</v>
      </c>
      <c r="KJ3" s="10">
        <f t="shared" si="33"/>
        <v>0</v>
      </c>
      <c r="KK3" s="10">
        <f t="shared" si="33"/>
        <v>0</v>
      </c>
      <c r="KL3" s="10">
        <f t="shared" si="33"/>
        <v>0</v>
      </c>
      <c r="KM3" s="10">
        <f t="shared" si="34"/>
        <v>0</v>
      </c>
      <c r="KN3" s="10">
        <f t="shared" si="34"/>
        <v>0</v>
      </c>
      <c r="KO3" s="10">
        <f t="shared" si="34"/>
        <v>0</v>
      </c>
      <c r="KP3" s="10">
        <f t="shared" si="34"/>
        <v>0</v>
      </c>
      <c r="KQ3" s="11">
        <v>11</v>
      </c>
      <c r="KR3" s="16"/>
      <c r="KS3" s="12">
        <v>21.205750411731103</v>
      </c>
      <c r="KT3" s="26">
        <v>87</v>
      </c>
      <c r="KU3" s="26">
        <v>0.95402298850574707</v>
      </c>
      <c r="KV3" s="26">
        <v>1</v>
      </c>
      <c r="KW3" s="26">
        <v>-15.39</v>
      </c>
      <c r="KX3" s="26">
        <v>10.97</v>
      </c>
      <c r="KY3" s="26">
        <v>2.92</v>
      </c>
      <c r="KZ3" s="26">
        <v>3.4</v>
      </c>
      <c r="LA3" s="17"/>
      <c r="LB3" s="2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28"/>
      <c r="ML3" t="s">
        <v>819</v>
      </c>
      <c r="MM3" t="s">
        <v>252</v>
      </c>
      <c r="MN3" t="s">
        <v>232</v>
      </c>
      <c r="MO3" t="s">
        <v>253</v>
      </c>
      <c r="MP3" t="s">
        <v>254</v>
      </c>
      <c r="MQ3" t="s">
        <v>255</v>
      </c>
      <c r="MR3">
        <v>1</v>
      </c>
      <c r="MS3" t="s">
        <v>236</v>
      </c>
      <c r="MT3" t="s">
        <v>237</v>
      </c>
      <c r="MU3" t="s">
        <v>238</v>
      </c>
      <c r="MV3">
        <v>17</v>
      </c>
      <c r="MW3" s="13">
        <v>420</v>
      </c>
      <c r="MX3" s="13" t="s">
        <v>239</v>
      </c>
      <c r="MY3" t="s">
        <v>240</v>
      </c>
      <c r="MZ3" t="s">
        <v>241</v>
      </c>
      <c r="NA3" t="s">
        <v>242</v>
      </c>
      <c r="NB3" t="s">
        <v>243</v>
      </c>
      <c r="ND3" s="18">
        <v>43278</v>
      </c>
      <c r="NE3" s="19">
        <v>2.0833333333333333E-3</v>
      </c>
      <c r="NF3" t="s">
        <v>244</v>
      </c>
      <c r="NG3" t="s">
        <v>245</v>
      </c>
      <c r="NH3" t="s">
        <v>246</v>
      </c>
      <c r="NI3">
        <v>91</v>
      </c>
      <c r="NJ3" t="s">
        <v>244</v>
      </c>
      <c r="NK3">
        <v>2</v>
      </c>
      <c r="NL3" t="s">
        <v>247</v>
      </c>
      <c r="NM3">
        <v>29.614260000000002</v>
      </c>
      <c r="NN3">
        <v>-84.956339999999997</v>
      </c>
      <c r="NO3" t="s">
        <v>248</v>
      </c>
      <c r="NP3" t="s">
        <v>249</v>
      </c>
      <c r="NQ3">
        <v>12</v>
      </c>
      <c r="NR3" t="s">
        <v>247</v>
      </c>
      <c r="NS3">
        <v>982000410601498</v>
      </c>
      <c r="NT3" t="s">
        <v>244</v>
      </c>
      <c r="NU3" t="s">
        <v>244</v>
      </c>
      <c r="NV3" t="s">
        <v>248</v>
      </c>
      <c r="NW3" t="s">
        <v>237</v>
      </c>
      <c r="NX3" t="s">
        <v>238</v>
      </c>
      <c r="NY3">
        <v>94.1</v>
      </c>
      <c r="NZ3">
        <v>87</v>
      </c>
      <c r="OA3" t="s">
        <v>248</v>
      </c>
      <c r="OB3" s="14">
        <v>21.205750411731103</v>
      </c>
      <c r="OC3" t="s">
        <v>247</v>
      </c>
      <c r="OD3" t="s">
        <v>248</v>
      </c>
      <c r="OE3" t="s">
        <v>250</v>
      </c>
      <c r="OF3" t="s">
        <v>247</v>
      </c>
      <c r="OG3" t="s">
        <v>247</v>
      </c>
      <c r="OH3">
        <v>7</v>
      </c>
      <c r="OI3" t="s">
        <v>237</v>
      </c>
      <c r="OJ3" t="s">
        <v>251</v>
      </c>
      <c r="OK3">
        <v>87</v>
      </c>
      <c r="OL3">
        <v>0.95402298850574707</v>
      </c>
      <c r="OM3">
        <v>1</v>
      </c>
      <c r="ON3">
        <v>-15.39</v>
      </c>
      <c r="OO3">
        <v>10.97</v>
      </c>
      <c r="OP3">
        <v>2.92</v>
      </c>
      <c r="OQ3">
        <v>3.4</v>
      </c>
      <c r="OR3" t="s">
        <v>910</v>
      </c>
      <c r="OS3" t="s">
        <v>910</v>
      </c>
    </row>
    <row r="4" spans="1:409" x14ac:dyDescent="0.25">
      <c r="A4" s="14">
        <v>3</v>
      </c>
      <c r="B4" s="1">
        <v>30</v>
      </c>
      <c r="C4" s="1">
        <v>12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2">
        <v>62</v>
      </c>
      <c r="Y4" s="3"/>
      <c r="Z4" s="15">
        <f t="shared" si="0"/>
        <v>14.147106052612919</v>
      </c>
      <c r="AA4" s="15">
        <f t="shared" si="1"/>
        <v>5.6588424210451684</v>
      </c>
      <c r="AB4" s="15">
        <f t="shared" si="2"/>
        <v>0</v>
      </c>
      <c r="AC4" s="15">
        <f t="shared" si="3"/>
        <v>0</v>
      </c>
      <c r="AD4" s="15">
        <f t="shared" si="4"/>
        <v>0</v>
      </c>
      <c r="AE4" s="15">
        <f t="shared" si="5"/>
        <v>0</v>
      </c>
      <c r="AF4" s="15">
        <f t="shared" si="6"/>
        <v>0</v>
      </c>
      <c r="AG4" s="15">
        <f t="shared" si="7"/>
        <v>0</v>
      </c>
      <c r="AH4" s="15">
        <f t="shared" si="8"/>
        <v>0</v>
      </c>
      <c r="AI4" s="15">
        <f t="shared" si="9"/>
        <v>9.4314040350752801</v>
      </c>
      <c r="AJ4" s="15">
        <f t="shared" si="10"/>
        <v>0</v>
      </c>
      <c r="AK4" s="15">
        <f t="shared" si="11"/>
        <v>0</v>
      </c>
      <c r="AL4" s="15">
        <f t="shared" si="12"/>
        <v>0</v>
      </c>
      <c r="AM4" s="15">
        <f t="shared" si="13"/>
        <v>0</v>
      </c>
      <c r="AN4" s="15">
        <f t="shared" si="14"/>
        <v>0</v>
      </c>
      <c r="AO4" s="15">
        <f t="shared" si="15"/>
        <v>0</v>
      </c>
      <c r="AP4" s="15">
        <f t="shared" si="16"/>
        <v>0</v>
      </c>
      <c r="AQ4" s="15">
        <f t="shared" si="17"/>
        <v>0</v>
      </c>
      <c r="AR4" s="15">
        <f t="shared" si="18"/>
        <v>0</v>
      </c>
      <c r="AS4" s="15">
        <f t="shared" si="19"/>
        <v>0</v>
      </c>
      <c r="AT4" s="15">
        <f t="shared" si="20"/>
        <v>0</v>
      </c>
      <c r="AU4" s="15">
        <f t="shared" si="21"/>
        <v>0</v>
      </c>
      <c r="AV4" s="5">
        <f t="shared" si="22"/>
        <v>29.23735250873337</v>
      </c>
      <c r="AW4" s="16"/>
      <c r="AX4" s="6">
        <v>30</v>
      </c>
      <c r="AY4" s="6">
        <v>12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20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7">
        <v>62</v>
      </c>
      <c r="BU4" s="16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9"/>
      <c r="GG4" s="3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1"/>
      <c r="KR4" s="16"/>
      <c r="KS4" s="12">
        <v>21.205750411731103</v>
      </c>
      <c r="KT4" s="26">
        <v>90</v>
      </c>
      <c r="KU4" s="26">
        <v>0.93333333333333335</v>
      </c>
      <c r="KV4" s="26">
        <v>1</v>
      </c>
      <c r="KW4" s="26">
        <v>-16.25</v>
      </c>
      <c r="KX4" s="26">
        <v>8.4</v>
      </c>
      <c r="KY4" s="27">
        <v>2.9675871313267037</v>
      </c>
      <c r="KZ4" s="27">
        <v>3.461773164853216</v>
      </c>
      <c r="LA4" s="17"/>
      <c r="LB4" s="2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28"/>
      <c r="ML4" t="s">
        <v>820</v>
      </c>
      <c r="MM4" t="s">
        <v>256</v>
      </c>
      <c r="MN4" t="s">
        <v>232</v>
      </c>
      <c r="MO4" t="s">
        <v>257</v>
      </c>
      <c r="MP4" t="s">
        <v>258</v>
      </c>
      <c r="MQ4" t="s">
        <v>259</v>
      </c>
      <c r="MR4">
        <v>1</v>
      </c>
      <c r="MS4" t="s">
        <v>260</v>
      </c>
      <c r="MT4" t="s">
        <v>261</v>
      </c>
      <c r="MU4" t="s">
        <v>262</v>
      </c>
      <c r="MV4">
        <v>62</v>
      </c>
      <c r="MW4" s="13">
        <v>374</v>
      </c>
      <c r="MX4" s="13" t="s">
        <v>263</v>
      </c>
      <c r="MY4" t="s">
        <v>240</v>
      </c>
      <c r="MZ4" t="s">
        <v>241</v>
      </c>
      <c r="NA4" t="s">
        <v>242</v>
      </c>
      <c r="NB4" t="s">
        <v>264</v>
      </c>
      <c r="NC4" t="s">
        <v>265</v>
      </c>
      <c r="ND4" s="18">
        <v>43270</v>
      </c>
      <c r="NE4" s="19">
        <v>0.97430555555555554</v>
      </c>
      <c r="NF4" t="s">
        <v>244</v>
      </c>
      <c r="NG4" t="s">
        <v>245</v>
      </c>
      <c r="NH4" t="s">
        <v>246</v>
      </c>
      <c r="NI4">
        <v>80.7</v>
      </c>
      <c r="NJ4" t="s">
        <v>244</v>
      </c>
      <c r="NK4">
        <v>5</v>
      </c>
      <c r="NL4" t="s">
        <v>247</v>
      </c>
      <c r="NM4">
        <v>29.62689</v>
      </c>
      <c r="NN4">
        <v>-84.931380000000004</v>
      </c>
      <c r="NO4" t="s">
        <v>248</v>
      </c>
      <c r="NP4" t="s">
        <v>266</v>
      </c>
      <c r="NQ4">
        <v>1</v>
      </c>
      <c r="NR4" t="s">
        <v>247</v>
      </c>
      <c r="NS4" t="s">
        <v>267</v>
      </c>
      <c r="NT4" t="s">
        <v>244</v>
      </c>
      <c r="NU4" t="s">
        <v>244</v>
      </c>
      <c r="NV4" t="s">
        <v>248</v>
      </c>
      <c r="NW4" t="s">
        <v>261</v>
      </c>
      <c r="NX4" t="s">
        <v>262</v>
      </c>
      <c r="NY4">
        <v>95.7</v>
      </c>
      <c r="NZ4">
        <v>94.1</v>
      </c>
      <c r="OA4">
        <v>82.9</v>
      </c>
      <c r="OB4" s="14">
        <v>21.205750411731103</v>
      </c>
      <c r="OC4" t="s">
        <v>248</v>
      </c>
      <c r="OD4" t="s">
        <v>247</v>
      </c>
      <c r="OE4" t="s">
        <v>248</v>
      </c>
      <c r="OF4" t="s">
        <v>268</v>
      </c>
      <c r="OG4" t="s">
        <v>247</v>
      </c>
      <c r="OH4">
        <v>14</v>
      </c>
      <c r="OI4" t="s">
        <v>261</v>
      </c>
      <c r="OJ4" t="s">
        <v>265</v>
      </c>
      <c r="OK4">
        <v>90</v>
      </c>
      <c r="OL4">
        <v>0.93333333333333335</v>
      </c>
      <c r="OM4">
        <v>1</v>
      </c>
      <c r="ON4">
        <v>-16.25</v>
      </c>
      <c r="OO4">
        <v>8.4</v>
      </c>
      <c r="OP4" s="25">
        <v>2.9675871313267037</v>
      </c>
      <c r="OQ4" s="25">
        <v>3.461773164853216</v>
      </c>
      <c r="OR4" t="s">
        <v>910</v>
      </c>
      <c r="OS4" t="s">
        <v>910</v>
      </c>
    </row>
    <row r="5" spans="1:409" x14ac:dyDescent="0.25">
      <c r="A5" s="14">
        <v>4</v>
      </c>
      <c r="B5" s="1">
        <v>47</v>
      </c>
      <c r="C5" s="1">
        <v>0</v>
      </c>
      <c r="D5" s="1">
        <v>0</v>
      </c>
      <c r="E5" s="1">
        <v>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2">
        <v>52</v>
      </c>
      <c r="Y5" s="3"/>
      <c r="Z5" s="15">
        <f t="shared" si="0"/>
        <v>22.16379948242691</v>
      </c>
      <c r="AA5" s="15">
        <f t="shared" si="1"/>
        <v>0</v>
      </c>
      <c r="AB5" s="15">
        <f t="shared" si="2"/>
        <v>0</v>
      </c>
      <c r="AC5" s="15">
        <f t="shared" si="3"/>
        <v>1.4147106052612921</v>
      </c>
      <c r="AD5" s="15">
        <f t="shared" si="4"/>
        <v>0</v>
      </c>
      <c r="AE5" s="15">
        <f t="shared" si="5"/>
        <v>0</v>
      </c>
      <c r="AF5" s="15">
        <f t="shared" si="6"/>
        <v>0</v>
      </c>
      <c r="AG5" s="15">
        <f t="shared" si="7"/>
        <v>0</v>
      </c>
      <c r="AH5" s="15">
        <f t="shared" si="8"/>
        <v>0</v>
      </c>
      <c r="AI5" s="15">
        <f t="shared" si="9"/>
        <v>0.94314040350752804</v>
      </c>
      <c r="AJ5" s="15">
        <f t="shared" si="10"/>
        <v>0</v>
      </c>
      <c r="AK5" s="15">
        <f t="shared" si="11"/>
        <v>0</v>
      </c>
      <c r="AL5" s="15">
        <f t="shared" si="12"/>
        <v>0</v>
      </c>
      <c r="AM5" s="15">
        <f t="shared" si="13"/>
        <v>0</v>
      </c>
      <c r="AN5" s="15">
        <f t="shared" si="14"/>
        <v>0</v>
      </c>
      <c r="AO5" s="15">
        <f t="shared" si="15"/>
        <v>0</v>
      </c>
      <c r="AP5" s="15">
        <f t="shared" si="16"/>
        <v>0</v>
      </c>
      <c r="AQ5" s="15">
        <f t="shared" si="17"/>
        <v>0</v>
      </c>
      <c r="AR5" s="15">
        <f t="shared" si="18"/>
        <v>0</v>
      </c>
      <c r="AS5" s="15">
        <f t="shared" si="19"/>
        <v>0</v>
      </c>
      <c r="AT5" s="15">
        <f t="shared" si="20"/>
        <v>0</v>
      </c>
      <c r="AU5" s="15">
        <f t="shared" si="21"/>
        <v>0</v>
      </c>
      <c r="AV5" s="5">
        <f t="shared" si="22"/>
        <v>24.521650491195729</v>
      </c>
      <c r="AW5" s="16"/>
      <c r="AX5" s="6">
        <v>47</v>
      </c>
      <c r="AY5" s="6">
        <v>0</v>
      </c>
      <c r="AZ5" s="6">
        <v>0</v>
      </c>
      <c r="BA5" s="6">
        <v>3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2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7">
        <v>52</v>
      </c>
      <c r="BU5" s="16"/>
      <c r="BV5" s="8">
        <v>0</v>
      </c>
      <c r="BW5" s="8">
        <v>0</v>
      </c>
      <c r="BX5" s="8">
        <v>0</v>
      </c>
      <c r="BY5" s="8">
        <v>0.99999999999999989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17.000000000000004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1.9999999999999998</v>
      </c>
      <c r="DQ5" s="8">
        <v>0</v>
      </c>
      <c r="DR5" s="8">
        <v>0</v>
      </c>
      <c r="DS5" s="8">
        <v>25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0.99999999999999989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1.9999999999999998</v>
      </c>
      <c r="FV5" s="8">
        <v>0</v>
      </c>
      <c r="FW5" s="8">
        <v>0</v>
      </c>
      <c r="FX5" s="8">
        <v>0</v>
      </c>
      <c r="FY5" s="8">
        <v>0.99999999999999989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9">
        <v>49</v>
      </c>
      <c r="GG5" s="3"/>
      <c r="GH5" s="10">
        <f t="shared" ref="GH5:GQ8" si="35">(BV5/$GF5)*$AX5</f>
        <v>0</v>
      </c>
      <c r="GI5" s="10">
        <f t="shared" si="35"/>
        <v>0</v>
      </c>
      <c r="GJ5" s="10">
        <f t="shared" si="35"/>
        <v>0</v>
      </c>
      <c r="GK5" s="10">
        <f t="shared" si="35"/>
        <v>0.95918367346938771</v>
      </c>
      <c r="GL5" s="10">
        <f t="shared" si="35"/>
        <v>0</v>
      </c>
      <c r="GM5" s="10">
        <f t="shared" si="35"/>
        <v>0</v>
      </c>
      <c r="GN5" s="10">
        <f t="shared" si="35"/>
        <v>0</v>
      </c>
      <c r="GO5" s="10">
        <f t="shared" si="35"/>
        <v>0</v>
      </c>
      <c r="GP5" s="10">
        <f t="shared" si="35"/>
        <v>0</v>
      </c>
      <c r="GQ5" s="10">
        <f t="shared" si="35"/>
        <v>0</v>
      </c>
      <c r="GR5" s="10">
        <f t="shared" ref="GR5:HA8" si="36">(CF5/$GF5)*$AX5</f>
        <v>0</v>
      </c>
      <c r="GS5" s="10">
        <f t="shared" si="36"/>
        <v>0</v>
      </c>
      <c r="GT5" s="10">
        <f t="shared" si="36"/>
        <v>0</v>
      </c>
      <c r="GU5" s="10">
        <f t="shared" si="36"/>
        <v>0</v>
      </c>
      <c r="GV5" s="10">
        <f t="shared" si="36"/>
        <v>0</v>
      </c>
      <c r="GW5" s="10">
        <f t="shared" si="36"/>
        <v>0</v>
      </c>
      <c r="GX5" s="10">
        <f t="shared" si="36"/>
        <v>0</v>
      </c>
      <c r="GY5" s="10">
        <f t="shared" si="36"/>
        <v>0</v>
      </c>
      <c r="GZ5" s="10">
        <f t="shared" si="36"/>
        <v>0</v>
      </c>
      <c r="HA5" s="10">
        <f t="shared" si="36"/>
        <v>0</v>
      </c>
      <c r="HB5" s="10">
        <f t="shared" ref="HB5:HK8" si="37">(CP5/$GF5)*$AX5</f>
        <v>0</v>
      </c>
      <c r="HC5" s="10">
        <f t="shared" si="37"/>
        <v>0</v>
      </c>
      <c r="HD5" s="10">
        <f t="shared" si="37"/>
        <v>0</v>
      </c>
      <c r="HE5" s="10">
        <f t="shared" si="37"/>
        <v>0</v>
      </c>
      <c r="HF5" s="10">
        <f t="shared" si="37"/>
        <v>0</v>
      </c>
      <c r="HG5" s="10">
        <f t="shared" si="37"/>
        <v>0</v>
      </c>
      <c r="HH5" s="10">
        <f t="shared" si="37"/>
        <v>0</v>
      </c>
      <c r="HI5" s="10">
        <f t="shared" si="37"/>
        <v>0</v>
      </c>
      <c r="HJ5" s="10">
        <f t="shared" si="37"/>
        <v>0</v>
      </c>
      <c r="HK5" s="10">
        <f t="shared" si="37"/>
        <v>0</v>
      </c>
      <c r="HL5" s="10">
        <f t="shared" ref="HL5:HU8" si="38">(CZ5/$GF5)*$AX5</f>
        <v>0</v>
      </c>
      <c r="HM5" s="10">
        <f t="shared" si="38"/>
        <v>0</v>
      </c>
      <c r="HN5" s="10">
        <f t="shared" si="38"/>
        <v>0</v>
      </c>
      <c r="HO5" s="10">
        <f t="shared" si="38"/>
        <v>0</v>
      </c>
      <c r="HP5" s="10">
        <f t="shared" si="38"/>
        <v>0</v>
      </c>
      <c r="HQ5" s="10">
        <f t="shared" si="38"/>
        <v>0</v>
      </c>
      <c r="HR5" s="10">
        <f t="shared" si="38"/>
        <v>0</v>
      </c>
      <c r="HS5" s="10">
        <f t="shared" si="38"/>
        <v>0</v>
      </c>
      <c r="HT5" s="10">
        <f t="shared" si="38"/>
        <v>0</v>
      </c>
      <c r="HU5" s="10">
        <f t="shared" si="38"/>
        <v>16.306122448979593</v>
      </c>
      <c r="HV5" s="10">
        <f t="shared" ref="HV5:IE8" si="39">(DJ5/$GF5)*$AX5</f>
        <v>0</v>
      </c>
      <c r="HW5" s="10">
        <f t="shared" si="39"/>
        <v>0</v>
      </c>
      <c r="HX5" s="10">
        <f t="shared" si="39"/>
        <v>0</v>
      </c>
      <c r="HY5" s="10">
        <f t="shared" si="39"/>
        <v>0</v>
      </c>
      <c r="HZ5" s="10">
        <f t="shared" si="39"/>
        <v>0</v>
      </c>
      <c r="IA5" s="10">
        <f t="shared" si="39"/>
        <v>0</v>
      </c>
      <c r="IB5" s="10">
        <f t="shared" si="39"/>
        <v>1.9183673469387754</v>
      </c>
      <c r="IC5" s="10">
        <f t="shared" si="39"/>
        <v>0</v>
      </c>
      <c r="ID5" s="10">
        <f t="shared" si="39"/>
        <v>0</v>
      </c>
      <c r="IE5" s="10">
        <f t="shared" si="39"/>
        <v>23.979591836734695</v>
      </c>
      <c r="IF5" s="10">
        <f t="shared" ref="IF5:IO8" si="40">(DT5/$GF5)*$AX5</f>
        <v>0</v>
      </c>
      <c r="IG5" s="10">
        <f t="shared" si="40"/>
        <v>0</v>
      </c>
      <c r="IH5" s="10">
        <f t="shared" si="40"/>
        <v>0</v>
      </c>
      <c r="II5" s="10">
        <f t="shared" si="40"/>
        <v>0</v>
      </c>
      <c r="IJ5" s="10">
        <f t="shared" si="40"/>
        <v>0</v>
      </c>
      <c r="IK5" s="10">
        <f t="shared" si="40"/>
        <v>0</v>
      </c>
      <c r="IL5" s="10">
        <f t="shared" si="40"/>
        <v>0</v>
      </c>
      <c r="IM5" s="10">
        <f t="shared" si="40"/>
        <v>0</v>
      </c>
      <c r="IN5" s="10">
        <f t="shared" si="40"/>
        <v>0</v>
      </c>
      <c r="IO5" s="10">
        <f t="shared" si="40"/>
        <v>0</v>
      </c>
      <c r="IP5" s="10">
        <f t="shared" ref="IP5:IY8" si="41">(ED5/$GF5)*$AX5</f>
        <v>0</v>
      </c>
      <c r="IQ5" s="10">
        <f t="shared" si="41"/>
        <v>0</v>
      </c>
      <c r="IR5" s="10">
        <f t="shared" si="41"/>
        <v>0</v>
      </c>
      <c r="IS5" s="10">
        <f t="shared" si="41"/>
        <v>0</v>
      </c>
      <c r="IT5" s="10">
        <f t="shared" si="41"/>
        <v>0</v>
      </c>
      <c r="IU5" s="10">
        <f t="shared" si="41"/>
        <v>0</v>
      </c>
      <c r="IV5" s="10">
        <f t="shared" si="41"/>
        <v>0</v>
      </c>
      <c r="IW5" s="10">
        <f t="shared" si="41"/>
        <v>0</v>
      </c>
      <c r="IX5" s="10">
        <f t="shared" si="41"/>
        <v>0</v>
      </c>
      <c r="IY5" s="10">
        <f t="shared" si="41"/>
        <v>0</v>
      </c>
      <c r="IZ5" s="10">
        <f t="shared" ref="IZ5:JF8" si="42">(EN5/$GF5)*$AX5</f>
        <v>0</v>
      </c>
      <c r="JA5" s="10">
        <f t="shared" si="42"/>
        <v>0</v>
      </c>
      <c r="JB5" s="10">
        <f t="shared" si="42"/>
        <v>0</v>
      </c>
      <c r="JC5" s="10">
        <f t="shared" si="42"/>
        <v>0</v>
      </c>
      <c r="JD5" s="10">
        <f t="shared" si="42"/>
        <v>0</v>
      </c>
      <c r="JE5" s="10">
        <f t="shared" si="42"/>
        <v>0</v>
      </c>
      <c r="JF5" s="10">
        <f t="shared" si="42"/>
        <v>0</v>
      </c>
      <c r="JG5" s="10">
        <v>0</v>
      </c>
      <c r="JH5" s="10">
        <f>(EV5/$GF5)*$AX5</f>
        <v>0</v>
      </c>
      <c r="JI5" s="10">
        <f t="shared" ref="JI5:JR8" si="43">(EX5/$GF5)*$AX5</f>
        <v>0</v>
      </c>
      <c r="JJ5" s="10">
        <f t="shared" si="43"/>
        <v>0</v>
      </c>
      <c r="JK5" s="10">
        <f t="shared" si="43"/>
        <v>0</v>
      </c>
      <c r="JL5" s="10">
        <f t="shared" si="43"/>
        <v>0</v>
      </c>
      <c r="JM5" s="10">
        <f t="shared" si="43"/>
        <v>0</v>
      </c>
      <c r="JN5" s="10">
        <f t="shared" si="43"/>
        <v>0</v>
      </c>
      <c r="JO5" s="10">
        <f t="shared" si="43"/>
        <v>0</v>
      </c>
      <c r="JP5" s="10">
        <f t="shared" si="43"/>
        <v>0</v>
      </c>
      <c r="JQ5" s="10">
        <f t="shared" si="43"/>
        <v>0</v>
      </c>
      <c r="JR5" s="10">
        <f t="shared" si="43"/>
        <v>0</v>
      </c>
      <c r="JS5" s="10">
        <f t="shared" ref="JS5:KB8" si="44">(FH5/$GF5)*$AX5</f>
        <v>0</v>
      </c>
      <c r="JT5" s="10">
        <f t="shared" si="44"/>
        <v>0</v>
      </c>
      <c r="JU5" s="10">
        <f t="shared" si="44"/>
        <v>0</v>
      </c>
      <c r="JV5" s="10">
        <f t="shared" si="44"/>
        <v>0</v>
      </c>
      <c r="JW5" s="10">
        <f t="shared" si="44"/>
        <v>0</v>
      </c>
      <c r="JX5" s="10">
        <f t="shared" si="44"/>
        <v>0</v>
      </c>
      <c r="JY5" s="10">
        <f t="shared" si="44"/>
        <v>0.95918367346938771</v>
      </c>
      <c r="JZ5" s="10">
        <f t="shared" si="44"/>
        <v>0</v>
      </c>
      <c r="KA5" s="10">
        <f t="shared" si="44"/>
        <v>0</v>
      </c>
      <c r="KB5" s="10">
        <f t="shared" si="44"/>
        <v>0</v>
      </c>
      <c r="KC5" s="10">
        <f t="shared" ref="KC5:KL8" si="45">(FR5/$GF5)*$AX5</f>
        <v>0</v>
      </c>
      <c r="KD5" s="10">
        <f t="shared" si="45"/>
        <v>0</v>
      </c>
      <c r="KE5" s="10">
        <f t="shared" si="45"/>
        <v>0</v>
      </c>
      <c r="KF5" s="10">
        <f t="shared" si="45"/>
        <v>1.9183673469387754</v>
      </c>
      <c r="KG5" s="10">
        <f t="shared" si="45"/>
        <v>0</v>
      </c>
      <c r="KH5" s="10">
        <f t="shared" si="45"/>
        <v>0</v>
      </c>
      <c r="KI5" s="10">
        <f t="shared" si="45"/>
        <v>0</v>
      </c>
      <c r="KJ5" s="10">
        <f t="shared" si="45"/>
        <v>0.95918367346938771</v>
      </c>
      <c r="KK5" s="10">
        <f t="shared" si="45"/>
        <v>0</v>
      </c>
      <c r="KL5" s="10">
        <f t="shared" si="45"/>
        <v>0</v>
      </c>
      <c r="KM5" s="10">
        <f t="shared" ref="KM5:KP8" si="46">(GB5/$GF5)*$AX5</f>
        <v>0</v>
      </c>
      <c r="KN5" s="10">
        <f t="shared" si="46"/>
        <v>0</v>
      </c>
      <c r="KO5" s="10">
        <f t="shared" si="46"/>
        <v>0</v>
      </c>
      <c r="KP5" s="10">
        <f t="shared" si="46"/>
        <v>0</v>
      </c>
      <c r="KQ5" s="11">
        <v>47.000000000000007</v>
      </c>
      <c r="KR5" s="16"/>
      <c r="KS5" s="12">
        <v>21.205750411731103</v>
      </c>
      <c r="KT5" s="26"/>
      <c r="KU5" s="26"/>
      <c r="KV5" s="26"/>
      <c r="KW5" s="26">
        <v>-14.2</v>
      </c>
      <c r="KX5" s="26">
        <v>11.34</v>
      </c>
      <c r="KY5" s="27">
        <v>2.7560370187759791</v>
      </c>
      <c r="KZ5" s="27">
        <v>3.2149940577062006</v>
      </c>
      <c r="LA5" s="17"/>
      <c r="LB5" s="2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28"/>
      <c r="ML5" t="s">
        <v>821</v>
      </c>
      <c r="MM5" t="s">
        <v>269</v>
      </c>
      <c r="MN5" t="s">
        <v>232</v>
      </c>
      <c r="MO5" t="s">
        <v>233</v>
      </c>
      <c r="MP5" t="s">
        <v>234</v>
      </c>
      <c r="MQ5" t="s">
        <v>235</v>
      </c>
      <c r="MR5">
        <v>1</v>
      </c>
      <c r="MS5" t="s">
        <v>270</v>
      </c>
      <c r="MT5" t="s">
        <v>271</v>
      </c>
      <c r="MU5" t="s">
        <v>272</v>
      </c>
      <c r="MV5">
        <v>52</v>
      </c>
      <c r="MW5" s="13">
        <v>429</v>
      </c>
      <c r="MX5" s="13" t="s">
        <v>273</v>
      </c>
      <c r="MY5" t="s">
        <v>240</v>
      </c>
      <c r="MZ5" t="s">
        <v>241</v>
      </c>
      <c r="NA5" t="s">
        <v>242</v>
      </c>
      <c r="NB5" t="s">
        <v>274</v>
      </c>
      <c r="ND5" s="18">
        <v>43280</v>
      </c>
      <c r="NE5" s="19">
        <v>4.1666666666666664E-2</v>
      </c>
      <c r="NF5" t="s">
        <v>244</v>
      </c>
      <c r="NG5" t="s">
        <v>275</v>
      </c>
      <c r="NH5" t="s">
        <v>246</v>
      </c>
      <c r="NI5" t="s">
        <v>244</v>
      </c>
      <c r="NJ5" t="s">
        <v>244</v>
      </c>
      <c r="NK5">
        <v>4</v>
      </c>
      <c r="NL5" t="s">
        <v>248</v>
      </c>
      <c r="NM5">
        <v>29.672879999999999</v>
      </c>
      <c r="NN5">
        <v>-84.826080000000005</v>
      </c>
      <c r="NO5" t="s">
        <v>248</v>
      </c>
      <c r="NP5" t="s">
        <v>249</v>
      </c>
      <c r="NQ5" t="s">
        <v>244</v>
      </c>
      <c r="NR5" t="s">
        <v>247</v>
      </c>
      <c r="NS5">
        <v>982000410605034</v>
      </c>
      <c r="NT5" t="s">
        <v>244</v>
      </c>
      <c r="NU5" t="s">
        <v>244</v>
      </c>
      <c r="NV5" t="s">
        <v>248</v>
      </c>
      <c r="NW5" t="s">
        <v>271</v>
      </c>
      <c r="NX5" t="s">
        <v>272</v>
      </c>
      <c r="NY5">
        <v>97.5</v>
      </c>
      <c r="NZ5">
        <v>90</v>
      </c>
      <c r="OA5">
        <v>83.5</v>
      </c>
      <c r="OB5" s="14">
        <v>21.205750411731103</v>
      </c>
      <c r="OC5" t="s">
        <v>248</v>
      </c>
      <c r="OD5" t="s">
        <v>247</v>
      </c>
      <c r="OE5" t="s">
        <v>248</v>
      </c>
      <c r="OF5" t="s">
        <v>276</v>
      </c>
      <c r="OG5" t="s">
        <v>247</v>
      </c>
      <c r="ON5">
        <v>-14.2</v>
      </c>
      <c r="OO5">
        <v>11.34</v>
      </c>
      <c r="OP5" s="25">
        <v>2.7560370187759791</v>
      </c>
      <c r="OQ5" s="25">
        <v>3.2149940577062006</v>
      </c>
      <c r="OR5" t="s">
        <v>910</v>
      </c>
      <c r="OS5" t="s">
        <v>910</v>
      </c>
    </row>
    <row r="6" spans="1:409" x14ac:dyDescent="0.25">
      <c r="A6" s="14">
        <v>5</v>
      </c>
      <c r="B6" s="1">
        <v>105</v>
      </c>
      <c r="C6" s="1">
        <v>0</v>
      </c>
      <c r="D6" s="1">
        <v>0</v>
      </c>
      <c r="E6" s="1">
        <v>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336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5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2">
        <v>451</v>
      </c>
      <c r="Y6" s="3"/>
      <c r="Z6" s="15">
        <f t="shared" si="0"/>
        <v>49.514871184145221</v>
      </c>
      <c r="AA6" s="15">
        <f t="shared" si="1"/>
        <v>0</v>
      </c>
      <c r="AB6" s="15">
        <f t="shared" si="2"/>
        <v>0</v>
      </c>
      <c r="AC6" s="15">
        <f t="shared" si="3"/>
        <v>2.35785100876882</v>
      </c>
      <c r="AD6" s="15">
        <f t="shared" si="4"/>
        <v>0</v>
      </c>
      <c r="AE6" s="15">
        <f t="shared" si="5"/>
        <v>0</v>
      </c>
      <c r="AF6" s="15">
        <f t="shared" si="6"/>
        <v>0</v>
      </c>
      <c r="AG6" s="15">
        <f t="shared" si="7"/>
        <v>0</v>
      </c>
      <c r="AH6" s="15">
        <f t="shared" si="8"/>
        <v>0</v>
      </c>
      <c r="AI6" s="15">
        <f t="shared" si="9"/>
        <v>158.4475877892647</v>
      </c>
      <c r="AJ6" s="15">
        <f t="shared" si="10"/>
        <v>0</v>
      </c>
      <c r="AK6" s="15">
        <f t="shared" si="11"/>
        <v>0</v>
      </c>
      <c r="AL6" s="15">
        <f t="shared" si="12"/>
        <v>0</v>
      </c>
      <c r="AM6" s="15">
        <f t="shared" si="13"/>
        <v>0</v>
      </c>
      <c r="AN6" s="15">
        <f t="shared" si="14"/>
        <v>0</v>
      </c>
      <c r="AO6" s="15">
        <f t="shared" si="15"/>
        <v>0</v>
      </c>
      <c r="AP6" s="15">
        <f t="shared" si="16"/>
        <v>2.35785100876882</v>
      </c>
      <c r="AQ6" s="15">
        <f t="shared" si="17"/>
        <v>0</v>
      </c>
      <c r="AR6" s="15">
        <f t="shared" si="18"/>
        <v>0</v>
      </c>
      <c r="AS6" s="15">
        <f t="shared" si="19"/>
        <v>0</v>
      </c>
      <c r="AT6" s="15">
        <f t="shared" si="20"/>
        <v>0</v>
      </c>
      <c r="AU6" s="15">
        <f t="shared" si="21"/>
        <v>0</v>
      </c>
      <c r="AV6" s="5">
        <f t="shared" si="22"/>
        <v>212.67816099094756</v>
      </c>
      <c r="AW6" s="16"/>
      <c r="AX6" s="6">
        <v>105</v>
      </c>
      <c r="AY6" s="6">
        <v>0</v>
      </c>
      <c r="AZ6" s="6">
        <v>0</v>
      </c>
      <c r="BA6" s="6">
        <v>5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336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5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7">
        <v>451</v>
      </c>
      <c r="BU6" s="16"/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74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1</v>
      </c>
      <c r="CO6" s="8">
        <v>0</v>
      </c>
      <c r="CP6" s="8">
        <v>0</v>
      </c>
      <c r="CQ6" s="8">
        <v>0</v>
      </c>
      <c r="CR6" s="8">
        <v>0</v>
      </c>
      <c r="CS6" s="8">
        <v>2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1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8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2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3</v>
      </c>
      <c r="FY6" s="8">
        <v>0</v>
      </c>
      <c r="FZ6" s="8">
        <v>29.999999999999996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9">
        <v>121</v>
      </c>
      <c r="GG6" s="3"/>
      <c r="GH6" s="10">
        <f t="shared" si="35"/>
        <v>0</v>
      </c>
      <c r="GI6" s="10">
        <f t="shared" si="35"/>
        <v>0</v>
      </c>
      <c r="GJ6" s="10">
        <f t="shared" si="35"/>
        <v>0</v>
      </c>
      <c r="GK6" s="10">
        <f t="shared" si="35"/>
        <v>0</v>
      </c>
      <c r="GL6" s="10">
        <f t="shared" si="35"/>
        <v>0</v>
      </c>
      <c r="GM6" s="10">
        <f t="shared" si="35"/>
        <v>0</v>
      </c>
      <c r="GN6" s="10">
        <f t="shared" si="35"/>
        <v>0</v>
      </c>
      <c r="GO6" s="10">
        <f t="shared" si="35"/>
        <v>64.214876033057848</v>
      </c>
      <c r="GP6" s="10">
        <f t="shared" si="35"/>
        <v>0</v>
      </c>
      <c r="GQ6" s="10">
        <f t="shared" si="35"/>
        <v>0</v>
      </c>
      <c r="GR6" s="10">
        <f t="shared" si="36"/>
        <v>0</v>
      </c>
      <c r="GS6" s="10">
        <f t="shared" si="36"/>
        <v>0</v>
      </c>
      <c r="GT6" s="10">
        <f t="shared" si="36"/>
        <v>0</v>
      </c>
      <c r="GU6" s="10">
        <f t="shared" si="36"/>
        <v>0</v>
      </c>
      <c r="GV6" s="10">
        <f t="shared" si="36"/>
        <v>0</v>
      </c>
      <c r="GW6" s="10">
        <f t="shared" si="36"/>
        <v>0</v>
      </c>
      <c r="GX6" s="10">
        <f t="shared" si="36"/>
        <v>0</v>
      </c>
      <c r="GY6" s="10">
        <f t="shared" si="36"/>
        <v>0</v>
      </c>
      <c r="GZ6" s="10">
        <f t="shared" si="36"/>
        <v>0.86776859504132231</v>
      </c>
      <c r="HA6" s="10">
        <f t="shared" si="36"/>
        <v>0</v>
      </c>
      <c r="HB6" s="10">
        <f t="shared" si="37"/>
        <v>0</v>
      </c>
      <c r="HC6" s="10">
        <f t="shared" si="37"/>
        <v>0</v>
      </c>
      <c r="HD6" s="10">
        <f t="shared" si="37"/>
        <v>0</v>
      </c>
      <c r="HE6" s="10">
        <f t="shared" si="37"/>
        <v>1.7355371900826446</v>
      </c>
      <c r="HF6" s="10">
        <f t="shared" si="37"/>
        <v>0</v>
      </c>
      <c r="HG6" s="10">
        <f t="shared" si="37"/>
        <v>0</v>
      </c>
      <c r="HH6" s="10">
        <f t="shared" si="37"/>
        <v>0</v>
      </c>
      <c r="HI6" s="10">
        <f t="shared" si="37"/>
        <v>0</v>
      </c>
      <c r="HJ6" s="10">
        <f t="shared" si="37"/>
        <v>0</v>
      </c>
      <c r="HK6" s="10">
        <f t="shared" si="37"/>
        <v>0</v>
      </c>
      <c r="HL6" s="10">
        <f t="shared" si="38"/>
        <v>0</v>
      </c>
      <c r="HM6" s="10">
        <f t="shared" si="38"/>
        <v>0</v>
      </c>
      <c r="HN6" s="10">
        <f t="shared" si="38"/>
        <v>0</v>
      </c>
      <c r="HO6" s="10">
        <f t="shared" si="38"/>
        <v>0</v>
      </c>
      <c r="HP6" s="10">
        <f t="shared" si="38"/>
        <v>0</v>
      </c>
      <c r="HQ6" s="10">
        <f t="shared" si="38"/>
        <v>0</v>
      </c>
      <c r="HR6" s="10">
        <f t="shared" si="38"/>
        <v>0</v>
      </c>
      <c r="HS6" s="10">
        <f t="shared" si="38"/>
        <v>0</v>
      </c>
      <c r="HT6" s="10">
        <f t="shared" si="38"/>
        <v>0</v>
      </c>
      <c r="HU6" s="10">
        <f t="shared" si="38"/>
        <v>0.86776859504132231</v>
      </c>
      <c r="HV6" s="10">
        <f t="shared" si="39"/>
        <v>0</v>
      </c>
      <c r="HW6" s="10">
        <f t="shared" si="39"/>
        <v>0</v>
      </c>
      <c r="HX6" s="10">
        <f t="shared" si="39"/>
        <v>0</v>
      </c>
      <c r="HY6" s="10">
        <f t="shared" si="39"/>
        <v>0</v>
      </c>
      <c r="HZ6" s="10">
        <f t="shared" si="39"/>
        <v>0</v>
      </c>
      <c r="IA6" s="10">
        <f t="shared" si="39"/>
        <v>0</v>
      </c>
      <c r="IB6" s="10">
        <f t="shared" si="39"/>
        <v>0</v>
      </c>
      <c r="IC6" s="10">
        <f t="shared" si="39"/>
        <v>0</v>
      </c>
      <c r="ID6" s="10">
        <f t="shared" si="39"/>
        <v>0</v>
      </c>
      <c r="IE6" s="10">
        <f t="shared" si="39"/>
        <v>6.9421487603305785</v>
      </c>
      <c r="IF6" s="10">
        <f t="shared" si="40"/>
        <v>0</v>
      </c>
      <c r="IG6" s="10">
        <f t="shared" si="40"/>
        <v>0</v>
      </c>
      <c r="IH6" s="10">
        <f t="shared" si="40"/>
        <v>0</v>
      </c>
      <c r="II6" s="10">
        <f t="shared" si="40"/>
        <v>0</v>
      </c>
      <c r="IJ6" s="10">
        <f t="shared" si="40"/>
        <v>0</v>
      </c>
      <c r="IK6" s="10">
        <f t="shared" si="40"/>
        <v>0</v>
      </c>
      <c r="IL6" s="10">
        <f t="shared" si="40"/>
        <v>0</v>
      </c>
      <c r="IM6" s="10">
        <f t="shared" si="40"/>
        <v>0</v>
      </c>
      <c r="IN6" s="10">
        <f t="shared" si="40"/>
        <v>0</v>
      </c>
      <c r="IO6" s="10">
        <f t="shared" si="40"/>
        <v>0</v>
      </c>
      <c r="IP6" s="10">
        <f t="shared" si="41"/>
        <v>0</v>
      </c>
      <c r="IQ6" s="10">
        <f t="shared" si="41"/>
        <v>0</v>
      </c>
      <c r="IR6" s="10">
        <f t="shared" si="41"/>
        <v>1.7355371900826446</v>
      </c>
      <c r="IS6" s="10">
        <f t="shared" si="41"/>
        <v>0</v>
      </c>
      <c r="IT6" s="10">
        <f t="shared" si="41"/>
        <v>0</v>
      </c>
      <c r="IU6" s="10">
        <f t="shared" si="41"/>
        <v>0</v>
      </c>
      <c r="IV6" s="10">
        <f t="shared" si="41"/>
        <v>0</v>
      </c>
      <c r="IW6" s="10">
        <f t="shared" si="41"/>
        <v>0</v>
      </c>
      <c r="IX6" s="10">
        <f t="shared" si="41"/>
        <v>0</v>
      </c>
      <c r="IY6" s="10">
        <f t="shared" si="41"/>
        <v>0</v>
      </c>
      <c r="IZ6" s="10">
        <f t="shared" si="42"/>
        <v>0</v>
      </c>
      <c r="JA6" s="10">
        <f t="shared" si="42"/>
        <v>0</v>
      </c>
      <c r="JB6" s="10">
        <f t="shared" si="42"/>
        <v>0</v>
      </c>
      <c r="JC6" s="10">
        <f t="shared" si="42"/>
        <v>0</v>
      </c>
      <c r="JD6" s="10">
        <f t="shared" si="42"/>
        <v>0</v>
      </c>
      <c r="JE6" s="10">
        <f t="shared" si="42"/>
        <v>0</v>
      </c>
      <c r="JF6" s="10">
        <f t="shared" si="42"/>
        <v>0</v>
      </c>
      <c r="JG6" s="10">
        <v>0</v>
      </c>
      <c r="JH6" s="10">
        <f>(EV6/$GF6)*$AX6</f>
        <v>0</v>
      </c>
      <c r="JI6" s="10">
        <f t="shared" si="43"/>
        <v>0</v>
      </c>
      <c r="JJ6" s="10">
        <f t="shared" si="43"/>
        <v>0</v>
      </c>
      <c r="JK6" s="10">
        <f t="shared" si="43"/>
        <v>0</v>
      </c>
      <c r="JL6" s="10">
        <f t="shared" si="43"/>
        <v>0</v>
      </c>
      <c r="JM6" s="10">
        <f t="shared" si="43"/>
        <v>0</v>
      </c>
      <c r="JN6" s="10">
        <f t="shared" si="43"/>
        <v>0</v>
      </c>
      <c r="JO6" s="10">
        <f t="shared" si="43"/>
        <v>0</v>
      </c>
      <c r="JP6" s="10">
        <f t="shared" si="43"/>
        <v>0</v>
      </c>
      <c r="JQ6" s="10">
        <f t="shared" si="43"/>
        <v>0</v>
      </c>
      <c r="JR6" s="10">
        <f t="shared" si="43"/>
        <v>0</v>
      </c>
      <c r="JS6" s="10">
        <f t="shared" si="44"/>
        <v>0</v>
      </c>
      <c r="JT6" s="10">
        <f t="shared" si="44"/>
        <v>0</v>
      </c>
      <c r="JU6" s="10">
        <f t="shared" si="44"/>
        <v>0</v>
      </c>
      <c r="JV6" s="10">
        <f t="shared" si="44"/>
        <v>0</v>
      </c>
      <c r="JW6" s="10">
        <f t="shared" si="44"/>
        <v>0</v>
      </c>
      <c r="JX6" s="10">
        <f t="shared" si="44"/>
        <v>0</v>
      </c>
      <c r="JY6" s="10">
        <f t="shared" si="44"/>
        <v>0</v>
      </c>
      <c r="JZ6" s="10">
        <f t="shared" si="44"/>
        <v>0</v>
      </c>
      <c r="KA6" s="10">
        <f t="shared" si="44"/>
        <v>0</v>
      </c>
      <c r="KB6" s="10">
        <f t="shared" si="44"/>
        <v>0</v>
      </c>
      <c r="KC6" s="10">
        <f t="shared" si="45"/>
        <v>0</v>
      </c>
      <c r="KD6" s="10">
        <f t="shared" si="45"/>
        <v>0</v>
      </c>
      <c r="KE6" s="10">
        <f t="shared" si="45"/>
        <v>0</v>
      </c>
      <c r="KF6" s="10">
        <f t="shared" si="45"/>
        <v>0</v>
      </c>
      <c r="KG6" s="10">
        <f t="shared" si="45"/>
        <v>0</v>
      </c>
      <c r="KH6" s="10">
        <f t="shared" si="45"/>
        <v>0</v>
      </c>
      <c r="KI6" s="10">
        <f t="shared" si="45"/>
        <v>2.6033057851239669</v>
      </c>
      <c r="KJ6" s="10">
        <f t="shared" si="45"/>
        <v>0</v>
      </c>
      <c r="KK6" s="10">
        <f t="shared" si="45"/>
        <v>26.033057851239668</v>
      </c>
      <c r="KL6" s="10">
        <f t="shared" si="45"/>
        <v>0</v>
      </c>
      <c r="KM6" s="10">
        <f t="shared" si="46"/>
        <v>0</v>
      </c>
      <c r="KN6" s="10">
        <f t="shared" si="46"/>
        <v>0</v>
      </c>
      <c r="KO6" s="10">
        <f t="shared" si="46"/>
        <v>0</v>
      </c>
      <c r="KP6" s="10">
        <f t="shared" si="46"/>
        <v>0</v>
      </c>
      <c r="KQ6" s="11">
        <v>105</v>
      </c>
      <c r="KR6" s="16"/>
      <c r="KS6" s="12">
        <v>21.205750411731103</v>
      </c>
      <c r="KT6" s="26"/>
      <c r="KU6" s="26"/>
      <c r="KV6" s="26"/>
      <c r="KW6" s="26">
        <v>-14.2</v>
      </c>
      <c r="KX6" s="26">
        <v>11.34</v>
      </c>
      <c r="KY6" s="27">
        <v>2.7560370187759791</v>
      </c>
      <c r="KZ6" s="27">
        <v>3.2149940577062006</v>
      </c>
      <c r="LA6" s="17"/>
      <c r="LB6" s="2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28"/>
      <c r="ML6" t="s">
        <v>822</v>
      </c>
      <c r="MM6" t="s">
        <v>270</v>
      </c>
      <c r="MN6" t="s">
        <v>232</v>
      </c>
      <c r="MO6" t="s">
        <v>257</v>
      </c>
      <c r="MP6" t="s">
        <v>258</v>
      </c>
      <c r="MQ6" t="s">
        <v>259</v>
      </c>
      <c r="MR6">
        <v>1</v>
      </c>
      <c r="MS6" t="s">
        <v>270</v>
      </c>
      <c r="MT6" t="s">
        <v>271</v>
      </c>
      <c r="MU6" t="s">
        <v>272</v>
      </c>
      <c r="MV6">
        <v>451</v>
      </c>
      <c r="MW6" s="13">
        <v>429</v>
      </c>
      <c r="MX6" s="13" t="s">
        <v>273</v>
      </c>
      <c r="MY6" t="s">
        <v>240</v>
      </c>
      <c r="MZ6" t="s">
        <v>241</v>
      </c>
      <c r="NA6" t="s">
        <v>242</v>
      </c>
      <c r="NB6" t="s">
        <v>274</v>
      </c>
      <c r="ND6" s="18">
        <v>43280</v>
      </c>
      <c r="NE6" s="19">
        <v>4.1666666666666664E-2</v>
      </c>
      <c r="NF6" t="s">
        <v>244</v>
      </c>
      <c r="NG6" t="s">
        <v>275</v>
      </c>
      <c r="NH6" t="s">
        <v>246</v>
      </c>
      <c r="NI6" t="s">
        <v>244</v>
      </c>
      <c r="NJ6" t="s">
        <v>244</v>
      </c>
      <c r="NK6">
        <v>4</v>
      </c>
      <c r="NL6" t="s">
        <v>248</v>
      </c>
      <c r="NM6">
        <v>29.672879999999999</v>
      </c>
      <c r="NN6">
        <v>-84.826080000000005</v>
      </c>
      <c r="NO6" t="s">
        <v>248</v>
      </c>
      <c r="NP6" t="s">
        <v>249</v>
      </c>
      <c r="NQ6" t="s">
        <v>244</v>
      </c>
      <c r="NR6" t="s">
        <v>247</v>
      </c>
      <c r="NS6">
        <v>982000410605034</v>
      </c>
      <c r="NT6" t="s">
        <v>244</v>
      </c>
      <c r="NU6" t="s">
        <v>244</v>
      </c>
      <c r="NV6" t="s">
        <v>248</v>
      </c>
      <c r="NW6" t="s">
        <v>271</v>
      </c>
      <c r="NX6" t="s">
        <v>272</v>
      </c>
      <c r="NY6">
        <v>97.5</v>
      </c>
      <c r="NZ6">
        <v>90</v>
      </c>
      <c r="OA6">
        <v>83.5</v>
      </c>
      <c r="OB6" s="14">
        <v>21.205750411731103</v>
      </c>
      <c r="OC6" t="s">
        <v>248</v>
      </c>
      <c r="OD6" t="s">
        <v>247</v>
      </c>
      <c r="OE6" t="s">
        <v>248</v>
      </c>
      <c r="OF6" t="s">
        <v>276</v>
      </c>
      <c r="OG6" t="s">
        <v>247</v>
      </c>
      <c r="ON6">
        <v>-14.2</v>
      </c>
      <c r="OO6">
        <v>11.34</v>
      </c>
      <c r="OP6" s="25">
        <v>2.7560370187759791</v>
      </c>
      <c r="OQ6" s="25">
        <v>3.2149940577062006</v>
      </c>
      <c r="OR6" t="s">
        <v>911</v>
      </c>
      <c r="OS6" t="s">
        <v>909</v>
      </c>
    </row>
    <row r="7" spans="1:409" x14ac:dyDescent="0.25">
      <c r="A7" s="14">
        <v>6</v>
      </c>
      <c r="B7" s="1">
        <v>30</v>
      </c>
      <c r="C7" s="1">
        <v>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5</v>
      </c>
      <c r="J7" s="1">
        <v>0</v>
      </c>
      <c r="K7" s="1">
        <v>22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2">
        <v>59</v>
      </c>
      <c r="Y7" s="3"/>
      <c r="Z7" s="15">
        <f t="shared" si="0"/>
        <v>14.147106052612919</v>
      </c>
      <c r="AA7" s="15">
        <f t="shared" si="1"/>
        <v>0.94314040350752804</v>
      </c>
      <c r="AB7" s="15">
        <f t="shared" si="2"/>
        <v>0</v>
      </c>
      <c r="AC7" s="15">
        <f t="shared" si="3"/>
        <v>0</v>
      </c>
      <c r="AD7" s="15">
        <f t="shared" si="4"/>
        <v>0</v>
      </c>
      <c r="AE7" s="15">
        <f t="shared" si="5"/>
        <v>0</v>
      </c>
      <c r="AF7" s="15">
        <f t="shared" si="6"/>
        <v>0</v>
      </c>
      <c r="AG7" s="15">
        <f t="shared" si="7"/>
        <v>2.35785100876882</v>
      </c>
      <c r="AH7" s="15">
        <f t="shared" si="8"/>
        <v>0</v>
      </c>
      <c r="AI7" s="15">
        <f t="shared" si="9"/>
        <v>10.374544438582809</v>
      </c>
      <c r="AJ7" s="15">
        <f t="shared" si="10"/>
        <v>0</v>
      </c>
      <c r="AK7" s="15">
        <f t="shared" si="11"/>
        <v>0</v>
      </c>
      <c r="AL7" s="15">
        <f t="shared" si="12"/>
        <v>0</v>
      </c>
      <c r="AM7" s="15">
        <f t="shared" si="13"/>
        <v>0</v>
      </c>
      <c r="AN7" s="15">
        <f t="shared" si="14"/>
        <v>0</v>
      </c>
      <c r="AO7" s="15">
        <f t="shared" si="15"/>
        <v>0</v>
      </c>
      <c r="AP7" s="15">
        <f t="shared" si="16"/>
        <v>0</v>
      </c>
      <c r="AQ7" s="15">
        <f t="shared" si="17"/>
        <v>0</v>
      </c>
      <c r="AR7" s="15">
        <f t="shared" si="18"/>
        <v>0</v>
      </c>
      <c r="AS7" s="15">
        <f t="shared" si="19"/>
        <v>0</v>
      </c>
      <c r="AT7" s="15">
        <f t="shared" si="20"/>
        <v>0</v>
      </c>
      <c r="AU7" s="15">
        <f t="shared" si="21"/>
        <v>0</v>
      </c>
      <c r="AV7" s="5">
        <f t="shared" si="22"/>
        <v>27.822641903472075</v>
      </c>
      <c r="AW7" s="16"/>
      <c r="AX7" s="6">
        <v>30</v>
      </c>
      <c r="AY7" s="6">
        <v>2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5</v>
      </c>
      <c r="BF7" s="6">
        <v>0</v>
      </c>
      <c r="BG7" s="6">
        <v>22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7">
        <v>59</v>
      </c>
      <c r="BU7" s="16"/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8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4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1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2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1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4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9">
        <v>20</v>
      </c>
      <c r="GG7" s="3"/>
      <c r="GH7" s="10">
        <f t="shared" si="35"/>
        <v>0</v>
      </c>
      <c r="GI7" s="10">
        <f t="shared" si="35"/>
        <v>0</v>
      </c>
      <c r="GJ7" s="10">
        <f t="shared" si="35"/>
        <v>0</v>
      </c>
      <c r="GK7" s="10">
        <f t="shared" si="35"/>
        <v>0</v>
      </c>
      <c r="GL7" s="10">
        <f t="shared" si="35"/>
        <v>0</v>
      </c>
      <c r="GM7" s="10">
        <f t="shared" si="35"/>
        <v>0</v>
      </c>
      <c r="GN7" s="10">
        <f t="shared" si="35"/>
        <v>0</v>
      </c>
      <c r="GO7" s="10">
        <f t="shared" si="35"/>
        <v>12</v>
      </c>
      <c r="GP7" s="10">
        <f t="shared" si="35"/>
        <v>0</v>
      </c>
      <c r="GQ7" s="10">
        <f t="shared" si="35"/>
        <v>0</v>
      </c>
      <c r="GR7" s="10">
        <f t="shared" si="36"/>
        <v>0</v>
      </c>
      <c r="GS7" s="10">
        <f t="shared" si="36"/>
        <v>0</v>
      </c>
      <c r="GT7" s="10">
        <f t="shared" si="36"/>
        <v>0</v>
      </c>
      <c r="GU7" s="10">
        <f t="shared" si="36"/>
        <v>0</v>
      </c>
      <c r="GV7" s="10">
        <f t="shared" si="36"/>
        <v>0</v>
      </c>
      <c r="GW7" s="10">
        <f t="shared" si="36"/>
        <v>0</v>
      </c>
      <c r="GX7" s="10">
        <f t="shared" si="36"/>
        <v>0</v>
      </c>
      <c r="GY7" s="10">
        <f t="shared" si="36"/>
        <v>0</v>
      </c>
      <c r="GZ7" s="10">
        <f t="shared" si="36"/>
        <v>0</v>
      </c>
      <c r="HA7" s="10">
        <f t="shared" si="36"/>
        <v>0</v>
      </c>
      <c r="HB7" s="10">
        <f t="shared" si="37"/>
        <v>0</v>
      </c>
      <c r="HC7" s="10">
        <f t="shared" si="37"/>
        <v>0</v>
      </c>
      <c r="HD7" s="10">
        <f t="shared" si="37"/>
        <v>0</v>
      </c>
      <c r="HE7" s="10">
        <f t="shared" si="37"/>
        <v>6</v>
      </c>
      <c r="HF7" s="10">
        <f t="shared" si="37"/>
        <v>0</v>
      </c>
      <c r="HG7" s="10">
        <f t="shared" si="37"/>
        <v>0</v>
      </c>
      <c r="HH7" s="10">
        <f t="shared" si="37"/>
        <v>0</v>
      </c>
      <c r="HI7" s="10">
        <f t="shared" si="37"/>
        <v>0</v>
      </c>
      <c r="HJ7" s="10">
        <f t="shared" si="37"/>
        <v>0</v>
      </c>
      <c r="HK7" s="10">
        <f t="shared" si="37"/>
        <v>0</v>
      </c>
      <c r="HL7" s="10">
        <f t="shared" si="38"/>
        <v>0</v>
      </c>
      <c r="HM7" s="10">
        <f t="shared" si="38"/>
        <v>0</v>
      </c>
      <c r="HN7" s="10">
        <f t="shared" si="38"/>
        <v>0</v>
      </c>
      <c r="HO7" s="10">
        <f t="shared" si="38"/>
        <v>0</v>
      </c>
      <c r="HP7" s="10">
        <f t="shared" si="38"/>
        <v>0</v>
      </c>
      <c r="HQ7" s="10">
        <f t="shared" si="38"/>
        <v>0</v>
      </c>
      <c r="HR7" s="10">
        <f t="shared" si="38"/>
        <v>0</v>
      </c>
      <c r="HS7" s="10">
        <f t="shared" si="38"/>
        <v>0</v>
      </c>
      <c r="HT7" s="10">
        <f t="shared" si="38"/>
        <v>0</v>
      </c>
      <c r="HU7" s="10">
        <f t="shared" si="38"/>
        <v>1.5</v>
      </c>
      <c r="HV7" s="10">
        <f t="shared" si="39"/>
        <v>0</v>
      </c>
      <c r="HW7" s="10">
        <f t="shared" si="39"/>
        <v>0</v>
      </c>
      <c r="HX7" s="10">
        <f t="shared" si="39"/>
        <v>0</v>
      </c>
      <c r="HY7" s="10">
        <f t="shared" si="39"/>
        <v>0</v>
      </c>
      <c r="HZ7" s="10">
        <f t="shared" si="39"/>
        <v>0</v>
      </c>
      <c r="IA7" s="10">
        <f t="shared" si="39"/>
        <v>0</v>
      </c>
      <c r="IB7" s="10">
        <f t="shared" si="39"/>
        <v>0</v>
      </c>
      <c r="IC7" s="10">
        <f t="shared" si="39"/>
        <v>0</v>
      </c>
      <c r="ID7" s="10">
        <f t="shared" si="39"/>
        <v>0</v>
      </c>
      <c r="IE7" s="10">
        <f t="shared" si="39"/>
        <v>0</v>
      </c>
      <c r="IF7" s="10">
        <f t="shared" si="40"/>
        <v>0</v>
      </c>
      <c r="IG7" s="10">
        <f t="shared" si="40"/>
        <v>0</v>
      </c>
      <c r="IH7" s="10">
        <f t="shared" si="40"/>
        <v>0</v>
      </c>
      <c r="II7" s="10">
        <f t="shared" si="40"/>
        <v>3</v>
      </c>
      <c r="IJ7" s="10">
        <f t="shared" si="40"/>
        <v>0</v>
      </c>
      <c r="IK7" s="10">
        <f t="shared" si="40"/>
        <v>0</v>
      </c>
      <c r="IL7" s="10">
        <f t="shared" si="40"/>
        <v>0</v>
      </c>
      <c r="IM7" s="10">
        <f t="shared" si="40"/>
        <v>0</v>
      </c>
      <c r="IN7" s="10">
        <f t="shared" si="40"/>
        <v>0</v>
      </c>
      <c r="IO7" s="10">
        <f t="shared" si="40"/>
        <v>0</v>
      </c>
      <c r="IP7" s="10">
        <f t="shared" si="41"/>
        <v>0</v>
      </c>
      <c r="IQ7" s="10">
        <f t="shared" si="41"/>
        <v>0</v>
      </c>
      <c r="IR7" s="10">
        <f t="shared" si="41"/>
        <v>0</v>
      </c>
      <c r="IS7" s="10">
        <f t="shared" si="41"/>
        <v>0</v>
      </c>
      <c r="IT7" s="10">
        <f t="shared" si="41"/>
        <v>0</v>
      </c>
      <c r="IU7" s="10">
        <f t="shared" si="41"/>
        <v>0</v>
      </c>
      <c r="IV7" s="10">
        <f t="shared" si="41"/>
        <v>0</v>
      </c>
      <c r="IW7" s="10">
        <f t="shared" si="41"/>
        <v>0</v>
      </c>
      <c r="IX7" s="10">
        <f t="shared" si="41"/>
        <v>0</v>
      </c>
      <c r="IY7" s="10">
        <f t="shared" si="41"/>
        <v>0</v>
      </c>
      <c r="IZ7" s="10">
        <f t="shared" si="42"/>
        <v>0</v>
      </c>
      <c r="JA7" s="10">
        <f t="shared" si="42"/>
        <v>0</v>
      </c>
      <c r="JB7" s="10">
        <f t="shared" si="42"/>
        <v>0</v>
      </c>
      <c r="JC7" s="10">
        <f t="shared" si="42"/>
        <v>0</v>
      </c>
      <c r="JD7" s="10">
        <f t="shared" si="42"/>
        <v>0</v>
      </c>
      <c r="JE7" s="10">
        <f t="shared" si="42"/>
        <v>0</v>
      </c>
      <c r="JF7" s="10">
        <f t="shared" si="42"/>
        <v>0</v>
      </c>
      <c r="JG7" s="10">
        <v>0</v>
      </c>
      <c r="JH7" s="10">
        <f>(EV7/$GF7)*$AX7</f>
        <v>0</v>
      </c>
      <c r="JI7" s="10">
        <f t="shared" si="43"/>
        <v>0</v>
      </c>
      <c r="JJ7" s="10">
        <f t="shared" si="43"/>
        <v>0</v>
      </c>
      <c r="JK7" s="10">
        <f t="shared" si="43"/>
        <v>0</v>
      </c>
      <c r="JL7" s="10">
        <f t="shared" si="43"/>
        <v>0</v>
      </c>
      <c r="JM7" s="10">
        <f t="shared" si="43"/>
        <v>1.5</v>
      </c>
      <c r="JN7" s="10">
        <f t="shared" si="43"/>
        <v>0</v>
      </c>
      <c r="JO7" s="10">
        <f t="shared" si="43"/>
        <v>0</v>
      </c>
      <c r="JP7" s="10">
        <f t="shared" si="43"/>
        <v>0</v>
      </c>
      <c r="JQ7" s="10">
        <f t="shared" si="43"/>
        <v>0</v>
      </c>
      <c r="JR7" s="10">
        <f t="shared" si="43"/>
        <v>0</v>
      </c>
      <c r="JS7" s="10">
        <f t="shared" si="44"/>
        <v>0</v>
      </c>
      <c r="JT7" s="10">
        <f t="shared" si="44"/>
        <v>0</v>
      </c>
      <c r="JU7" s="10">
        <f t="shared" si="44"/>
        <v>0</v>
      </c>
      <c r="JV7" s="10">
        <f t="shared" si="44"/>
        <v>0</v>
      </c>
      <c r="JW7" s="10">
        <f t="shared" si="44"/>
        <v>0</v>
      </c>
      <c r="JX7" s="10">
        <f t="shared" si="44"/>
        <v>0</v>
      </c>
      <c r="JY7" s="10">
        <f t="shared" si="44"/>
        <v>0</v>
      </c>
      <c r="JZ7" s="10">
        <f t="shared" si="44"/>
        <v>0</v>
      </c>
      <c r="KA7" s="10">
        <f t="shared" si="44"/>
        <v>0</v>
      </c>
      <c r="KB7" s="10">
        <f t="shared" si="44"/>
        <v>0</v>
      </c>
      <c r="KC7" s="10">
        <f t="shared" si="45"/>
        <v>0</v>
      </c>
      <c r="KD7" s="10">
        <f t="shared" si="45"/>
        <v>0</v>
      </c>
      <c r="KE7" s="10">
        <f t="shared" si="45"/>
        <v>0</v>
      </c>
      <c r="KF7" s="10">
        <f t="shared" si="45"/>
        <v>0</v>
      </c>
      <c r="KG7" s="10">
        <f t="shared" si="45"/>
        <v>0</v>
      </c>
      <c r="KH7" s="10">
        <f t="shared" si="45"/>
        <v>0</v>
      </c>
      <c r="KI7" s="10">
        <f t="shared" si="45"/>
        <v>0</v>
      </c>
      <c r="KJ7" s="10">
        <f t="shared" si="45"/>
        <v>0</v>
      </c>
      <c r="KK7" s="10">
        <f t="shared" si="45"/>
        <v>6</v>
      </c>
      <c r="KL7" s="10">
        <f t="shared" si="45"/>
        <v>0</v>
      </c>
      <c r="KM7" s="10">
        <f t="shared" si="46"/>
        <v>0</v>
      </c>
      <c r="KN7" s="10">
        <f t="shared" si="46"/>
        <v>0</v>
      </c>
      <c r="KO7" s="10">
        <f t="shared" si="46"/>
        <v>0</v>
      </c>
      <c r="KP7" s="10">
        <f t="shared" si="46"/>
        <v>0</v>
      </c>
      <c r="KQ7" s="11">
        <v>30</v>
      </c>
      <c r="KR7" s="16"/>
      <c r="KS7" s="12">
        <v>21.205750411731103</v>
      </c>
      <c r="KT7" s="26"/>
      <c r="KU7" s="26"/>
      <c r="KV7" s="26"/>
      <c r="KW7" s="26">
        <v>-14.2</v>
      </c>
      <c r="KX7" s="26">
        <v>11.34</v>
      </c>
      <c r="KY7" s="27">
        <v>2.7560370187759791</v>
      </c>
      <c r="KZ7" s="27">
        <v>3.2149940577062006</v>
      </c>
      <c r="LA7" s="17"/>
      <c r="LB7" s="2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28"/>
      <c r="ML7" t="s">
        <v>824</v>
      </c>
      <c r="MM7" t="s">
        <v>269</v>
      </c>
      <c r="MN7" t="s">
        <v>232</v>
      </c>
      <c r="MO7" t="s">
        <v>253</v>
      </c>
      <c r="MP7" t="s">
        <v>254</v>
      </c>
      <c r="MQ7" t="s">
        <v>255</v>
      </c>
      <c r="MR7">
        <v>1</v>
      </c>
      <c r="MS7" t="s">
        <v>270</v>
      </c>
      <c r="MT7" t="s">
        <v>271</v>
      </c>
      <c r="MU7" t="s">
        <v>272</v>
      </c>
      <c r="MV7">
        <v>59</v>
      </c>
      <c r="MW7" s="13">
        <v>429</v>
      </c>
      <c r="MX7" s="13" t="s">
        <v>273</v>
      </c>
      <c r="MY7" t="s">
        <v>240</v>
      </c>
      <c r="MZ7" t="s">
        <v>241</v>
      </c>
      <c r="NA7" t="s">
        <v>242</v>
      </c>
      <c r="NB7" t="s">
        <v>274</v>
      </c>
      <c r="ND7" s="18">
        <v>43280</v>
      </c>
      <c r="NE7" s="19">
        <v>4.1666666666666664E-2</v>
      </c>
      <c r="NF7" t="s">
        <v>244</v>
      </c>
      <c r="NG7" t="s">
        <v>275</v>
      </c>
      <c r="NH7" t="s">
        <v>246</v>
      </c>
      <c r="NI7" t="s">
        <v>244</v>
      </c>
      <c r="NJ7" t="s">
        <v>244</v>
      </c>
      <c r="NK7">
        <v>4</v>
      </c>
      <c r="NL7" t="s">
        <v>248</v>
      </c>
      <c r="NM7">
        <v>29.672879999999999</v>
      </c>
      <c r="NN7">
        <v>-84.826080000000005</v>
      </c>
      <c r="NO7" t="s">
        <v>248</v>
      </c>
      <c r="NP7" t="s">
        <v>249</v>
      </c>
      <c r="NQ7" t="s">
        <v>244</v>
      </c>
      <c r="NR7" t="s">
        <v>247</v>
      </c>
      <c r="NS7">
        <v>982000410605034</v>
      </c>
      <c r="NT7" t="s">
        <v>244</v>
      </c>
      <c r="NU7" t="s">
        <v>244</v>
      </c>
      <c r="NV7" t="s">
        <v>248</v>
      </c>
      <c r="NW7" t="s">
        <v>271</v>
      </c>
      <c r="NX7" t="s">
        <v>272</v>
      </c>
      <c r="NY7">
        <v>97.5</v>
      </c>
      <c r="NZ7">
        <v>90</v>
      </c>
      <c r="OA7">
        <v>83.5</v>
      </c>
      <c r="OB7" s="14">
        <v>21.205750411731103</v>
      </c>
      <c r="OC7" t="s">
        <v>248</v>
      </c>
      <c r="OD7" t="s">
        <v>247</v>
      </c>
      <c r="OE7" t="s">
        <v>248</v>
      </c>
      <c r="OF7" t="s">
        <v>276</v>
      </c>
      <c r="OG7" t="s">
        <v>247</v>
      </c>
      <c r="ON7">
        <v>-14.2</v>
      </c>
      <c r="OO7">
        <v>11.34</v>
      </c>
      <c r="OP7" s="25">
        <v>2.7560370187759791</v>
      </c>
      <c r="OQ7" s="25">
        <v>3.2149940577062006</v>
      </c>
      <c r="OR7" t="s">
        <v>911</v>
      </c>
      <c r="OS7" t="s">
        <v>909</v>
      </c>
    </row>
    <row r="8" spans="1:409" x14ac:dyDescent="0.25">
      <c r="A8" s="14">
        <v>7</v>
      </c>
      <c r="B8" s="1">
        <v>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2</v>
      </c>
      <c r="J8" s="1">
        <v>0</v>
      </c>
      <c r="K8" s="1">
        <v>3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2">
        <v>22</v>
      </c>
      <c r="Y8" s="3"/>
      <c r="Z8" s="15">
        <f t="shared" si="0"/>
        <v>8.0166934298139871</v>
      </c>
      <c r="AA8" s="15">
        <f t="shared" si="1"/>
        <v>0</v>
      </c>
      <c r="AB8" s="15">
        <f t="shared" si="2"/>
        <v>0</v>
      </c>
      <c r="AC8" s="15">
        <f t="shared" si="3"/>
        <v>0</v>
      </c>
      <c r="AD8" s="15">
        <f t="shared" si="4"/>
        <v>0</v>
      </c>
      <c r="AE8" s="15">
        <f t="shared" si="5"/>
        <v>0</v>
      </c>
      <c r="AF8" s="15">
        <f t="shared" si="6"/>
        <v>0</v>
      </c>
      <c r="AG8" s="15">
        <f t="shared" si="7"/>
        <v>0.94314040350752804</v>
      </c>
      <c r="AH8" s="15">
        <f t="shared" si="8"/>
        <v>0</v>
      </c>
      <c r="AI8" s="15">
        <f t="shared" si="9"/>
        <v>1.4147106052612921</v>
      </c>
      <c r="AJ8" s="15">
        <f t="shared" si="10"/>
        <v>0</v>
      </c>
      <c r="AK8" s="15">
        <f t="shared" si="11"/>
        <v>0</v>
      </c>
      <c r="AL8" s="15">
        <f t="shared" si="12"/>
        <v>0</v>
      </c>
      <c r="AM8" s="15">
        <f t="shared" si="13"/>
        <v>0</v>
      </c>
      <c r="AN8" s="15">
        <f t="shared" si="14"/>
        <v>0</v>
      </c>
      <c r="AO8" s="15">
        <f t="shared" si="15"/>
        <v>0</v>
      </c>
      <c r="AP8" s="15">
        <f t="shared" si="16"/>
        <v>0</v>
      </c>
      <c r="AQ8" s="15">
        <f t="shared" si="17"/>
        <v>0</v>
      </c>
      <c r="AR8" s="15">
        <f t="shared" si="18"/>
        <v>0</v>
      </c>
      <c r="AS8" s="15">
        <f t="shared" si="19"/>
        <v>0</v>
      </c>
      <c r="AT8" s="15">
        <f t="shared" si="20"/>
        <v>0</v>
      </c>
      <c r="AU8" s="15">
        <f t="shared" si="21"/>
        <v>0</v>
      </c>
      <c r="AV8" s="5">
        <f t="shared" si="22"/>
        <v>10.374544438582809</v>
      </c>
      <c r="AW8" s="16"/>
      <c r="AX8" s="6">
        <v>17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2</v>
      </c>
      <c r="BF8" s="6">
        <v>0</v>
      </c>
      <c r="BG8" s="6">
        <v>3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7">
        <v>22</v>
      </c>
      <c r="BU8" s="16"/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2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9</v>
      </c>
      <c r="DT8" s="8">
        <v>0</v>
      </c>
      <c r="DU8" s="8">
        <v>0</v>
      </c>
      <c r="DV8" s="8">
        <v>3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1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9">
        <v>15</v>
      </c>
      <c r="GG8" s="3"/>
      <c r="GH8" s="10">
        <f t="shared" si="35"/>
        <v>0</v>
      </c>
      <c r="GI8" s="10">
        <f t="shared" si="35"/>
        <v>0</v>
      </c>
      <c r="GJ8" s="10">
        <f t="shared" si="35"/>
        <v>0</v>
      </c>
      <c r="GK8" s="10">
        <f t="shared" si="35"/>
        <v>0</v>
      </c>
      <c r="GL8" s="10">
        <f t="shared" si="35"/>
        <v>0</v>
      </c>
      <c r="GM8" s="10">
        <f t="shared" si="35"/>
        <v>0</v>
      </c>
      <c r="GN8" s="10">
        <f t="shared" si="35"/>
        <v>0</v>
      </c>
      <c r="GO8" s="10">
        <f t="shared" si="35"/>
        <v>0</v>
      </c>
      <c r="GP8" s="10">
        <f t="shared" si="35"/>
        <v>0</v>
      </c>
      <c r="GQ8" s="10">
        <f t="shared" si="35"/>
        <v>0</v>
      </c>
      <c r="GR8" s="10">
        <f t="shared" si="36"/>
        <v>0</v>
      </c>
      <c r="GS8" s="10">
        <f t="shared" si="36"/>
        <v>0</v>
      </c>
      <c r="GT8" s="10">
        <f t="shared" si="36"/>
        <v>0</v>
      </c>
      <c r="GU8" s="10">
        <f t="shared" si="36"/>
        <v>0</v>
      </c>
      <c r="GV8" s="10">
        <f t="shared" si="36"/>
        <v>0</v>
      </c>
      <c r="GW8" s="10">
        <f t="shared" si="36"/>
        <v>0</v>
      </c>
      <c r="GX8" s="10">
        <f t="shared" si="36"/>
        <v>0</v>
      </c>
      <c r="GY8" s="10">
        <f t="shared" si="36"/>
        <v>0</v>
      </c>
      <c r="GZ8" s="10">
        <f t="shared" si="36"/>
        <v>2.2666666666666666</v>
      </c>
      <c r="HA8" s="10">
        <f t="shared" si="36"/>
        <v>0</v>
      </c>
      <c r="HB8" s="10">
        <f t="shared" si="37"/>
        <v>0</v>
      </c>
      <c r="HC8" s="10">
        <f t="shared" si="37"/>
        <v>0</v>
      </c>
      <c r="HD8" s="10">
        <f t="shared" si="37"/>
        <v>0</v>
      </c>
      <c r="HE8" s="10">
        <f t="shared" si="37"/>
        <v>0</v>
      </c>
      <c r="HF8" s="10">
        <f t="shared" si="37"/>
        <v>0</v>
      </c>
      <c r="HG8" s="10">
        <f t="shared" si="37"/>
        <v>0</v>
      </c>
      <c r="HH8" s="10">
        <f t="shared" si="37"/>
        <v>0</v>
      </c>
      <c r="HI8" s="10">
        <f t="shared" si="37"/>
        <v>0</v>
      </c>
      <c r="HJ8" s="10">
        <f t="shared" si="37"/>
        <v>0</v>
      </c>
      <c r="HK8" s="10">
        <f t="shared" si="37"/>
        <v>0</v>
      </c>
      <c r="HL8" s="10">
        <f t="shared" si="38"/>
        <v>0</v>
      </c>
      <c r="HM8" s="10">
        <f t="shared" si="38"/>
        <v>0</v>
      </c>
      <c r="HN8" s="10">
        <f t="shared" si="38"/>
        <v>0</v>
      </c>
      <c r="HO8" s="10">
        <f t="shared" si="38"/>
        <v>0</v>
      </c>
      <c r="HP8" s="10">
        <f t="shared" si="38"/>
        <v>0</v>
      </c>
      <c r="HQ8" s="10">
        <f t="shared" si="38"/>
        <v>0</v>
      </c>
      <c r="HR8" s="10">
        <f t="shared" si="38"/>
        <v>0</v>
      </c>
      <c r="HS8" s="10">
        <f t="shared" si="38"/>
        <v>0</v>
      </c>
      <c r="HT8" s="10">
        <f t="shared" si="38"/>
        <v>0</v>
      </c>
      <c r="HU8" s="10">
        <f t="shared" si="38"/>
        <v>0</v>
      </c>
      <c r="HV8" s="10">
        <f t="shared" si="39"/>
        <v>0</v>
      </c>
      <c r="HW8" s="10">
        <f t="shared" si="39"/>
        <v>0</v>
      </c>
      <c r="HX8" s="10">
        <f t="shared" si="39"/>
        <v>0</v>
      </c>
      <c r="HY8" s="10">
        <f t="shared" si="39"/>
        <v>0</v>
      </c>
      <c r="HZ8" s="10">
        <f t="shared" si="39"/>
        <v>0</v>
      </c>
      <c r="IA8" s="10">
        <f t="shared" si="39"/>
        <v>0</v>
      </c>
      <c r="IB8" s="10">
        <f t="shared" si="39"/>
        <v>0</v>
      </c>
      <c r="IC8" s="10">
        <f t="shared" si="39"/>
        <v>0</v>
      </c>
      <c r="ID8" s="10">
        <f t="shared" si="39"/>
        <v>0</v>
      </c>
      <c r="IE8" s="10">
        <f t="shared" si="39"/>
        <v>10.199999999999999</v>
      </c>
      <c r="IF8" s="10">
        <f t="shared" si="40"/>
        <v>0</v>
      </c>
      <c r="IG8" s="10">
        <f t="shared" si="40"/>
        <v>0</v>
      </c>
      <c r="IH8" s="10">
        <f t="shared" si="40"/>
        <v>3.4000000000000004</v>
      </c>
      <c r="II8" s="10">
        <f t="shared" si="40"/>
        <v>0</v>
      </c>
      <c r="IJ8" s="10">
        <f t="shared" si="40"/>
        <v>0</v>
      </c>
      <c r="IK8" s="10">
        <f t="shared" si="40"/>
        <v>0</v>
      </c>
      <c r="IL8" s="10">
        <f t="shared" si="40"/>
        <v>0</v>
      </c>
      <c r="IM8" s="10">
        <f t="shared" si="40"/>
        <v>0</v>
      </c>
      <c r="IN8" s="10">
        <f t="shared" si="40"/>
        <v>0</v>
      </c>
      <c r="IO8" s="10">
        <f t="shared" si="40"/>
        <v>0</v>
      </c>
      <c r="IP8" s="10">
        <f t="shared" si="41"/>
        <v>0</v>
      </c>
      <c r="IQ8" s="10">
        <f t="shared" si="41"/>
        <v>0</v>
      </c>
      <c r="IR8" s="10">
        <f t="shared" si="41"/>
        <v>0</v>
      </c>
      <c r="IS8" s="10">
        <f t="shared" si="41"/>
        <v>0</v>
      </c>
      <c r="IT8" s="10">
        <f t="shared" si="41"/>
        <v>0</v>
      </c>
      <c r="IU8" s="10">
        <f t="shared" si="41"/>
        <v>0</v>
      </c>
      <c r="IV8" s="10">
        <f t="shared" si="41"/>
        <v>0</v>
      </c>
      <c r="IW8" s="10">
        <f t="shared" si="41"/>
        <v>0</v>
      </c>
      <c r="IX8" s="10">
        <f t="shared" si="41"/>
        <v>0</v>
      </c>
      <c r="IY8" s="10">
        <f t="shared" si="41"/>
        <v>0</v>
      </c>
      <c r="IZ8" s="10">
        <f t="shared" si="42"/>
        <v>0</v>
      </c>
      <c r="JA8" s="10">
        <f t="shared" si="42"/>
        <v>0</v>
      </c>
      <c r="JB8" s="10">
        <f t="shared" si="42"/>
        <v>0</v>
      </c>
      <c r="JC8" s="10">
        <f t="shared" si="42"/>
        <v>0</v>
      </c>
      <c r="JD8" s="10">
        <f t="shared" si="42"/>
        <v>0</v>
      </c>
      <c r="JE8" s="10">
        <f t="shared" si="42"/>
        <v>0</v>
      </c>
      <c r="JF8" s="10">
        <f t="shared" si="42"/>
        <v>0</v>
      </c>
      <c r="JG8" s="10">
        <v>0</v>
      </c>
      <c r="JH8" s="10">
        <f>(EV8/$GF8)*$AX8</f>
        <v>0</v>
      </c>
      <c r="JI8" s="10">
        <f t="shared" si="43"/>
        <v>0</v>
      </c>
      <c r="JJ8" s="10">
        <f t="shared" si="43"/>
        <v>0</v>
      </c>
      <c r="JK8" s="10">
        <f t="shared" si="43"/>
        <v>0</v>
      </c>
      <c r="JL8" s="10">
        <f t="shared" si="43"/>
        <v>0</v>
      </c>
      <c r="JM8" s="10">
        <f t="shared" si="43"/>
        <v>0</v>
      </c>
      <c r="JN8" s="10">
        <f t="shared" si="43"/>
        <v>0</v>
      </c>
      <c r="JO8" s="10">
        <f t="shared" si="43"/>
        <v>0</v>
      </c>
      <c r="JP8" s="10">
        <f t="shared" si="43"/>
        <v>0</v>
      </c>
      <c r="JQ8" s="10">
        <f t="shared" si="43"/>
        <v>0</v>
      </c>
      <c r="JR8" s="10">
        <f t="shared" si="43"/>
        <v>0</v>
      </c>
      <c r="JS8" s="10">
        <f t="shared" si="44"/>
        <v>0</v>
      </c>
      <c r="JT8" s="10">
        <f t="shared" si="44"/>
        <v>0</v>
      </c>
      <c r="JU8" s="10">
        <f t="shared" si="44"/>
        <v>0</v>
      </c>
      <c r="JV8" s="10">
        <f t="shared" si="44"/>
        <v>0</v>
      </c>
      <c r="JW8" s="10">
        <f t="shared" si="44"/>
        <v>0</v>
      </c>
      <c r="JX8" s="10">
        <f t="shared" si="44"/>
        <v>0</v>
      </c>
      <c r="JY8" s="10">
        <f t="shared" si="44"/>
        <v>0</v>
      </c>
      <c r="JZ8" s="10">
        <f t="shared" si="44"/>
        <v>0</v>
      </c>
      <c r="KA8" s="10">
        <f t="shared" si="44"/>
        <v>0</v>
      </c>
      <c r="KB8" s="10">
        <f t="shared" si="44"/>
        <v>0</v>
      </c>
      <c r="KC8" s="10">
        <f t="shared" si="45"/>
        <v>1.1333333333333333</v>
      </c>
      <c r="KD8" s="10">
        <f t="shared" si="45"/>
        <v>0</v>
      </c>
      <c r="KE8" s="10">
        <f t="shared" si="45"/>
        <v>0</v>
      </c>
      <c r="KF8" s="10">
        <f t="shared" si="45"/>
        <v>0</v>
      </c>
      <c r="KG8" s="10">
        <f t="shared" si="45"/>
        <v>0</v>
      </c>
      <c r="KH8" s="10">
        <f t="shared" si="45"/>
        <v>0</v>
      </c>
      <c r="KI8" s="10">
        <f t="shared" si="45"/>
        <v>0</v>
      </c>
      <c r="KJ8" s="10">
        <f t="shared" si="45"/>
        <v>0</v>
      </c>
      <c r="KK8" s="10">
        <f t="shared" si="45"/>
        <v>0</v>
      </c>
      <c r="KL8" s="10">
        <f t="shared" si="45"/>
        <v>0</v>
      </c>
      <c r="KM8" s="10">
        <f t="shared" si="46"/>
        <v>0</v>
      </c>
      <c r="KN8" s="10">
        <f t="shared" si="46"/>
        <v>0</v>
      </c>
      <c r="KO8" s="10">
        <f t="shared" si="46"/>
        <v>0</v>
      </c>
      <c r="KP8" s="10">
        <f t="shared" si="46"/>
        <v>0</v>
      </c>
      <c r="KQ8" s="11">
        <v>17</v>
      </c>
      <c r="KR8" s="16"/>
      <c r="KS8" s="12">
        <v>21.205750411731103</v>
      </c>
      <c r="KT8" s="26"/>
      <c r="KU8" s="26"/>
      <c r="KV8" s="26"/>
      <c r="KW8" s="26">
        <v>-13.82</v>
      </c>
      <c r="KX8" s="26">
        <v>11.29</v>
      </c>
      <c r="KY8" s="27">
        <v>3.1482308621824306</v>
      </c>
      <c r="KZ8" s="27">
        <v>3.672499115668264</v>
      </c>
      <c r="LA8" s="17"/>
      <c r="LB8" s="2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28"/>
      <c r="ML8" t="s">
        <v>825</v>
      </c>
      <c r="MM8" t="s">
        <v>277</v>
      </c>
      <c r="MN8" t="s">
        <v>232</v>
      </c>
      <c r="MO8" t="s">
        <v>233</v>
      </c>
      <c r="MP8" t="s">
        <v>234</v>
      </c>
      <c r="MQ8" t="s">
        <v>235</v>
      </c>
      <c r="MR8">
        <v>1</v>
      </c>
      <c r="MS8" t="s">
        <v>278</v>
      </c>
      <c r="MT8" t="s">
        <v>279</v>
      </c>
      <c r="MU8" t="s">
        <v>280</v>
      </c>
      <c r="MV8">
        <v>22</v>
      </c>
      <c r="MW8" s="13">
        <v>441</v>
      </c>
      <c r="MX8" s="13" t="s">
        <v>281</v>
      </c>
      <c r="MY8" t="s">
        <v>240</v>
      </c>
      <c r="MZ8" t="s">
        <v>241</v>
      </c>
      <c r="NA8" t="s">
        <v>242</v>
      </c>
      <c r="NB8" t="s">
        <v>282</v>
      </c>
      <c r="ND8" s="18">
        <v>43281</v>
      </c>
      <c r="NE8" s="19">
        <v>0.1423611111111111</v>
      </c>
      <c r="NF8" t="s">
        <v>244</v>
      </c>
      <c r="NG8" t="s">
        <v>283</v>
      </c>
      <c r="NH8" t="s">
        <v>246</v>
      </c>
      <c r="NI8">
        <v>92</v>
      </c>
      <c r="NJ8" t="s">
        <v>244</v>
      </c>
      <c r="NK8">
        <v>2</v>
      </c>
      <c r="NL8" t="s">
        <v>248</v>
      </c>
      <c r="NM8">
        <v>29.648520000000001</v>
      </c>
      <c r="NN8">
        <v>-84.891220000000004</v>
      </c>
      <c r="NO8" t="s">
        <v>248</v>
      </c>
      <c r="NP8" t="s">
        <v>284</v>
      </c>
      <c r="NQ8" t="s">
        <v>244</v>
      </c>
      <c r="NR8" t="s">
        <v>247</v>
      </c>
      <c r="NS8">
        <v>982000410609779</v>
      </c>
      <c r="NT8" t="s">
        <v>244</v>
      </c>
      <c r="NU8" t="s">
        <v>244</v>
      </c>
      <c r="NV8" t="s">
        <v>248</v>
      </c>
      <c r="NW8" t="s">
        <v>279</v>
      </c>
      <c r="NX8" t="s">
        <v>280</v>
      </c>
      <c r="NY8">
        <v>86.65</v>
      </c>
      <c r="NZ8">
        <v>85</v>
      </c>
      <c r="OA8">
        <v>79.75</v>
      </c>
      <c r="OB8" s="14">
        <v>21.205750411731103</v>
      </c>
      <c r="OC8" t="s">
        <v>248</v>
      </c>
      <c r="OD8" t="s">
        <v>247</v>
      </c>
      <c r="OE8" t="s">
        <v>248</v>
      </c>
      <c r="OF8" t="s">
        <v>285</v>
      </c>
      <c r="OG8" t="s">
        <v>247</v>
      </c>
      <c r="ON8">
        <v>-13.82</v>
      </c>
      <c r="OO8">
        <v>11.29</v>
      </c>
      <c r="OP8" s="25">
        <v>3.1482308621824306</v>
      </c>
      <c r="OQ8" s="25">
        <v>3.672499115668264</v>
      </c>
      <c r="OR8" t="s">
        <v>911</v>
      </c>
      <c r="OS8" t="s">
        <v>909</v>
      </c>
    </row>
    <row r="9" spans="1:409" x14ac:dyDescent="0.25">
      <c r="A9" s="14">
        <v>8</v>
      </c>
      <c r="B9" s="1">
        <v>21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53</v>
      </c>
      <c r="X9" s="2">
        <v>76</v>
      </c>
      <c r="Y9" s="3"/>
      <c r="Z9" s="15">
        <f t="shared" si="0"/>
        <v>9.9029742368290439</v>
      </c>
      <c r="AA9" s="15">
        <f t="shared" si="1"/>
        <v>0</v>
      </c>
      <c r="AB9" s="15">
        <f t="shared" si="2"/>
        <v>0</v>
      </c>
      <c r="AC9" s="15">
        <f t="shared" si="3"/>
        <v>0</v>
      </c>
      <c r="AD9" s="15">
        <f t="shared" si="4"/>
        <v>0</v>
      </c>
      <c r="AE9" s="15">
        <f t="shared" si="5"/>
        <v>0</v>
      </c>
      <c r="AF9" s="15">
        <f t="shared" si="6"/>
        <v>0</v>
      </c>
      <c r="AG9" s="15">
        <f t="shared" si="7"/>
        <v>0.94314040350752804</v>
      </c>
      <c r="AH9" s="15">
        <f t="shared" si="8"/>
        <v>0</v>
      </c>
      <c r="AI9" s="15">
        <f t="shared" si="9"/>
        <v>0</v>
      </c>
      <c r="AJ9" s="15">
        <f t="shared" si="10"/>
        <v>0</v>
      </c>
      <c r="AK9" s="15">
        <f t="shared" si="11"/>
        <v>0</v>
      </c>
      <c r="AL9" s="15">
        <f t="shared" si="12"/>
        <v>0</v>
      </c>
      <c r="AM9" s="15">
        <f t="shared" si="13"/>
        <v>0</v>
      </c>
      <c r="AN9" s="15">
        <f t="shared" si="14"/>
        <v>0</v>
      </c>
      <c r="AO9" s="15">
        <f t="shared" si="15"/>
        <v>0</v>
      </c>
      <c r="AP9" s="15">
        <f t="shared" si="16"/>
        <v>0</v>
      </c>
      <c r="AQ9" s="15">
        <f t="shared" si="17"/>
        <v>0</v>
      </c>
      <c r="AR9" s="15">
        <f t="shared" si="18"/>
        <v>0</v>
      </c>
      <c r="AS9" s="15">
        <f t="shared" si="19"/>
        <v>0</v>
      </c>
      <c r="AT9" s="15">
        <f t="shared" si="20"/>
        <v>0</v>
      </c>
      <c r="AU9" s="15">
        <f t="shared" si="21"/>
        <v>24.993220692949492</v>
      </c>
      <c r="AV9" s="5">
        <f t="shared" si="22"/>
        <v>35.839335333286058</v>
      </c>
      <c r="AW9" s="16"/>
      <c r="AX9" s="6">
        <v>21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2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53</v>
      </c>
      <c r="BT9" s="7">
        <v>76</v>
      </c>
      <c r="BU9" s="16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9"/>
      <c r="GG9" s="3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1"/>
      <c r="KR9" s="16"/>
      <c r="KS9" s="12">
        <v>21.205750411731103</v>
      </c>
      <c r="KT9" s="26"/>
      <c r="KU9" s="26"/>
      <c r="KV9" s="26"/>
      <c r="KW9" s="26">
        <v>-13.82</v>
      </c>
      <c r="KX9" s="26">
        <v>11.29</v>
      </c>
      <c r="KY9" s="27">
        <v>3.1482308621824306</v>
      </c>
      <c r="KZ9" s="27">
        <v>3.672499115668264</v>
      </c>
      <c r="LA9" s="17"/>
      <c r="LB9" s="2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28"/>
      <c r="ML9" t="s">
        <v>826</v>
      </c>
      <c r="MM9" t="s">
        <v>277</v>
      </c>
      <c r="MN9" t="s">
        <v>232</v>
      </c>
      <c r="MO9" t="s">
        <v>257</v>
      </c>
      <c r="MP9" t="s">
        <v>258</v>
      </c>
      <c r="MQ9" t="s">
        <v>259</v>
      </c>
      <c r="MR9">
        <v>1</v>
      </c>
      <c r="MS9" t="s">
        <v>278</v>
      </c>
      <c r="MT9" t="s">
        <v>279</v>
      </c>
      <c r="MU9" t="s">
        <v>280</v>
      </c>
      <c r="MV9">
        <v>76</v>
      </c>
      <c r="MW9" s="13">
        <v>441</v>
      </c>
      <c r="MX9" s="13" t="s">
        <v>281</v>
      </c>
      <c r="MY9" t="s">
        <v>240</v>
      </c>
      <c r="MZ9" t="s">
        <v>241</v>
      </c>
      <c r="NA9" t="s">
        <v>242</v>
      </c>
      <c r="NB9" t="s">
        <v>282</v>
      </c>
      <c r="ND9" s="18">
        <v>43281</v>
      </c>
      <c r="NE9" s="19">
        <v>0.1423611111111111</v>
      </c>
      <c r="NF9" t="s">
        <v>244</v>
      </c>
      <c r="NG9" t="s">
        <v>283</v>
      </c>
      <c r="NH9" t="s">
        <v>246</v>
      </c>
      <c r="NI9">
        <v>92</v>
      </c>
      <c r="NJ9" t="s">
        <v>244</v>
      </c>
      <c r="NK9">
        <v>2</v>
      </c>
      <c r="NL9" t="s">
        <v>248</v>
      </c>
      <c r="NM9">
        <v>29.648520000000001</v>
      </c>
      <c r="NN9">
        <v>-84.891220000000004</v>
      </c>
      <c r="NO9" t="s">
        <v>248</v>
      </c>
      <c r="NP9" t="s">
        <v>284</v>
      </c>
      <c r="NQ9" t="s">
        <v>244</v>
      </c>
      <c r="NR9" t="s">
        <v>247</v>
      </c>
      <c r="NS9">
        <v>982000410609779</v>
      </c>
      <c r="NT9" t="s">
        <v>244</v>
      </c>
      <c r="NU9" t="s">
        <v>244</v>
      </c>
      <c r="NV9" t="s">
        <v>248</v>
      </c>
      <c r="NW9" t="s">
        <v>279</v>
      </c>
      <c r="NX9" t="s">
        <v>280</v>
      </c>
      <c r="NY9">
        <v>86.65</v>
      </c>
      <c r="NZ9">
        <v>85</v>
      </c>
      <c r="OA9">
        <v>79.75</v>
      </c>
      <c r="OB9" s="14">
        <v>21.205750411731103</v>
      </c>
      <c r="OC9" t="s">
        <v>248</v>
      </c>
      <c r="OD9" t="s">
        <v>247</v>
      </c>
      <c r="OE9" t="s">
        <v>248</v>
      </c>
      <c r="OF9" t="s">
        <v>285</v>
      </c>
      <c r="OG9" t="s">
        <v>247</v>
      </c>
      <c r="ON9">
        <v>-13.82</v>
      </c>
      <c r="OO9">
        <v>11.29</v>
      </c>
      <c r="OP9" s="25">
        <v>3.1482308621824306</v>
      </c>
      <c r="OQ9" s="25">
        <v>3.672499115668264</v>
      </c>
      <c r="OR9" t="s">
        <v>912</v>
      </c>
      <c r="OS9" t="s">
        <v>912</v>
      </c>
    </row>
    <row r="10" spans="1:409" x14ac:dyDescent="0.25">
      <c r="A10" s="14">
        <v>9</v>
      </c>
      <c r="B10" s="1">
        <v>24</v>
      </c>
      <c r="C10" s="1">
        <v>1</v>
      </c>
      <c r="D10" s="1">
        <v>0</v>
      </c>
      <c r="E10" s="1">
        <v>13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94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2">
        <v>147</v>
      </c>
      <c r="Y10" s="3"/>
      <c r="Z10" s="15">
        <f t="shared" si="0"/>
        <v>11.317684842090337</v>
      </c>
      <c r="AA10" s="15">
        <f t="shared" si="1"/>
        <v>0.47157020175376402</v>
      </c>
      <c r="AB10" s="15">
        <f t="shared" si="2"/>
        <v>0</v>
      </c>
      <c r="AC10" s="15">
        <f t="shared" si="3"/>
        <v>6.1304126227989322</v>
      </c>
      <c r="AD10" s="15">
        <f t="shared" si="4"/>
        <v>0</v>
      </c>
      <c r="AE10" s="15">
        <f t="shared" si="5"/>
        <v>0</v>
      </c>
      <c r="AF10" s="15">
        <f t="shared" si="6"/>
        <v>0</v>
      </c>
      <c r="AG10" s="15">
        <f t="shared" si="7"/>
        <v>0</v>
      </c>
      <c r="AH10" s="15">
        <f t="shared" si="8"/>
        <v>0</v>
      </c>
      <c r="AI10" s="15">
        <f t="shared" si="9"/>
        <v>44.32759896485382</v>
      </c>
      <c r="AJ10" s="15">
        <f t="shared" si="10"/>
        <v>0</v>
      </c>
      <c r="AK10" s="15">
        <f t="shared" si="11"/>
        <v>0</v>
      </c>
      <c r="AL10" s="15">
        <f t="shared" si="12"/>
        <v>0</v>
      </c>
      <c r="AM10" s="15">
        <f t="shared" si="13"/>
        <v>0</v>
      </c>
      <c r="AN10" s="15">
        <f t="shared" si="14"/>
        <v>0</v>
      </c>
      <c r="AO10" s="15">
        <f t="shared" si="15"/>
        <v>0</v>
      </c>
      <c r="AP10" s="15">
        <f t="shared" si="16"/>
        <v>7.0735530263064597</v>
      </c>
      <c r="AQ10" s="15">
        <f t="shared" si="17"/>
        <v>0</v>
      </c>
      <c r="AR10" s="15">
        <f t="shared" si="18"/>
        <v>0</v>
      </c>
      <c r="AS10" s="15">
        <f t="shared" si="19"/>
        <v>0</v>
      </c>
      <c r="AT10" s="15">
        <f t="shared" si="20"/>
        <v>0</v>
      </c>
      <c r="AU10" s="15">
        <f t="shared" si="21"/>
        <v>0</v>
      </c>
      <c r="AV10" s="5">
        <f t="shared" si="22"/>
        <v>69.320819657803298</v>
      </c>
      <c r="AW10" s="16"/>
      <c r="AX10" s="6">
        <v>24</v>
      </c>
      <c r="AY10" s="6">
        <v>1</v>
      </c>
      <c r="AZ10" s="6">
        <v>0</v>
      </c>
      <c r="BA10" s="6">
        <v>13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94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15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7">
        <v>147</v>
      </c>
      <c r="BU10" s="16"/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1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1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18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1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9">
        <v>21</v>
      </c>
      <c r="GG10" s="3"/>
      <c r="GH10" s="10">
        <f t="shared" ref="GH10:GQ15" si="47">(BV10/$GF10)*$AX10</f>
        <v>0</v>
      </c>
      <c r="GI10" s="10">
        <f t="shared" si="47"/>
        <v>0</v>
      </c>
      <c r="GJ10" s="10">
        <f t="shared" si="47"/>
        <v>0</v>
      </c>
      <c r="GK10" s="10">
        <f t="shared" si="47"/>
        <v>0</v>
      </c>
      <c r="GL10" s="10">
        <f t="shared" si="47"/>
        <v>0</v>
      </c>
      <c r="GM10" s="10">
        <f t="shared" si="47"/>
        <v>0</v>
      </c>
      <c r="GN10" s="10">
        <f t="shared" si="47"/>
        <v>0</v>
      </c>
      <c r="GO10" s="10">
        <f t="shared" si="47"/>
        <v>1.1428571428571428</v>
      </c>
      <c r="GP10" s="10">
        <f t="shared" si="47"/>
        <v>0</v>
      </c>
      <c r="GQ10" s="10">
        <f t="shared" si="47"/>
        <v>0</v>
      </c>
      <c r="GR10" s="10">
        <f t="shared" ref="GR10:HA15" si="48">(CF10/$GF10)*$AX10</f>
        <v>0</v>
      </c>
      <c r="GS10" s="10">
        <f t="shared" si="48"/>
        <v>0</v>
      </c>
      <c r="GT10" s="10">
        <f t="shared" si="48"/>
        <v>0</v>
      </c>
      <c r="GU10" s="10">
        <f t="shared" si="48"/>
        <v>0</v>
      </c>
      <c r="GV10" s="10">
        <f t="shared" si="48"/>
        <v>0</v>
      </c>
      <c r="GW10" s="10">
        <f t="shared" si="48"/>
        <v>0</v>
      </c>
      <c r="GX10" s="10">
        <f t="shared" si="48"/>
        <v>0</v>
      </c>
      <c r="GY10" s="10">
        <f t="shared" si="48"/>
        <v>0</v>
      </c>
      <c r="GZ10" s="10">
        <f t="shared" si="48"/>
        <v>0</v>
      </c>
      <c r="HA10" s="10">
        <f t="shared" si="48"/>
        <v>0</v>
      </c>
      <c r="HB10" s="10">
        <f t="shared" ref="HB10:HK15" si="49">(CP10/$GF10)*$AX10</f>
        <v>0</v>
      </c>
      <c r="HC10" s="10">
        <f t="shared" si="49"/>
        <v>0</v>
      </c>
      <c r="HD10" s="10">
        <f t="shared" si="49"/>
        <v>0</v>
      </c>
      <c r="HE10" s="10">
        <f t="shared" si="49"/>
        <v>1.1428571428571428</v>
      </c>
      <c r="HF10" s="10">
        <f t="shared" si="49"/>
        <v>0</v>
      </c>
      <c r="HG10" s="10">
        <f t="shared" si="49"/>
        <v>0</v>
      </c>
      <c r="HH10" s="10">
        <f t="shared" si="49"/>
        <v>0</v>
      </c>
      <c r="HI10" s="10">
        <f t="shared" si="49"/>
        <v>0</v>
      </c>
      <c r="HJ10" s="10">
        <f t="shared" si="49"/>
        <v>0</v>
      </c>
      <c r="HK10" s="10">
        <f t="shared" si="49"/>
        <v>0</v>
      </c>
      <c r="HL10" s="10">
        <f t="shared" ref="HL10:HU15" si="50">(CZ10/$GF10)*$AX10</f>
        <v>0</v>
      </c>
      <c r="HM10" s="10">
        <f t="shared" si="50"/>
        <v>0</v>
      </c>
      <c r="HN10" s="10">
        <f t="shared" si="50"/>
        <v>0</v>
      </c>
      <c r="HO10" s="10">
        <f t="shared" si="50"/>
        <v>0</v>
      </c>
      <c r="HP10" s="10">
        <f t="shared" si="50"/>
        <v>0</v>
      </c>
      <c r="HQ10" s="10">
        <f t="shared" si="50"/>
        <v>0</v>
      </c>
      <c r="HR10" s="10">
        <f t="shared" si="50"/>
        <v>0</v>
      </c>
      <c r="HS10" s="10">
        <f t="shared" si="50"/>
        <v>0</v>
      </c>
      <c r="HT10" s="10">
        <f t="shared" si="50"/>
        <v>0</v>
      </c>
      <c r="HU10" s="10">
        <f t="shared" si="50"/>
        <v>0</v>
      </c>
      <c r="HV10" s="10">
        <f t="shared" ref="HV10:IE15" si="51">(DJ10/$GF10)*$AX10</f>
        <v>0</v>
      </c>
      <c r="HW10" s="10">
        <f t="shared" si="51"/>
        <v>0</v>
      </c>
      <c r="HX10" s="10">
        <f t="shared" si="51"/>
        <v>0</v>
      </c>
      <c r="HY10" s="10">
        <f t="shared" si="51"/>
        <v>0</v>
      </c>
      <c r="HZ10" s="10">
        <f t="shared" si="51"/>
        <v>0</v>
      </c>
      <c r="IA10" s="10">
        <f t="shared" si="51"/>
        <v>0</v>
      </c>
      <c r="IB10" s="10">
        <f t="shared" si="51"/>
        <v>0</v>
      </c>
      <c r="IC10" s="10">
        <f t="shared" si="51"/>
        <v>0</v>
      </c>
      <c r="ID10" s="10">
        <f t="shared" si="51"/>
        <v>0</v>
      </c>
      <c r="IE10" s="10">
        <f t="shared" si="51"/>
        <v>20.571428571428569</v>
      </c>
      <c r="IF10" s="10">
        <f t="shared" ref="IF10:IO15" si="52">(DT10/$GF10)*$AX10</f>
        <v>0</v>
      </c>
      <c r="IG10" s="10">
        <f t="shared" si="52"/>
        <v>0</v>
      </c>
      <c r="IH10" s="10">
        <f t="shared" si="52"/>
        <v>0</v>
      </c>
      <c r="II10" s="10">
        <f t="shared" si="52"/>
        <v>0</v>
      </c>
      <c r="IJ10" s="10">
        <f t="shared" si="52"/>
        <v>0</v>
      </c>
      <c r="IK10" s="10">
        <f t="shared" si="52"/>
        <v>0</v>
      </c>
      <c r="IL10" s="10">
        <f t="shared" si="52"/>
        <v>0</v>
      </c>
      <c r="IM10" s="10">
        <f t="shared" si="52"/>
        <v>0</v>
      </c>
      <c r="IN10" s="10">
        <f t="shared" si="52"/>
        <v>0</v>
      </c>
      <c r="IO10" s="10">
        <f t="shared" si="52"/>
        <v>0</v>
      </c>
      <c r="IP10" s="10">
        <f t="shared" ref="IP10:IY15" si="53">(ED10/$GF10)*$AX10</f>
        <v>0</v>
      </c>
      <c r="IQ10" s="10">
        <f t="shared" si="53"/>
        <v>0</v>
      </c>
      <c r="IR10" s="10">
        <f t="shared" si="53"/>
        <v>1.1428571428571428</v>
      </c>
      <c r="IS10" s="10">
        <f t="shared" si="53"/>
        <v>0</v>
      </c>
      <c r="IT10" s="10">
        <f t="shared" si="53"/>
        <v>0</v>
      </c>
      <c r="IU10" s="10">
        <f t="shared" si="53"/>
        <v>0</v>
      </c>
      <c r="IV10" s="10">
        <f t="shared" si="53"/>
        <v>0</v>
      </c>
      <c r="IW10" s="10">
        <f t="shared" si="53"/>
        <v>0</v>
      </c>
      <c r="IX10" s="10">
        <f t="shared" si="53"/>
        <v>0</v>
      </c>
      <c r="IY10" s="10">
        <f t="shared" si="53"/>
        <v>0</v>
      </c>
      <c r="IZ10" s="10">
        <f t="shared" ref="IZ10:JF15" si="54">(EN10/$GF10)*$AX10</f>
        <v>0</v>
      </c>
      <c r="JA10" s="10">
        <f t="shared" si="54"/>
        <v>0</v>
      </c>
      <c r="JB10" s="10">
        <f t="shared" si="54"/>
        <v>0</v>
      </c>
      <c r="JC10" s="10">
        <f t="shared" si="54"/>
        <v>0</v>
      </c>
      <c r="JD10" s="10">
        <f t="shared" si="54"/>
        <v>0</v>
      </c>
      <c r="JE10" s="10">
        <f t="shared" si="54"/>
        <v>0</v>
      </c>
      <c r="JF10" s="10">
        <f t="shared" si="54"/>
        <v>0</v>
      </c>
      <c r="JG10" s="10">
        <v>0</v>
      </c>
      <c r="JH10" s="10">
        <f t="shared" ref="JH10:JH15" si="55">(EV10/$GF10)*$AX10</f>
        <v>0</v>
      </c>
      <c r="JI10" s="10">
        <f t="shared" ref="JI10:JR15" si="56">(EX10/$GF10)*$AX10</f>
        <v>0</v>
      </c>
      <c r="JJ10" s="10">
        <f t="shared" si="56"/>
        <v>0</v>
      </c>
      <c r="JK10" s="10">
        <f t="shared" si="56"/>
        <v>0</v>
      </c>
      <c r="JL10" s="10">
        <f t="shared" si="56"/>
        <v>0</v>
      </c>
      <c r="JM10" s="10">
        <f t="shared" si="56"/>
        <v>0</v>
      </c>
      <c r="JN10" s="10">
        <f t="shared" si="56"/>
        <v>0</v>
      </c>
      <c r="JO10" s="10">
        <f t="shared" si="56"/>
        <v>0</v>
      </c>
      <c r="JP10" s="10">
        <f t="shared" si="56"/>
        <v>0</v>
      </c>
      <c r="JQ10" s="10">
        <f t="shared" si="56"/>
        <v>0</v>
      </c>
      <c r="JR10" s="10">
        <f t="shared" si="56"/>
        <v>0</v>
      </c>
      <c r="JS10" s="10">
        <f t="shared" ref="JS10:KB15" si="57">(FH10/$GF10)*$AX10</f>
        <v>0</v>
      </c>
      <c r="JT10" s="10">
        <f t="shared" si="57"/>
        <v>0</v>
      </c>
      <c r="JU10" s="10">
        <f t="shared" si="57"/>
        <v>0</v>
      </c>
      <c r="JV10" s="10">
        <f t="shared" si="57"/>
        <v>0</v>
      </c>
      <c r="JW10" s="10">
        <f t="shared" si="57"/>
        <v>0</v>
      </c>
      <c r="JX10" s="10">
        <f t="shared" si="57"/>
        <v>0</v>
      </c>
      <c r="JY10" s="10">
        <f t="shared" si="57"/>
        <v>0</v>
      </c>
      <c r="JZ10" s="10">
        <f t="shared" si="57"/>
        <v>0</v>
      </c>
      <c r="KA10" s="10">
        <f t="shared" si="57"/>
        <v>0</v>
      </c>
      <c r="KB10" s="10">
        <f t="shared" si="57"/>
        <v>0</v>
      </c>
      <c r="KC10" s="10">
        <f t="shared" ref="KC10:KL15" si="58">(FR10/$GF10)*$AX10</f>
        <v>0</v>
      </c>
      <c r="KD10" s="10">
        <f t="shared" si="58"/>
        <v>0</v>
      </c>
      <c r="KE10" s="10">
        <f t="shared" si="58"/>
        <v>0</v>
      </c>
      <c r="KF10" s="10">
        <f t="shared" si="58"/>
        <v>0</v>
      </c>
      <c r="KG10" s="10">
        <f t="shared" si="58"/>
        <v>0</v>
      </c>
      <c r="KH10" s="10">
        <f t="shared" si="58"/>
        <v>0</v>
      </c>
      <c r="KI10" s="10">
        <f t="shared" si="58"/>
        <v>0</v>
      </c>
      <c r="KJ10" s="10">
        <f t="shared" si="58"/>
        <v>0</v>
      </c>
      <c r="KK10" s="10">
        <f t="shared" si="58"/>
        <v>0</v>
      </c>
      <c r="KL10" s="10">
        <f t="shared" si="58"/>
        <v>0</v>
      </c>
      <c r="KM10" s="10">
        <f t="shared" ref="KM10:KP15" si="59">(GB10/$GF10)*$AX10</f>
        <v>0</v>
      </c>
      <c r="KN10" s="10">
        <f t="shared" si="59"/>
        <v>0</v>
      </c>
      <c r="KO10" s="10">
        <f t="shared" si="59"/>
        <v>0</v>
      </c>
      <c r="KP10" s="10">
        <f t="shared" si="59"/>
        <v>0</v>
      </c>
      <c r="KQ10" s="11">
        <v>23.999999999999996</v>
      </c>
      <c r="KR10" s="16"/>
      <c r="KS10" s="12">
        <v>21.205750411731103</v>
      </c>
      <c r="KT10" s="26"/>
      <c r="KU10" s="26"/>
      <c r="KV10" s="26"/>
      <c r="KW10" s="26">
        <v>-13.82</v>
      </c>
      <c r="KX10" s="26">
        <v>11.29</v>
      </c>
      <c r="KY10" s="27">
        <v>3.1482308621824306</v>
      </c>
      <c r="KZ10" s="27">
        <v>3.672499115668264</v>
      </c>
      <c r="LA10" s="17"/>
      <c r="LB10" s="2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28"/>
      <c r="ML10" t="s">
        <v>827</v>
      </c>
      <c r="MM10" t="s">
        <v>278</v>
      </c>
      <c r="MN10" t="s">
        <v>232</v>
      </c>
      <c r="MO10" t="s">
        <v>253</v>
      </c>
      <c r="MP10" t="s">
        <v>254</v>
      </c>
      <c r="MQ10" t="s">
        <v>255</v>
      </c>
      <c r="MR10">
        <v>1</v>
      </c>
      <c r="MS10" t="s">
        <v>278</v>
      </c>
      <c r="MT10" t="s">
        <v>279</v>
      </c>
      <c r="MU10" t="s">
        <v>280</v>
      </c>
      <c r="MV10">
        <v>147</v>
      </c>
      <c r="MW10" s="13">
        <v>441</v>
      </c>
      <c r="MX10" s="13" t="s">
        <v>281</v>
      </c>
      <c r="MY10" t="s">
        <v>240</v>
      </c>
      <c r="MZ10" t="s">
        <v>241</v>
      </c>
      <c r="NA10" t="s">
        <v>242</v>
      </c>
      <c r="NB10" t="s">
        <v>282</v>
      </c>
      <c r="ND10" s="18">
        <v>43281</v>
      </c>
      <c r="NE10" s="19">
        <v>0.1423611111111111</v>
      </c>
      <c r="NF10" t="s">
        <v>244</v>
      </c>
      <c r="NG10" t="s">
        <v>283</v>
      </c>
      <c r="NH10" t="s">
        <v>246</v>
      </c>
      <c r="NI10">
        <v>92</v>
      </c>
      <c r="NJ10" t="s">
        <v>244</v>
      </c>
      <c r="NK10">
        <v>2</v>
      </c>
      <c r="NL10" t="s">
        <v>248</v>
      </c>
      <c r="NM10">
        <v>29.648520000000001</v>
      </c>
      <c r="NN10">
        <v>-84.891220000000004</v>
      </c>
      <c r="NO10" t="s">
        <v>248</v>
      </c>
      <c r="NP10" t="s">
        <v>284</v>
      </c>
      <c r="NQ10" t="s">
        <v>244</v>
      </c>
      <c r="NR10" t="s">
        <v>247</v>
      </c>
      <c r="NS10">
        <v>982000410609779</v>
      </c>
      <c r="NT10" t="s">
        <v>244</v>
      </c>
      <c r="NU10" t="s">
        <v>244</v>
      </c>
      <c r="NV10" t="s">
        <v>248</v>
      </c>
      <c r="NW10" t="s">
        <v>279</v>
      </c>
      <c r="NX10" t="s">
        <v>280</v>
      </c>
      <c r="NY10">
        <v>86.65</v>
      </c>
      <c r="NZ10">
        <v>85</v>
      </c>
      <c r="OA10">
        <v>79.75</v>
      </c>
      <c r="OB10" s="14">
        <v>21.205750411731103</v>
      </c>
      <c r="OC10" t="s">
        <v>248</v>
      </c>
      <c r="OD10" t="s">
        <v>247</v>
      </c>
      <c r="OE10" t="s">
        <v>248</v>
      </c>
      <c r="OF10" t="s">
        <v>285</v>
      </c>
      <c r="OG10" t="s">
        <v>247</v>
      </c>
      <c r="ON10">
        <v>-13.82</v>
      </c>
      <c r="OO10">
        <v>11.29</v>
      </c>
      <c r="OP10" s="25">
        <v>3.1482308621824306</v>
      </c>
      <c r="OQ10" s="25">
        <v>3.672499115668264</v>
      </c>
      <c r="OR10" t="s">
        <v>912</v>
      </c>
      <c r="OS10" t="s">
        <v>912</v>
      </c>
    </row>
    <row r="11" spans="1:409" x14ac:dyDescent="0.25">
      <c r="A11" s="14">
        <v>10</v>
      </c>
      <c r="B11" s="1">
        <v>68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2">
        <v>78</v>
      </c>
      <c r="Y11" s="3"/>
      <c r="Z11" s="15">
        <f t="shared" si="0"/>
        <v>32.066773719255949</v>
      </c>
      <c r="AA11" s="15">
        <f t="shared" si="1"/>
        <v>0</v>
      </c>
      <c r="AB11" s="15">
        <f t="shared" si="2"/>
        <v>0</v>
      </c>
      <c r="AC11" s="15">
        <f t="shared" si="3"/>
        <v>0</v>
      </c>
      <c r="AD11" s="15">
        <f t="shared" si="4"/>
        <v>0</v>
      </c>
      <c r="AE11" s="15">
        <f t="shared" si="5"/>
        <v>0</v>
      </c>
      <c r="AF11" s="15">
        <f t="shared" si="6"/>
        <v>0</v>
      </c>
      <c r="AG11" s="15">
        <f t="shared" si="7"/>
        <v>0</v>
      </c>
      <c r="AH11" s="15">
        <f t="shared" si="8"/>
        <v>0</v>
      </c>
      <c r="AI11" s="15">
        <f t="shared" si="9"/>
        <v>4.7157020175376401</v>
      </c>
      <c r="AJ11" s="15">
        <f t="shared" si="10"/>
        <v>0</v>
      </c>
      <c r="AK11" s="15">
        <f t="shared" si="11"/>
        <v>0</v>
      </c>
      <c r="AL11" s="15">
        <f t="shared" si="12"/>
        <v>0</v>
      </c>
      <c r="AM11" s="15">
        <f t="shared" si="13"/>
        <v>0</v>
      </c>
      <c r="AN11" s="15">
        <f t="shared" si="14"/>
        <v>0</v>
      </c>
      <c r="AO11" s="15">
        <f t="shared" si="15"/>
        <v>0</v>
      </c>
      <c r="AP11" s="15">
        <f t="shared" si="16"/>
        <v>0</v>
      </c>
      <c r="AQ11" s="15">
        <f t="shared" si="17"/>
        <v>0</v>
      </c>
      <c r="AR11" s="15">
        <f t="shared" si="18"/>
        <v>0</v>
      </c>
      <c r="AS11" s="15">
        <f t="shared" si="19"/>
        <v>0</v>
      </c>
      <c r="AT11" s="15">
        <f t="shared" si="20"/>
        <v>0</v>
      </c>
      <c r="AU11" s="15">
        <f t="shared" si="21"/>
        <v>0</v>
      </c>
      <c r="AV11" s="5">
        <f t="shared" si="22"/>
        <v>36.782475736793586</v>
      </c>
      <c r="AW11" s="16"/>
      <c r="AX11" s="6">
        <v>68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10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7">
        <v>78</v>
      </c>
      <c r="BU11" s="16"/>
      <c r="BV11" s="8">
        <v>0</v>
      </c>
      <c r="BW11" s="8">
        <v>0</v>
      </c>
      <c r="BX11" s="8">
        <v>0</v>
      </c>
      <c r="BY11" s="8">
        <v>4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8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25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1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1</v>
      </c>
      <c r="FV11" s="8">
        <v>0</v>
      </c>
      <c r="FW11" s="8">
        <v>0</v>
      </c>
      <c r="FX11" s="8">
        <v>0</v>
      </c>
      <c r="FY11" s="8">
        <v>1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9">
        <v>40</v>
      </c>
      <c r="GG11" s="3"/>
      <c r="GH11" s="10">
        <f t="shared" si="47"/>
        <v>0</v>
      </c>
      <c r="GI11" s="10">
        <f t="shared" si="47"/>
        <v>0</v>
      </c>
      <c r="GJ11" s="10">
        <f t="shared" si="47"/>
        <v>0</v>
      </c>
      <c r="GK11" s="10">
        <f t="shared" si="47"/>
        <v>6.8000000000000007</v>
      </c>
      <c r="GL11" s="10">
        <f t="shared" si="47"/>
        <v>0</v>
      </c>
      <c r="GM11" s="10">
        <f t="shared" si="47"/>
        <v>0</v>
      </c>
      <c r="GN11" s="10">
        <f t="shared" si="47"/>
        <v>0</v>
      </c>
      <c r="GO11" s="10">
        <f t="shared" si="47"/>
        <v>0</v>
      </c>
      <c r="GP11" s="10">
        <f t="shared" si="47"/>
        <v>0</v>
      </c>
      <c r="GQ11" s="10">
        <f t="shared" si="47"/>
        <v>0</v>
      </c>
      <c r="GR11" s="10">
        <f t="shared" si="48"/>
        <v>0</v>
      </c>
      <c r="GS11" s="10">
        <f t="shared" si="48"/>
        <v>0</v>
      </c>
      <c r="GT11" s="10">
        <f t="shared" si="48"/>
        <v>0</v>
      </c>
      <c r="GU11" s="10">
        <f t="shared" si="48"/>
        <v>0</v>
      </c>
      <c r="GV11" s="10">
        <f t="shared" si="48"/>
        <v>0</v>
      </c>
      <c r="GW11" s="10">
        <f t="shared" si="48"/>
        <v>0</v>
      </c>
      <c r="GX11" s="10">
        <f t="shared" si="48"/>
        <v>0</v>
      </c>
      <c r="GY11" s="10">
        <f t="shared" si="48"/>
        <v>0</v>
      </c>
      <c r="GZ11" s="10">
        <f t="shared" si="48"/>
        <v>0</v>
      </c>
      <c r="HA11" s="10">
        <f t="shared" si="48"/>
        <v>0</v>
      </c>
      <c r="HB11" s="10">
        <f t="shared" si="49"/>
        <v>0</v>
      </c>
      <c r="HC11" s="10">
        <f t="shared" si="49"/>
        <v>0</v>
      </c>
      <c r="HD11" s="10">
        <f t="shared" si="49"/>
        <v>0</v>
      </c>
      <c r="HE11" s="10">
        <f t="shared" si="49"/>
        <v>0</v>
      </c>
      <c r="HF11" s="10">
        <f t="shared" si="49"/>
        <v>0</v>
      </c>
      <c r="HG11" s="10">
        <f t="shared" si="49"/>
        <v>0</v>
      </c>
      <c r="HH11" s="10">
        <f t="shared" si="49"/>
        <v>0</v>
      </c>
      <c r="HI11" s="10">
        <f t="shared" si="49"/>
        <v>0</v>
      </c>
      <c r="HJ11" s="10">
        <f t="shared" si="49"/>
        <v>0</v>
      </c>
      <c r="HK11" s="10">
        <f t="shared" si="49"/>
        <v>0</v>
      </c>
      <c r="HL11" s="10">
        <f t="shared" si="50"/>
        <v>0</v>
      </c>
      <c r="HM11" s="10">
        <f t="shared" si="50"/>
        <v>0</v>
      </c>
      <c r="HN11" s="10">
        <f t="shared" si="50"/>
        <v>0</v>
      </c>
      <c r="HO11" s="10">
        <f t="shared" si="50"/>
        <v>0</v>
      </c>
      <c r="HP11" s="10">
        <f t="shared" si="50"/>
        <v>0</v>
      </c>
      <c r="HQ11" s="10">
        <f t="shared" si="50"/>
        <v>0</v>
      </c>
      <c r="HR11" s="10">
        <f t="shared" si="50"/>
        <v>0</v>
      </c>
      <c r="HS11" s="10">
        <f t="shared" si="50"/>
        <v>0</v>
      </c>
      <c r="HT11" s="10">
        <f t="shared" si="50"/>
        <v>0</v>
      </c>
      <c r="HU11" s="10">
        <f t="shared" si="50"/>
        <v>13.600000000000001</v>
      </c>
      <c r="HV11" s="10">
        <f t="shared" si="51"/>
        <v>0</v>
      </c>
      <c r="HW11" s="10">
        <f t="shared" si="51"/>
        <v>0</v>
      </c>
      <c r="HX11" s="10">
        <f t="shared" si="51"/>
        <v>0</v>
      </c>
      <c r="HY11" s="10">
        <f t="shared" si="51"/>
        <v>0</v>
      </c>
      <c r="HZ11" s="10">
        <f t="shared" si="51"/>
        <v>0</v>
      </c>
      <c r="IA11" s="10">
        <f t="shared" si="51"/>
        <v>0</v>
      </c>
      <c r="IB11" s="10">
        <f t="shared" si="51"/>
        <v>0</v>
      </c>
      <c r="IC11" s="10">
        <f t="shared" si="51"/>
        <v>0</v>
      </c>
      <c r="ID11" s="10">
        <f t="shared" si="51"/>
        <v>0</v>
      </c>
      <c r="IE11" s="10">
        <f t="shared" si="51"/>
        <v>42.5</v>
      </c>
      <c r="IF11" s="10">
        <f t="shared" si="52"/>
        <v>0</v>
      </c>
      <c r="IG11" s="10">
        <f t="shared" si="52"/>
        <v>0</v>
      </c>
      <c r="IH11" s="10">
        <f t="shared" si="52"/>
        <v>0</v>
      </c>
      <c r="II11" s="10">
        <f t="shared" si="52"/>
        <v>0</v>
      </c>
      <c r="IJ11" s="10">
        <f t="shared" si="52"/>
        <v>0</v>
      </c>
      <c r="IK11" s="10">
        <f t="shared" si="52"/>
        <v>0</v>
      </c>
      <c r="IL11" s="10">
        <f t="shared" si="52"/>
        <v>0</v>
      </c>
      <c r="IM11" s="10">
        <f t="shared" si="52"/>
        <v>0</v>
      </c>
      <c r="IN11" s="10">
        <f t="shared" si="52"/>
        <v>0</v>
      </c>
      <c r="IO11" s="10">
        <f t="shared" si="52"/>
        <v>0</v>
      </c>
      <c r="IP11" s="10">
        <f t="shared" si="53"/>
        <v>0</v>
      </c>
      <c r="IQ11" s="10">
        <f t="shared" si="53"/>
        <v>0</v>
      </c>
      <c r="IR11" s="10">
        <f t="shared" si="53"/>
        <v>0</v>
      </c>
      <c r="IS11" s="10">
        <f t="shared" si="53"/>
        <v>0</v>
      </c>
      <c r="IT11" s="10">
        <f t="shared" si="53"/>
        <v>0</v>
      </c>
      <c r="IU11" s="10">
        <f t="shared" si="53"/>
        <v>0</v>
      </c>
      <c r="IV11" s="10">
        <f t="shared" si="53"/>
        <v>0</v>
      </c>
      <c r="IW11" s="10">
        <f t="shared" si="53"/>
        <v>0</v>
      </c>
      <c r="IX11" s="10">
        <f t="shared" si="53"/>
        <v>0</v>
      </c>
      <c r="IY11" s="10">
        <f t="shared" si="53"/>
        <v>0</v>
      </c>
      <c r="IZ11" s="10">
        <f t="shared" si="54"/>
        <v>0</v>
      </c>
      <c r="JA11" s="10">
        <f t="shared" si="54"/>
        <v>0</v>
      </c>
      <c r="JB11" s="10">
        <f t="shared" si="54"/>
        <v>0</v>
      </c>
      <c r="JC11" s="10">
        <f t="shared" si="54"/>
        <v>0</v>
      </c>
      <c r="JD11" s="10">
        <f t="shared" si="54"/>
        <v>0</v>
      </c>
      <c r="JE11" s="10">
        <f t="shared" si="54"/>
        <v>0</v>
      </c>
      <c r="JF11" s="10">
        <f t="shared" si="54"/>
        <v>0</v>
      </c>
      <c r="JG11" s="10">
        <v>0</v>
      </c>
      <c r="JH11" s="10">
        <f t="shared" si="55"/>
        <v>0</v>
      </c>
      <c r="JI11" s="10">
        <f t="shared" si="56"/>
        <v>0</v>
      </c>
      <c r="JJ11" s="10">
        <f t="shared" si="56"/>
        <v>0</v>
      </c>
      <c r="JK11" s="10">
        <f t="shared" si="56"/>
        <v>0</v>
      </c>
      <c r="JL11" s="10">
        <f t="shared" si="56"/>
        <v>0</v>
      </c>
      <c r="JM11" s="10">
        <f t="shared" si="56"/>
        <v>0</v>
      </c>
      <c r="JN11" s="10">
        <f t="shared" si="56"/>
        <v>0</v>
      </c>
      <c r="JO11" s="10">
        <f t="shared" si="56"/>
        <v>0</v>
      </c>
      <c r="JP11" s="10">
        <f t="shared" si="56"/>
        <v>0</v>
      </c>
      <c r="JQ11" s="10">
        <f t="shared" si="56"/>
        <v>0</v>
      </c>
      <c r="JR11" s="10">
        <f t="shared" si="56"/>
        <v>0</v>
      </c>
      <c r="JS11" s="10">
        <f t="shared" si="57"/>
        <v>0</v>
      </c>
      <c r="JT11" s="10">
        <f t="shared" si="57"/>
        <v>0</v>
      </c>
      <c r="JU11" s="10">
        <f t="shared" si="57"/>
        <v>0</v>
      </c>
      <c r="JV11" s="10">
        <f t="shared" si="57"/>
        <v>0</v>
      </c>
      <c r="JW11" s="10">
        <f t="shared" si="57"/>
        <v>0</v>
      </c>
      <c r="JX11" s="10">
        <f t="shared" si="57"/>
        <v>0</v>
      </c>
      <c r="JY11" s="10">
        <f t="shared" si="57"/>
        <v>1.7000000000000002</v>
      </c>
      <c r="JZ11" s="10">
        <f t="shared" si="57"/>
        <v>0</v>
      </c>
      <c r="KA11" s="10">
        <f t="shared" si="57"/>
        <v>0</v>
      </c>
      <c r="KB11" s="10">
        <f t="shared" si="57"/>
        <v>0</v>
      </c>
      <c r="KC11" s="10">
        <f t="shared" si="58"/>
        <v>0</v>
      </c>
      <c r="KD11" s="10">
        <f t="shared" si="58"/>
        <v>0</v>
      </c>
      <c r="KE11" s="10">
        <f t="shared" si="58"/>
        <v>0</v>
      </c>
      <c r="KF11" s="10">
        <f t="shared" si="58"/>
        <v>1.7000000000000002</v>
      </c>
      <c r="KG11" s="10">
        <f t="shared" si="58"/>
        <v>0</v>
      </c>
      <c r="KH11" s="10">
        <f t="shared" si="58"/>
        <v>0</v>
      </c>
      <c r="KI11" s="10">
        <f t="shared" si="58"/>
        <v>0</v>
      </c>
      <c r="KJ11" s="10">
        <f t="shared" si="58"/>
        <v>1.7000000000000002</v>
      </c>
      <c r="KK11" s="10">
        <f t="shared" si="58"/>
        <v>0</v>
      </c>
      <c r="KL11" s="10">
        <f t="shared" si="58"/>
        <v>0</v>
      </c>
      <c r="KM11" s="10">
        <f t="shared" si="59"/>
        <v>0</v>
      </c>
      <c r="KN11" s="10">
        <f t="shared" si="59"/>
        <v>0</v>
      </c>
      <c r="KO11" s="10">
        <f t="shared" si="59"/>
        <v>0</v>
      </c>
      <c r="KP11" s="10">
        <f t="shared" si="59"/>
        <v>0</v>
      </c>
      <c r="KQ11" s="11">
        <v>68.000000000000014</v>
      </c>
      <c r="KR11" s="16"/>
      <c r="KS11" s="12">
        <v>21.205750411731103</v>
      </c>
      <c r="KT11" s="26">
        <v>84</v>
      </c>
      <c r="KU11" s="26">
        <v>0.47619047619047616</v>
      </c>
      <c r="KV11" s="26">
        <v>0.95</v>
      </c>
      <c r="KW11" s="26">
        <v>-15.71</v>
      </c>
      <c r="KX11" s="26">
        <v>11.21</v>
      </c>
      <c r="KY11" s="27">
        <v>2.82</v>
      </c>
      <c r="KZ11" s="27">
        <v>3.29</v>
      </c>
      <c r="LA11" s="17"/>
      <c r="LB11" s="2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28"/>
      <c r="ML11" t="s">
        <v>828</v>
      </c>
      <c r="MM11" t="s">
        <v>286</v>
      </c>
      <c r="MN11" t="s">
        <v>232</v>
      </c>
      <c r="MO11" t="s">
        <v>233</v>
      </c>
      <c r="MP11" t="s">
        <v>234</v>
      </c>
      <c r="MQ11" t="s">
        <v>235</v>
      </c>
      <c r="MR11">
        <v>1</v>
      </c>
      <c r="MS11" t="s">
        <v>287</v>
      </c>
      <c r="MT11" t="s">
        <v>288</v>
      </c>
      <c r="MU11" t="s">
        <v>289</v>
      </c>
      <c r="MV11">
        <v>78</v>
      </c>
      <c r="MW11" s="13">
        <v>433</v>
      </c>
      <c r="MX11" s="13" t="s">
        <v>290</v>
      </c>
      <c r="MY11" t="s">
        <v>240</v>
      </c>
      <c r="MZ11" t="s">
        <v>241</v>
      </c>
      <c r="NA11" t="s">
        <v>242</v>
      </c>
      <c r="NB11" t="s">
        <v>274</v>
      </c>
      <c r="ND11" s="18">
        <v>43281</v>
      </c>
      <c r="NE11" s="19">
        <v>5.5555555555555558E-3</v>
      </c>
      <c r="NF11" t="s">
        <v>244</v>
      </c>
      <c r="NG11" t="s">
        <v>245</v>
      </c>
      <c r="NH11" t="s">
        <v>246</v>
      </c>
      <c r="NI11">
        <v>92.5</v>
      </c>
      <c r="NJ11" t="s">
        <v>244</v>
      </c>
      <c r="NK11">
        <v>5</v>
      </c>
      <c r="NL11" t="s">
        <v>247</v>
      </c>
      <c r="NM11">
        <v>29.67417</v>
      </c>
      <c r="NN11">
        <v>-84.821529999999996</v>
      </c>
      <c r="NO11" t="s">
        <v>248</v>
      </c>
      <c r="NP11" t="s">
        <v>266</v>
      </c>
      <c r="NQ11">
        <v>12</v>
      </c>
      <c r="NR11" t="s">
        <v>247</v>
      </c>
      <c r="NS11" t="s">
        <v>244</v>
      </c>
      <c r="NT11">
        <v>982000410609806</v>
      </c>
      <c r="NU11" t="s">
        <v>244</v>
      </c>
      <c r="NV11" t="s">
        <v>247</v>
      </c>
      <c r="NW11" t="s">
        <v>288</v>
      </c>
      <c r="NX11" t="s">
        <v>289</v>
      </c>
      <c r="NY11">
        <v>95.8</v>
      </c>
      <c r="NZ11">
        <v>94.15</v>
      </c>
      <c r="OA11">
        <v>89.1</v>
      </c>
      <c r="OB11" s="14">
        <v>21.205750411731103</v>
      </c>
      <c r="OC11" t="s">
        <v>248</v>
      </c>
      <c r="OD11" t="s">
        <v>247</v>
      </c>
      <c r="OE11" t="s">
        <v>248</v>
      </c>
      <c r="OF11" t="s">
        <v>291</v>
      </c>
      <c r="OG11" t="s">
        <v>247</v>
      </c>
      <c r="OH11">
        <v>33</v>
      </c>
      <c r="OI11" t="s">
        <v>288</v>
      </c>
      <c r="OJ11" t="s">
        <v>292</v>
      </c>
      <c r="OK11">
        <v>84</v>
      </c>
      <c r="OL11">
        <v>0.47619047619047616</v>
      </c>
      <c r="OM11">
        <v>0.95</v>
      </c>
      <c r="ON11">
        <v>-15.71</v>
      </c>
      <c r="OO11">
        <v>11.21</v>
      </c>
      <c r="OP11" s="25">
        <v>2.82</v>
      </c>
      <c r="OQ11" s="25">
        <v>3.29</v>
      </c>
      <c r="OR11" t="s">
        <v>912</v>
      </c>
      <c r="OS11" t="s">
        <v>912</v>
      </c>
    </row>
    <row r="12" spans="1:409" x14ac:dyDescent="0.25">
      <c r="A12" s="14">
        <v>11</v>
      </c>
      <c r="B12" s="1">
        <v>179</v>
      </c>
      <c r="C12" s="1">
        <v>0</v>
      </c>
      <c r="D12" s="1">
        <v>0</v>
      </c>
      <c r="E12" s="1">
        <v>16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2</v>
      </c>
      <c r="X12" s="2">
        <v>199</v>
      </c>
      <c r="Y12" s="3"/>
      <c r="Z12" s="15">
        <f t="shared" si="0"/>
        <v>84.411066113923766</v>
      </c>
      <c r="AA12" s="15">
        <f t="shared" si="1"/>
        <v>0</v>
      </c>
      <c r="AB12" s="15">
        <f t="shared" si="2"/>
        <v>0</v>
      </c>
      <c r="AC12" s="15">
        <f t="shared" si="3"/>
        <v>7.5451232280602243</v>
      </c>
      <c r="AD12" s="15">
        <f t="shared" si="4"/>
        <v>0.47157020175376402</v>
      </c>
      <c r="AE12" s="15">
        <f t="shared" si="5"/>
        <v>0</v>
      </c>
      <c r="AF12" s="15">
        <f t="shared" si="6"/>
        <v>0</v>
      </c>
      <c r="AG12" s="15">
        <f t="shared" si="7"/>
        <v>0</v>
      </c>
      <c r="AH12" s="15">
        <f t="shared" si="8"/>
        <v>0</v>
      </c>
      <c r="AI12" s="15">
        <f t="shared" si="9"/>
        <v>0</v>
      </c>
      <c r="AJ12" s="15">
        <f t="shared" si="10"/>
        <v>0</v>
      </c>
      <c r="AK12" s="15">
        <f t="shared" si="11"/>
        <v>0</v>
      </c>
      <c r="AL12" s="15">
        <f t="shared" si="12"/>
        <v>0</v>
      </c>
      <c r="AM12" s="15">
        <f t="shared" si="13"/>
        <v>0</v>
      </c>
      <c r="AN12" s="15">
        <f t="shared" si="14"/>
        <v>0</v>
      </c>
      <c r="AO12" s="15">
        <f t="shared" si="15"/>
        <v>0</v>
      </c>
      <c r="AP12" s="15">
        <f t="shared" si="16"/>
        <v>0</v>
      </c>
      <c r="AQ12" s="15">
        <f t="shared" si="17"/>
        <v>0.47157020175376402</v>
      </c>
      <c r="AR12" s="15">
        <f t="shared" si="18"/>
        <v>0</v>
      </c>
      <c r="AS12" s="15">
        <f t="shared" si="19"/>
        <v>0</v>
      </c>
      <c r="AT12" s="15">
        <f t="shared" si="20"/>
        <v>0</v>
      </c>
      <c r="AU12" s="15">
        <f t="shared" si="21"/>
        <v>0.94314040350752804</v>
      </c>
      <c r="AV12" s="5">
        <f t="shared" si="22"/>
        <v>93.842470148999041</v>
      </c>
      <c r="AW12" s="16"/>
      <c r="AX12" s="6">
        <v>179</v>
      </c>
      <c r="AY12" s="6">
        <v>0</v>
      </c>
      <c r="AZ12" s="6">
        <v>0</v>
      </c>
      <c r="BA12" s="6">
        <v>16</v>
      </c>
      <c r="BB12" s="6">
        <v>1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1</v>
      </c>
      <c r="BP12" s="6">
        <v>0</v>
      </c>
      <c r="BQ12" s="6">
        <v>0</v>
      </c>
      <c r="BR12" s="6">
        <v>0</v>
      </c>
      <c r="BS12" s="6">
        <v>2</v>
      </c>
      <c r="BT12" s="7">
        <v>199</v>
      </c>
      <c r="BU12" s="16"/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59</v>
      </c>
      <c r="CD12" s="8">
        <v>0</v>
      </c>
      <c r="CE12" s="8">
        <v>0</v>
      </c>
      <c r="CF12" s="8">
        <v>0</v>
      </c>
      <c r="CG12" s="8">
        <v>28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11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1</v>
      </c>
      <c r="DX12" s="8">
        <v>0</v>
      </c>
      <c r="DY12" s="8">
        <v>0</v>
      </c>
      <c r="DZ12" s="8">
        <v>0</v>
      </c>
      <c r="EA12" s="8">
        <v>0</v>
      </c>
      <c r="EB12" s="8">
        <v>41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1</v>
      </c>
      <c r="GB12" s="8">
        <v>0</v>
      </c>
      <c r="GC12" s="8">
        <v>0</v>
      </c>
      <c r="GD12" s="8">
        <v>0</v>
      </c>
      <c r="GE12" s="8">
        <v>0</v>
      </c>
      <c r="GF12" s="9">
        <v>141</v>
      </c>
      <c r="GG12" s="3"/>
      <c r="GH12" s="10">
        <f t="shared" si="47"/>
        <v>0</v>
      </c>
      <c r="GI12" s="10">
        <f t="shared" si="47"/>
        <v>0</v>
      </c>
      <c r="GJ12" s="10">
        <f t="shared" si="47"/>
        <v>0</v>
      </c>
      <c r="GK12" s="10">
        <f t="shared" si="47"/>
        <v>0</v>
      </c>
      <c r="GL12" s="10">
        <f t="shared" si="47"/>
        <v>0</v>
      </c>
      <c r="GM12" s="10">
        <f t="shared" si="47"/>
        <v>0</v>
      </c>
      <c r="GN12" s="10">
        <f t="shared" si="47"/>
        <v>0</v>
      </c>
      <c r="GO12" s="10">
        <f t="shared" si="47"/>
        <v>74.900709219858157</v>
      </c>
      <c r="GP12" s="10">
        <f t="shared" si="47"/>
        <v>0</v>
      </c>
      <c r="GQ12" s="10">
        <f t="shared" si="47"/>
        <v>0</v>
      </c>
      <c r="GR12" s="10">
        <f t="shared" si="48"/>
        <v>0</v>
      </c>
      <c r="GS12" s="10">
        <f t="shared" si="48"/>
        <v>35.546099290780141</v>
      </c>
      <c r="GT12" s="10">
        <f t="shared" si="48"/>
        <v>0</v>
      </c>
      <c r="GU12" s="10">
        <f t="shared" si="48"/>
        <v>0</v>
      </c>
      <c r="GV12" s="10">
        <f t="shared" si="48"/>
        <v>0</v>
      </c>
      <c r="GW12" s="10">
        <f t="shared" si="48"/>
        <v>0</v>
      </c>
      <c r="GX12" s="10">
        <f t="shared" si="48"/>
        <v>0</v>
      </c>
      <c r="GY12" s="10">
        <f t="shared" si="48"/>
        <v>0</v>
      </c>
      <c r="GZ12" s="10">
        <f t="shared" si="48"/>
        <v>0</v>
      </c>
      <c r="HA12" s="10">
        <f t="shared" si="48"/>
        <v>0</v>
      </c>
      <c r="HB12" s="10">
        <f t="shared" si="49"/>
        <v>0</v>
      </c>
      <c r="HC12" s="10">
        <f t="shared" si="49"/>
        <v>0</v>
      </c>
      <c r="HD12" s="10">
        <f t="shared" si="49"/>
        <v>0</v>
      </c>
      <c r="HE12" s="10">
        <f t="shared" si="49"/>
        <v>13.964539007092199</v>
      </c>
      <c r="HF12" s="10">
        <f t="shared" si="49"/>
        <v>0</v>
      </c>
      <c r="HG12" s="10">
        <f t="shared" si="49"/>
        <v>0</v>
      </c>
      <c r="HH12" s="10">
        <f t="shared" si="49"/>
        <v>0</v>
      </c>
      <c r="HI12" s="10">
        <f t="shared" si="49"/>
        <v>0</v>
      </c>
      <c r="HJ12" s="10">
        <f t="shared" si="49"/>
        <v>0</v>
      </c>
      <c r="HK12" s="10">
        <f t="shared" si="49"/>
        <v>0</v>
      </c>
      <c r="HL12" s="10">
        <f t="shared" si="50"/>
        <v>0</v>
      </c>
      <c r="HM12" s="10">
        <f t="shared" si="50"/>
        <v>0</v>
      </c>
      <c r="HN12" s="10">
        <f t="shared" si="50"/>
        <v>0</v>
      </c>
      <c r="HO12" s="10">
        <f t="shared" si="50"/>
        <v>0</v>
      </c>
      <c r="HP12" s="10">
        <f t="shared" si="50"/>
        <v>0</v>
      </c>
      <c r="HQ12" s="10">
        <f t="shared" si="50"/>
        <v>0</v>
      </c>
      <c r="HR12" s="10">
        <f t="shared" si="50"/>
        <v>0</v>
      </c>
      <c r="HS12" s="10">
        <f t="shared" si="50"/>
        <v>0</v>
      </c>
      <c r="HT12" s="10">
        <f t="shared" si="50"/>
        <v>0</v>
      </c>
      <c r="HU12" s="10">
        <f t="shared" si="50"/>
        <v>0</v>
      </c>
      <c r="HV12" s="10">
        <f t="shared" si="51"/>
        <v>0</v>
      </c>
      <c r="HW12" s="10">
        <f t="shared" si="51"/>
        <v>0</v>
      </c>
      <c r="HX12" s="10">
        <f t="shared" si="51"/>
        <v>0</v>
      </c>
      <c r="HY12" s="10">
        <f t="shared" si="51"/>
        <v>0</v>
      </c>
      <c r="HZ12" s="10">
        <f t="shared" si="51"/>
        <v>0</v>
      </c>
      <c r="IA12" s="10">
        <f t="shared" si="51"/>
        <v>0</v>
      </c>
      <c r="IB12" s="10">
        <f t="shared" si="51"/>
        <v>0</v>
      </c>
      <c r="IC12" s="10">
        <f t="shared" si="51"/>
        <v>0</v>
      </c>
      <c r="ID12" s="10">
        <f t="shared" si="51"/>
        <v>0</v>
      </c>
      <c r="IE12" s="10">
        <f t="shared" si="51"/>
        <v>0</v>
      </c>
      <c r="IF12" s="10">
        <f t="shared" si="52"/>
        <v>0</v>
      </c>
      <c r="IG12" s="10">
        <f t="shared" si="52"/>
        <v>0</v>
      </c>
      <c r="IH12" s="10">
        <f t="shared" si="52"/>
        <v>0</v>
      </c>
      <c r="II12" s="10">
        <f t="shared" si="52"/>
        <v>1.2695035460992907</v>
      </c>
      <c r="IJ12" s="10">
        <f t="shared" si="52"/>
        <v>0</v>
      </c>
      <c r="IK12" s="10">
        <f t="shared" si="52"/>
        <v>0</v>
      </c>
      <c r="IL12" s="10">
        <f t="shared" si="52"/>
        <v>0</v>
      </c>
      <c r="IM12" s="10">
        <f t="shared" si="52"/>
        <v>0</v>
      </c>
      <c r="IN12" s="10">
        <f t="shared" si="52"/>
        <v>52.049645390070914</v>
      </c>
      <c r="IO12" s="10">
        <f t="shared" si="52"/>
        <v>0</v>
      </c>
      <c r="IP12" s="10">
        <f t="shared" si="53"/>
        <v>0</v>
      </c>
      <c r="IQ12" s="10">
        <f t="shared" si="53"/>
        <v>0</v>
      </c>
      <c r="IR12" s="10">
        <f t="shared" si="53"/>
        <v>0</v>
      </c>
      <c r="IS12" s="10">
        <f t="shared" si="53"/>
        <v>0</v>
      </c>
      <c r="IT12" s="10">
        <f t="shared" si="53"/>
        <v>0</v>
      </c>
      <c r="IU12" s="10">
        <f t="shared" si="53"/>
        <v>0</v>
      </c>
      <c r="IV12" s="10">
        <f t="shared" si="53"/>
        <v>0</v>
      </c>
      <c r="IW12" s="10">
        <f t="shared" si="53"/>
        <v>0</v>
      </c>
      <c r="IX12" s="10">
        <f t="shared" si="53"/>
        <v>0</v>
      </c>
      <c r="IY12" s="10">
        <f t="shared" si="53"/>
        <v>0</v>
      </c>
      <c r="IZ12" s="10">
        <f t="shared" si="54"/>
        <v>0</v>
      </c>
      <c r="JA12" s="10">
        <f t="shared" si="54"/>
        <v>0</v>
      </c>
      <c r="JB12" s="10">
        <f t="shared" si="54"/>
        <v>0</v>
      </c>
      <c r="JC12" s="10">
        <f t="shared" si="54"/>
        <v>0</v>
      </c>
      <c r="JD12" s="10">
        <f t="shared" si="54"/>
        <v>0</v>
      </c>
      <c r="JE12" s="10">
        <f t="shared" si="54"/>
        <v>0</v>
      </c>
      <c r="JF12" s="10">
        <f t="shared" si="54"/>
        <v>0</v>
      </c>
      <c r="JG12" s="10">
        <v>0</v>
      </c>
      <c r="JH12" s="10">
        <f t="shared" si="55"/>
        <v>0</v>
      </c>
      <c r="JI12" s="10">
        <f t="shared" si="56"/>
        <v>0</v>
      </c>
      <c r="JJ12" s="10">
        <f t="shared" si="56"/>
        <v>0</v>
      </c>
      <c r="JK12" s="10">
        <f t="shared" si="56"/>
        <v>0</v>
      </c>
      <c r="JL12" s="10">
        <f t="shared" si="56"/>
        <v>0</v>
      </c>
      <c r="JM12" s="10">
        <f t="shared" si="56"/>
        <v>0</v>
      </c>
      <c r="JN12" s="10">
        <f t="shared" si="56"/>
        <v>0</v>
      </c>
      <c r="JO12" s="10">
        <f t="shared" si="56"/>
        <v>0</v>
      </c>
      <c r="JP12" s="10">
        <f t="shared" si="56"/>
        <v>0</v>
      </c>
      <c r="JQ12" s="10">
        <f t="shared" si="56"/>
        <v>0</v>
      </c>
      <c r="JR12" s="10">
        <f t="shared" si="56"/>
        <v>0</v>
      </c>
      <c r="JS12" s="10">
        <f t="shared" si="57"/>
        <v>0</v>
      </c>
      <c r="JT12" s="10">
        <f t="shared" si="57"/>
        <v>0</v>
      </c>
      <c r="JU12" s="10">
        <f t="shared" si="57"/>
        <v>0</v>
      </c>
      <c r="JV12" s="10">
        <f t="shared" si="57"/>
        <v>0</v>
      </c>
      <c r="JW12" s="10">
        <f t="shared" si="57"/>
        <v>0</v>
      </c>
      <c r="JX12" s="10">
        <f t="shared" si="57"/>
        <v>0</v>
      </c>
      <c r="JY12" s="10">
        <f t="shared" si="57"/>
        <v>0</v>
      </c>
      <c r="JZ12" s="10">
        <f t="shared" si="57"/>
        <v>0</v>
      </c>
      <c r="KA12" s="10">
        <f t="shared" si="57"/>
        <v>0</v>
      </c>
      <c r="KB12" s="10">
        <f t="shared" si="57"/>
        <v>0</v>
      </c>
      <c r="KC12" s="10">
        <f t="shared" si="58"/>
        <v>0</v>
      </c>
      <c r="KD12" s="10">
        <f t="shared" si="58"/>
        <v>0</v>
      </c>
      <c r="KE12" s="10">
        <f t="shared" si="58"/>
        <v>0</v>
      </c>
      <c r="KF12" s="10">
        <f t="shared" si="58"/>
        <v>0</v>
      </c>
      <c r="KG12" s="10">
        <f t="shared" si="58"/>
        <v>0</v>
      </c>
      <c r="KH12" s="10">
        <f t="shared" si="58"/>
        <v>0</v>
      </c>
      <c r="KI12" s="10">
        <f t="shared" si="58"/>
        <v>0</v>
      </c>
      <c r="KJ12" s="10">
        <f t="shared" si="58"/>
        <v>0</v>
      </c>
      <c r="KK12" s="10">
        <f t="shared" si="58"/>
        <v>0</v>
      </c>
      <c r="KL12" s="10">
        <f t="shared" si="58"/>
        <v>1.2695035460992907</v>
      </c>
      <c r="KM12" s="10">
        <f t="shared" si="59"/>
        <v>0</v>
      </c>
      <c r="KN12" s="10">
        <f t="shared" si="59"/>
        <v>0</v>
      </c>
      <c r="KO12" s="10">
        <f t="shared" si="59"/>
        <v>0</v>
      </c>
      <c r="KP12" s="10">
        <f t="shared" si="59"/>
        <v>0</v>
      </c>
      <c r="KQ12" s="11">
        <v>179</v>
      </c>
      <c r="KR12" s="16"/>
      <c r="KS12" s="12">
        <v>21.205750411731103</v>
      </c>
      <c r="KT12" s="26">
        <v>84</v>
      </c>
      <c r="KU12" s="26">
        <v>0.47619047619047616</v>
      </c>
      <c r="KV12" s="26">
        <v>0.95</v>
      </c>
      <c r="KW12" s="26">
        <v>-15.71</v>
      </c>
      <c r="KX12" s="26">
        <v>11.21</v>
      </c>
      <c r="KY12" s="27">
        <v>2.82</v>
      </c>
      <c r="KZ12" s="27">
        <v>3.29</v>
      </c>
      <c r="LA12" s="17"/>
      <c r="LB12" s="2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28"/>
      <c r="ML12" t="s">
        <v>829</v>
      </c>
      <c r="MM12" t="s">
        <v>286</v>
      </c>
      <c r="MN12" t="s">
        <v>232</v>
      </c>
      <c r="MO12" t="s">
        <v>257</v>
      </c>
      <c r="MP12" t="s">
        <v>258</v>
      </c>
      <c r="MQ12" t="s">
        <v>259</v>
      </c>
      <c r="MR12">
        <v>1</v>
      </c>
      <c r="MS12" t="s">
        <v>287</v>
      </c>
      <c r="MT12" t="s">
        <v>288</v>
      </c>
      <c r="MU12" t="s">
        <v>289</v>
      </c>
      <c r="MV12">
        <v>199</v>
      </c>
      <c r="MW12" s="13">
        <v>433</v>
      </c>
      <c r="MX12" s="13" t="s">
        <v>290</v>
      </c>
      <c r="MY12" t="s">
        <v>240</v>
      </c>
      <c r="MZ12" t="s">
        <v>241</v>
      </c>
      <c r="NA12" t="s">
        <v>242</v>
      </c>
      <c r="NB12" t="s">
        <v>274</v>
      </c>
      <c r="ND12" s="18">
        <v>43281</v>
      </c>
      <c r="NE12" s="19">
        <v>5.5555555555555558E-3</v>
      </c>
      <c r="NF12" t="s">
        <v>244</v>
      </c>
      <c r="NG12" t="s">
        <v>245</v>
      </c>
      <c r="NH12" t="s">
        <v>246</v>
      </c>
      <c r="NI12">
        <v>92.5</v>
      </c>
      <c r="NJ12" t="s">
        <v>244</v>
      </c>
      <c r="NK12">
        <v>5</v>
      </c>
      <c r="NL12" t="s">
        <v>247</v>
      </c>
      <c r="NM12">
        <v>29.67417</v>
      </c>
      <c r="NN12">
        <v>-84.821529999999996</v>
      </c>
      <c r="NO12" t="s">
        <v>248</v>
      </c>
      <c r="NP12" t="s">
        <v>266</v>
      </c>
      <c r="NQ12">
        <v>12</v>
      </c>
      <c r="NR12" t="s">
        <v>247</v>
      </c>
      <c r="NS12" t="s">
        <v>244</v>
      </c>
      <c r="NT12">
        <v>982000410609806</v>
      </c>
      <c r="NU12" t="s">
        <v>244</v>
      </c>
      <c r="NV12" t="s">
        <v>247</v>
      </c>
      <c r="NW12" t="s">
        <v>288</v>
      </c>
      <c r="NX12" t="s">
        <v>289</v>
      </c>
      <c r="NY12">
        <v>95.8</v>
      </c>
      <c r="NZ12">
        <v>94.15</v>
      </c>
      <c r="OA12">
        <v>89.1</v>
      </c>
      <c r="OB12" s="14">
        <v>21.205750411731103</v>
      </c>
      <c r="OC12" t="s">
        <v>248</v>
      </c>
      <c r="OD12" t="s">
        <v>247</v>
      </c>
      <c r="OE12" t="s">
        <v>248</v>
      </c>
      <c r="OF12" t="s">
        <v>291</v>
      </c>
      <c r="OG12" t="s">
        <v>247</v>
      </c>
      <c r="OH12">
        <v>32</v>
      </c>
      <c r="OI12" t="s">
        <v>288</v>
      </c>
      <c r="OJ12" t="s">
        <v>292</v>
      </c>
      <c r="OK12">
        <v>84</v>
      </c>
      <c r="OL12">
        <v>0.47619047619047616</v>
      </c>
      <c r="OM12">
        <v>0.95</v>
      </c>
      <c r="ON12">
        <v>-15.71</v>
      </c>
      <c r="OO12">
        <v>11.21</v>
      </c>
      <c r="OP12" s="25">
        <v>2.82</v>
      </c>
      <c r="OQ12" s="25">
        <v>3.29</v>
      </c>
      <c r="OR12" t="s">
        <v>911</v>
      </c>
      <c r="OS12" t="s">
        <v>910</v>
      </c>
    </row>
    <row r="13" spans="1:409" x14ac:dyDescent="0.25">
      <c r="A13" s="14">
        <v>12</v>
      </c>
      <c r="B13" s="1">
        <v>15</v>
      </c>
      <c r="C13" s="1">
        <v>0</v>
      </c>
      <c r="D13" s="1">
        <v>0</v>
      </c>
      <c r="E13" s="1">
        <v>10</v>
      </c>
      <c r="F13" s="1">
        <v>0</v>
      </c>
      <c r="G13" s="1">
        <v>0</v>
      </c>
      <c r="H13" s="1">
        <v>0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2">
        <v>27</v>
      </c>
      <c r="Y13" s="3"/>
      <c r="Z13" s="15">
        <f t="shared" si="0"/>
        <v>7.0735530263064597</v>
      </c>
      <c r="AA13" s="15">
        <f t="shared" si="1"/>
        <v>0</v>
      </c>
      <c r="AB13" s="15">
        <f t="shared" si="2"/>
        <v>0</v>
      </c>
      <c r="AC13" s="15">
        <f t="shared" si="3"/>
        <v>4.7157020175376401</v>
      </c>
      <c r="AD13" s="15">
        <f t="shared" si="4"/>
        <v>0</v>
      </c>
      <c r="AE13" s="15">
        <f t="shared" si="5"/>
        <v>0</v>
      </c>
      <c r="AF13" s="15">
        <f t="shared" si="6"/>
        <v>0</v>
      </c>
      <c r="AG13" s="15">
        <f t="shared" si="7"/>
        <v>0.94314040350752804</v>
      </c>
      <c r="AH13" s="15">
        <f t="shared" si="8"/>
        <v>0</v>
      </c>
      <c r="AI13" s="15">
        <f t="shared" si="9"/>
        <v>0</v>
      </c>
      <c r="AJ13" s="15">
        <f t="shared" si="10"/>
        <v>0</v>
      </c>
      <c r="AK13" s="15">
        <f t="shared" si="11"/>
        <v>0</v>
      </c>
      <c r="AL13" s="15">
        <f t="shared" si="12"/>
        <v>0</v>
      </c>
      <c r="AM13" s="15">
        <f t="shared" si="13"/>
        <v>0</v>
      </c>
      <c r="AN13" s="15">
        <f t="shared" si="14"/>
        <v>0</v>
      </c>
      <c r="AO13" s="15">
        <f t="shared" si="15"/>
        <v>0</v>
      </c>
      <c r="AP13" s="15">
        <f t="shared" si="16"/>
        <v>0</v>
      </c>
      <c r="AQ13" s="15">
        <f t="shared" si="17"/>
        <v>0</v>
      </c>
      <c r="AR13" s="15">
        <f t="shared" si="18"/>
        <v>0</v>
      </c>
      <c r="AS13" s="15">
        <f t="shared" si="19"/>
        <v>0</v>
      </c>
      <c r="AT13" s="15">
        <f t="shared" si="20"/>
        <v>0</v>
      </c>
      <c r="AU13" s="15">
        <f t="shared" si="21"/>
        <v>0</v>
      </c>
      <c r="AV13" s="5">
        <f t="shared" si="22"/>
        <v>12.732395447351628</v>
      </c>
      <c r="AW13" s="16"/>
      <c r="AX13" s="6">
        <v>15</v>
      </c>
      <c r="AY13" s="6">
        <v>0</v>
      </c>
      <c r="AZ13" s="6">
        <v>0</v>
      </c>
      <c r="BA13" s="6">
        <v>10</v>
      </c>
      <c r="BB13" s="6">
        <v>0</v>
      </c>
      <c r="BC13" s="6">
        <v>0</v>
      </c>
      <c r="BD13" s="6">
        <v>0</v>
      </c>
      <c r="BE13" s="6">
        <v>2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7">
        <v>27</v>
      </c>
      <c r="BU13" s="16"/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9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3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1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1</v>
      </c>
      <c r="FY13" s="8">
        <v>0</v>
      </c>
      <c r="FZ13" s="8">
        <v>0</v>
      </c>
      <c r="GA13" s="8">
        <v>0</v>
      </c>
      <c r="GB13" s="8">
        <v>0</v>
      </c>
      <c r="GC13" s="8">
        <v>6</v>
      </c>
      <c r="GD13" s="8">
        <v>0</v>
      </c>
      <c r="GE13" s="8">
        <v>0</v>
      </c>
      <c r="GF13" s="9">
        <v>20</v>
      </c>
      <c r="GG13" s="3"/>
      <c r="GH13" s="10">
        <f t="shared" si="47"/>
        <v>0</v>
      </c>
      <c r="GI13" s="10">
        <f t="shared" si="47"/>
        <v>0</v>
      </c>
      <c r="GJ13" s="10">
        <f t="shared" si="47"/>
        <v>0</v>
      </c>
      <c r="GK13" s="10">
        <f t="shared" si="47"/>
        <v>0</v>
      </c>
      <c r="GL13" s="10">
        <f t="shared" si="47"/>
        <v>0</v>
      </c>
      <c r="GM13" s="10">
        <f t="shared" si="47"/>
        <v>0</v>
      </c>
      <c r="GN13" s="10">
        <f t="shared" si="47"/>
        <v>0</v>
      </c>
      <c r="GO13" s="10">
        <f t="shared" si="47"/>
        <v>0</v>
      </c>
      <c r="GP13" s="10">
        <f t="shared" si="47"/>
        <v>0</v>
      </c>
      <c r="GQ13" s="10">
        <f t="shared" si="47"/>
        <v>0</v>
      </c>
      <c r="GR13" s="10">
        <f t="shared" si="48"/>
        <v>0</v>
      </c>
      <c r="GS13" s="10">
        <f t="shared" si="48"/>
        <v>0</v>
      </c>
      <c r="GT13" s="10">
        <f t="shared" si="48"/>
        <v>0</v>
      </c>
      <c r="GU13" s="10">
        <f t="shared" si="48"/>
        <v>0</v>
      </c>
      <c r="GV13" s="10">
        <f t="shared" si="48"/>
        <v>0</v>
      </c>
      <c r="GW13" s="10">
        <f t="shared" si="48"/>
        <v>0</v>
      </c>
      <c r="GX13" s="10">
        <f t="shared" si="48"/>
        <v>0</v>
      </c>
      <c r="GY13" s="10">
        <f t="shared" si="48"/>
        <v>0</v>
      </c>
      <c r="GZ13" s="10">
        <f t="shared" si="48"/>
        <v>0</v>
      </c>
      <c r="HA13" s="10">
        <f t="shared" si="48"/>
        <v>0</v>
      </c>
      <c r="HB13" s="10">
        <f t="shared" si="49"/>
        <v>0</v>
      </c>
      <c r="HC13" s="10">
        <f t="shared" si="49"/>
        <v>0</v>
      </c>
      <c r="HD13" s="10">
        <f t="shared" si="49"/>
        <v>0</v>
      </c>
      <c r="HE13" s="10">
        <f t="shared" si="49"/>
        <v>0</v>
      </c>
      <c r="HF13" s="10">
        <f t="shared" si="49"/>
        <v>0</v>
      </c>
      <c r="HG13" s="10">
        <f t="shared" si="49"/>
        <v>0</v>
      </c>
      <c r="HH13" s="10">
        <f t="shared" si="49"/>
        <v>0</v>
      </c>
      <c r="HI13" s="10">
        <f t="shared" si="49"/>
        <v>0</v>
      </c>
      <c r="HJ13" s="10">
        <f t="shared" si="49"/>
        <v>0</v>
      </c>
      <c r="HK13" s="10">
        <f t="shared" si="49"/>
        <v>0</v>
      </c>
      <c r="HL13" s="10">
        <f t="shared" si="50"/>
        <v>0</v>
      </c>
      <c r="HM13" s="10">
        <f t="shared" si="50"/>
        <v>0</v>
      </c>
      <c r="HN13" s="10">
        <f t="shared" si="50"/>
        <v>0</v>
      </c>
      <c r="HO13" s="10">
        <f t="shared" si="50"/>
        <v>0</v>
      </c>
      <c r="HP13" s="10">
        <f t="shared" si="50"/>
        <v>0</v>
      </c>
      <c r="HQ13" s="10">
        <f t="shared" si="50"/>
        <v>0</v>
      </c>
      <c r="HR13" s="10">
        <f t="shared" si="50"/>
        <v>0</v>
      </c>
      <c r="HS13" s="10">
        <f t="shared" si="50"/>
        <v>0</v>
      </c>
      <c r="HT13" s="10">
        <f t="shared" si="50"/>
        <v>0</v>
      </c>
      <c r="HU13" s="10">
        <f t="shared" si="50"/>
        <v>6.75</v>
      </c>
      <c r="HV13" s="10">
        <f t="shared" si="51"/>
        <v>0</v>
      </c>
      <c r="HW13" s="10">
        <f t="shared" si="51"/>
        <v>0</v>
      </c>
      <c r="HX13" s="10">
        <f t="shared" si="51"/>
        <v>0</v>
      </c>
      <c r="HY13" s="10">
        <f t="shared" si="51"/>
        <v>0</v>
      </c>
      <c r="HZ13" s="10">
        <f t="shared" si="51"/>
        <v>0</v>
      </c>
      <c r="IA13" s="10">
        <f t="shared" si="51"/>
        <v>0</v>
      </c>
      <c r="IB13" s="10">
        <f t="shared" si="51"/>
        <v>0</v>
      </c>
      <c r="IC13" s="10">
        <f t="shared" si="51"/>
        <v>0</v>
      </c>
      <c r="ID13" s="10">
        <f t="shared" si="51"/>
        <v>0</v>
      </c>
      <c r="IE13" s="10">
        <f t="shared" si="51"/>
        <v>2.25</v>
      </c>
      <c r="IF13" s="10">
        <f t="shared" si="52"/>
        <v>0</v>
      </c>
      <c r="IG13" s="10">
        <f t="shared" si="52"/>
        <v>0</v>
      </c>
      <c r="IH13" s="10">
        <f t="shared" si="52"/>
        <v>0</v>
      </c>
      <c r="II13" s="10">
        <f t="shared" si="52"/>
        <v>0</v>
      </c>
      <c r="IJ13" s="10">
        <f t="shared" si="52"/>
        <v>0</v>
      </c>
      <c r="IK13" s="10">
        <f t="shared" si="52"/>
        <v>0</v>
      </c>
      <c r="IL13" s="10">
        <f t="shared" si="52"/>
        <v>0</v>
      </c>
      <c r="IM13" s="10">
        <f t="shared" si="52"/>
        <v>0</v>
      </c>
      <c r="IN13" s="10">
        <f t="shared" si="52"/>
        <v>0</v>
      </c>
      <c r="IO13" s="10">
        <f t="shared" si="52"/>
        <v>0</v>
      </c>
      <c r="IP13" s="10">
        <f t="shared" si="53"/>
        <v>0</v>
      </c>
      <c r="IQ13" s="10">
        <f t="shared" si="53"/>
        <v>0</v>
      </c>
      <c r="IR13" s="10">
        <f t="shared" si="53"/>
        <v>0</v>
      </c>
      <c r="IS13" s="10">
        <f t="shared" si="53"/>
        <v>0</v>
      </c>
      <c r="IT13" s="10">
        <f t="shared" si="53"/>
        <v>0</v>
      </c>
      <c r="IU13" s="10">
        <f t="shared" si="53"/>
        <v>0</v>
      </c>
      <c r="IV13" s="10">
        <f t="shared" si="53"/>
        <v>0</v>
      </c>
      <c r="IW13" s="10">
        <f t="shared" si="53"/>
        <v>0</v>
      </c>
      <c r="IX13" s="10">
        <f t="shared" si="53"/>
        <v>0</v>
      </c>
      <c r="IY13" s="10">
        <f t="shared" si="53"/>
        <v>0</v>
      </c>
      <c r="IZ13" s="10">
        <f t="shared" si="54"/>
        <v>0</v>
      </c>
      <c r="JA13" s="10">
        <f t="shared" si="54"/>
        <v>0</v>
      </c>
      <c r="JB13" s="10">
        <f t="shared" si="54"/>
        <v>0</v>
      </c>
      <c r="JC13" s="10">
        <f t="shared" si="54"/>
        <v>0</v>
      </c>
      <c r="JD13" s="10">
        <f t="shared" si="54"/>
        <v>0</v>
      </c>
      <c r="JE13" s="10">
        <f t="shared" si="54"/>
        <v>0</v>
      </c>
      <c r="JF13" s="10">
        <f t="shared" si="54"/>
        <v>0</v>
      </c>
      <c r="JG13" s="10">
        <v>0</v>
      </c>
      <c r="JH13" s="10">
        <f t="shared" si="55"/>
        <v>0</v>
      </c>
      <c r="JI13" s="10">
        <f t="shared" si="56"/>
        <v>0</v>
      </c>
      <c r="JJ13" s="10">
        <f t="shared" si="56"/>
        <v>0</v>
      </c>
      <c r="JK13" s="10">
        <f t="shared" si="56"/>
        <v>0</v>
      </c>
      <c r="JL13" s="10">
        <f t="shared" si="56"/>
        <v>0</v>
      </c>
      <c r="JM13" s="10">
        <f t="shared" si="56"/>
        <v>0</v>
      </c>
      <c r="JN13" s="10">
        <f t="shared" si="56"/>
        <v>0</v>
      </c>
      <c r="JO13" s="10">
        <f t="shared" si="56"/>
        <v>0</v>
      </c>
      <c r="JP13" s="10">
        <f t="shared" si="56"/>
        <v>0</v>
      </c>
      <c r="JQ13" s="10">
        <f t="shared" si="56"/>
        <v>0</v>
      </c>
      <c r="JR13" s="10">
        <f t="shared" si="56"/>
        <v>0</v>
      </c>
      <c r="JS13" s="10">
        <f t="shared" si="57"/>
        <v>0</v>
      </c>
      <c r="JT13" s="10">
        <f t="shared" si="57"/>
        <v>0</v>
      </c>
      <c r="JU13" s="10">
        <f t="shared" si="57"/>
        <v>0</v>
      </c>
      <c r="JV13" s="10">
        <f t="shared" si="57"/>
        <v>0</v>
      </c>
      <c r="JW13" s="10">
        <f t="shared" si="57"/>
        <v>0</v>
      </c>
      <c r="JX13" s="10">
        <f t="shared" si="57"/>
        <v>0</v>
      </c>
      <c r="JY13" s="10">
        <f t="shared" si="57"/>
        <v>0.75</v>
      </c>
      <c r="JZ13" s="10">
        <f t="shared" si="57"/>
        <v>0</v>
      </c>
      <c r="KA13" s="10">
        <f t="shared" si="57"/>
        <v>0</v>
      </c>
      <c r="KB13" s="10">
        <f t="shared" si="57"/>
        <v>0</v>
      </c>
      <c r="KC13" s="10">
        <f t="shared" si="58"/>
        <v>0</v>
      </c>
      <c r="KD13" s="10">
        <f t="shared" si="58"/>
        <v>0</v>
      </c>
      <c r="KE13" s="10">
        <f t="shared" si="58"/>
        <v>0</v>
      </c>
      <c r="KF13" s="10">
        <f t="shared" si="58"/>
        <v>0</v>
      </c>
      <c r="KG13" s="10">
        <f t="shared" si="58"/>
        <v>0</v>
      </c>
      <c r="KH13" s="10">
        <f t="shared" si="58"/>
        <v>0</v>
      </c>
      <c r="KI13" s="10">
        <f t="shared" si="58"/>
        <v>0.75</v>
      </c>
      <c r="KJ13" s="10">
        <f t="shared" si="58"/>
        <v>0</v>
      </c>
      <c r="KK13" s="10">
        <f t="shared" si="58"/>
        <v>0</v>
      </c>
      <c r="KL13" s="10">
        <f t="shared" si="58"/>
        <v>0</v>
      </c>
      <c r="KM13" s="10">
        <f t="shared" si="59"/>
        <v>0</v>
      </c>
      <c r="KN13" s="10">
        <f t="shared" si="59"/>
        <v>4.5</v>
      </c>
      <c r="KO13" s="10">
        <f t="shared" si="59"/>
        <v>0</v>
      </c>
      <c r="KP13" s="10">
        <f t="shared" si="59"/>
        <v>0</v>
      </c>
      <c r="KQ13" s="11">
        <v>15</v>
      </c>
      <c r="KR13" s="16"/>
      <c r="KS13" s="12">
        <v>21.205750411731103</v>
      </c>
      <c r="KT13" s="26">
        <v>84</v>
      </c>
      <c r="KU13" s="26">
        <v>0.47619047619047616</v>
      </c>
      <c r="KV13" s="26">
        <v>0.95</v>
      </c>
      <c r="KW13" s="26">
        <v>-15.71</v>
      </c>
      <c r="KX13" s="26">
        <v>11.21</v>
      </c>
      <c r="KY13" s="27">
        <v>2.82</v>
      </c>
      <c r="KZ13" s="27">
        <v>3.29</v>
      </c>
      <c r="LA13" s="17"/>
      <c r="LB13" s="2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28"/>
      <c r="ML13" t="s">
        <v>830</v>
      </c>
      <c r="MM13" t="s">
        <v>286</v>
      </c>
      <c r="MN13" t="s">
        <v>232</v>
      </c>
      <c r="MO13" t="s">
        <v>253</v>
      </c>
      <c r="MP13" t="s">
        <v>254</v>
      </c>
      <c r="MQ13" t="s">
        <v>255</v>
      </c>
      <c r="MR13">
        <v>1</v>
      </c>
      <c r="MS13" t="s">
        <v>287</v>
      </c>
      <c r="MT13" t="s">
        <v>288</v>
      </c>
      <c r="MU13" t="s">
        <v>289</v>
      </c>
      <c r="MV13">
        <v>27</v>
      </c>
      <c r="MW13" s="13">
        <v>433</v>
      </c>
      <c r="MX13" s="13" t="s">
        <v>290</v>
      </c>
      <c r="MY13" t="s">
        <v>240</v>
      </c>
      <c r="MZ13" t="s">
        <v>241</v>
      </c>
      <c r="NA13" t="s">
        <v>242</v>
      </c>
      <c r="NB13" t="s">
        <v>274</v>
      </c>
      <c r="ND13" s="18">
        <v>43281</v>
      </c>
      <c r="NE13" s="19">
        <v>5.5555555555555558E-3</v>
      </c>
      <c r="NF13" t="s">
        <v>244</v>
      </c>
      <c r="NG13" t="s">
        <v>245</v>
      </c>
      <c r="NH13" t="s">
        <v>246</v>
      </c>
      <c r="NI13">
        <v>92.5</v>
      </c>
      <c r="NJ13" t="s">
        <v>244</v>
      </c>
      <c r="NK13">
        <v>5</v>
      </c>
      <c r="NL13" t="s">
        <v>247</v>
      </c>
      <c r="NM13">
        <v>29.67417</v>
      </c>
      <c r="NN13">
        <v>-84.821529999999996</v>
      </c>
      <c r="NO13" t="s">
        <v>248</v>
      </c>
      <c r="NP13" t="s">
        <v>266</v>
      </c>
      <c r="NQ13">
        <v>12</v>
      </c>
      <c r="NR13" t="s">
        <v>247</v>
      </c>
      <c r="NS13" t="s">
        <v>244</v>
      </c>
      <c r="NT13">
        <v>982000410609806</v>
      </c>
      <c r="NU13" t="s">
        <v>244</v>
      </c>
      <c r="NV13" t="s">
        <v>247</v>
      </c>
      <c r="NW13" t="s">
        <v>288</v>
      </c>
      <c r="NX13" t="s">
        <v>289</v>
      </c>
      <c r="NY13">
        <v>95.8</v>
      </c>
      <c r="NZ13">
        <v>94.15</v>
      </c>
      <c r="OA13">
        <v>89.1</v>
      </c>
      <c r="OB13" s="14">
        <v>21.205750411731103</v>
      </c>
      <c r="OC13" t="s">
        <v>248</v>
      </c>
      <c r="OD13" t="s">
        <v>247</v>
      </c>
      <c r="OE13" t="s">
        <v>248</v>
      </c>
      <c r="OF13" t="s">
        <v>291</v>
      </c>
      <c r="OG13" t="s">
        <v>247</v>
      </c>
      <c r="OH13">
        <v>31</v>
      </c>
      <c r="OI13" t="s">
        <v>288</v>
      </c>
      <c r="OJ13" t="s">
        <v>292</v>
      </c>
      <c r="OK13">
        <v>84</v>
      </c>
      <c r="OL13">
        <v>0.47619047619047616</v>
      </c>
      <c r="OM13">
        <v>0.95</v>
      </c>
      <c r="ON13">
        <v>-15.71</v>
      </c>
      <c r="OO13">
        <v>11.21</v>
      </c>
      <c r="OP13" s="25">
        <v>2.82</v>
      </c>
      <c r="OQ13" s="25">
        <v>3.29</v>
      </c>
      <c r="OR13" t="s">
        <v>911</v>
      </c>
      <c r="OS13" t="s">
        <v>910</v>
      </c>
    </row>
    <row r="14" spans="1:409" x14ac:dyDescent="0.25">
      <c r="A14" s="14">
        <v>13</v>
      </c>
      <c r="B14" s="1">
        <v>47</v>
      </c>
      <c r="C14" s="1">
        <v>0</v>
      </c>
      <c r="D14" s="1">
        <v>0</v>
      </c>
      <c r="E14" s="1">
        <v>2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2</v>
      </c>
      <c r="S14" s="1">
        <v>1</v>
      </c>
      <c r="T14" s="1">
        <v>0</v>
      </c>
      <c r="U14" s="1">
        <v>0</v>
      </c>
      <c r="V14" s="1"/>
      <c r="W14" s="1">
        <v>1</v>
      </c>
      <c r="X14" s="2">
        <v>58</v>
      </c>
      <c r="Y14" s="3"/>
      <c r="Z14" s="15">
        <f t="shared" si="0"/>
        <v>22.16379948242691</v>
      </c>
      <c r="AA14" s="15">
        <f t="shared" si="1"/>
        <v>0</v>
      </c>
      <c r="AB14" s="15">
        <f t="shared" si="2"/>
        <v>0</v>
      </c>
      <c r="AC14" s="15">
        <f t="shared" si="3"/>
        <v>0.94314040350752804</v>
      </c>
      <c r="AD14" s="15">
        <f t="shared" si="4"/>
        <v>0</v>
      </c>
      <c r="AE14" s="15">
        <f t="shared" si="5"/>
        <v>0</v>
      </c>
      <c r="AF14" s="15">
        <f t="shared" si="6"/>
        <v>0</v>
      </c>
      <c r="AG14" s="15">
        <f t="shared" si="7"/>
        <v>0</v>
      </c>
      <c r="AH14" s="15">
        <f t="shared" si="8"/>
        <v>0.47157020175376402</v>
      </c>
      <c r="AI14" s="15">
        <f t="shared" si="9"/>
        <v>1.8862808070150561</v>
      </c>
      <c r="AJ14" s="15">
        <f t="shared" si="10"/>
        <v>0</v>
      </c>
      <c r="AK14" s="15">
        <f t="shared" si="11"/>
        <v>0</v>
      </c>
      <c r="AL14" s="15">
        <f t="shared" si="12"/>
        <v>0</v>
      </c>
      <c r="AM14" s="15">
        <f t="shared" si="13"/>
        <v>0</v>
      </c>
      <c r="AN14" s="15">
        <f t="shared" si="14"/>
        <v>0</v>
      </c>
      <c r="AO14" s="15">
        <f t="shared" si="15"/>
        <v>0</v>
      </c>
      <c r="AP14" s="15">
        <f t="shared" si="16"/>
        <v>0.94314040350752804</v>
      </c>
      <c r="AQ14" s="15">
        <f t="shared" si="17"/>
        <v>0.47157020175376402</v>
      </c>
      <c r="AR14" s="15">
        <f t="shared" si="18"/>
        <v>0</v>
      </c>
      <c r="AS14" s="15">
        <f t="shared" si="19"/>
        <v>0</v>
      </c>
      <c r="AT14" s="15">
        <f t="shared" si="20"/>
        <v>0</v>
      </c>
      <c r="AU14" s="15">
        <f t="shared" si="21"/>
        <v>0.47157020175376402</v>
      </c>
      <c r="AV14" s="5">
        <f t="shared" si="22"/>
        <v>27.351071701718311</v>
      </c>
      <c r="AW14" s="16"/>
      <c r="AX14" s="6">
        <v>47</v>
      </c>
      <c r="AY14" s="6">
        <v>0</v>
      </c>
      <c r="AZ14" s="6">
        <v>0</v>
      </c>
      <c r="BA14" s="6">
        <v>2</v>
      </c>
      <c r="BB14" s="6">
        <v>0</v>
      </c>
      <c r="BC14" s="6">
        <v>0</v>
      </c>
      <c r="BD14" s="6">
        <v>0</v>
      </c>
      <c r="BE14" s="6">
        <v>0</v>
      </c>
      <c r="BF14" s="6">
        <v>1</v>
      </c>
      <c r="BG14" s="6">
        <v>4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2</v>
      </c>
      <c r="BO14" s="6">
        <v>1</v>
      </c>
      <c r="BP14" s="6">
        <v>0</v>
      </c>
      <c r="BQ14" s="6">
        <v>0</v>
      </c>
      <c r="BR14" s="6">
        <v>0</v>
      </c>
      <c r="BS14" s="6">
        <v>1</v>
      </c>
      <c r="BT14" s="7">
        <v>58</v>
      </c>
      <c r="BU14" s="16"/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1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7</v>
      </c>
      <c r="DJ14" s="8">
        <v>0</v>
      </c>
      <c r="DK14" s="8">
        <v>0</v>
      </c>
      <c r="DL14" s="8">
        <v>0</v>
      </c>
      <c r="DM14" s="8">
        <v>0</v>
      </c>
      <c r="DN14" s="8">
        <v>6</v>
      </c>
      <c r="DO14" s="8">
        <v>0</v>
      </c>
      <c r="DP14" s="8">
        <v>1</v>
      </c>
      <c r="DQ14" s="8">
        <v>0</v>
      </c>
      <c r="DR14" s="8">
        <v>0</v>
      </c>
      <c r="DS14" s="8">
        <v>19</v>
      </c>
      <c r="DT14" s="8">
        <v>1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3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5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2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9">
        <v>45</v>
      </c>
      <c r="GG14" s="3"/>
      <c r="GH14" s="10">
        <f t="shared" si="47"/>
        <v>0</v>
      </c>
      <c r="GI14" s="10">
        <f t="shared" si="47"/>
        <v>0</v>
      </c>
      <c r="GJ14" s="10">
        <f t="shared" si="47"/>
        <v>0</v>
      </c>
      <c r="GK14" s="10">
        <f t="shared" si="47"/>
        <v>0</v>
      </c>
      <c r="GL14" s="10">
        <f t="shared" si="47"/>
        <v>0</v>
      </c>
      <c r="GM14" s="10">
        <f t="shared" si="47"/>
        <v>0</v>
      </c>
      <c r="GN14" s="10">
        <f t="shared" si="47"/>
        <v>0</v>
      </c>
      <c r="GO14" s="10">
        <f t="shared" si="47"/>
        <v>0</v>
      </c>
      <c r="GP14" s="10">
        <f t="shared" si="47"/>
        <v>0</v>
      </c>
      <c r="GQ14" s="10">
        <f t="shared" si="47"/>
        <v>0</v>
      </c>
      <c r="GR14" s="10">
        <f t="shared" si="48"/>
        <v>0</v>
      </c>
      <c r="GS14" s="10">
        <f t="shared" si="48"/>
        <v>0</v>
      </c>
      <c r="GT14" s="10">
        <f t="shared" si="48"/>
        <v>0</v>
      </c>
      <c r="GU14" s="10">
        <f t="shared" si="48"/>
        <v>0</v>
      </c>
      <c r="GV14" s="10">
        <f t="shared" si="48"/>
        <v>0</v>
      </c>
      <c r="GW14" s="10">
        <f t="shared" si="48"/>
        <v>0</v>
      </c>
      <c r="GX14" s="10">
        <f t="shared" si="48"/>
        <v>0</v>
      </c>
      <c r="GY14" s="10">
        <f t="shared" si="48"/>
        <v>0</v>
      </c>
      <c r="GZ14" s="10">
        <f t="shared" si="48"/>
        <v>0</v>
      </c>
      <c r="HA14" s="10">
        <f t="shared" si="48"/>
        <v>0</v>
      </c>
      <c r="HB14" s="10">
        <f t="shared" si="49"/>
        <v>0</v>
      </c>
      <c r="HC14" s="10">
        <f t="shared" si="49"/>
        <v>0</v>
      </c>
      <c r="HD14" s="10">
        <f t="shared" si="49"/>
        <v>0</v>
      </c>
      <c r="HE14" s="10">
        <f t="shared" si="49"/>
        <v>1.0444444444444445</v>
      </c>
      <c r="HF14" s="10">
        <f t="shared" si="49"/>
        <v>0</v>
      </c>
      <c r="HG14" s="10">
        <f t="shared" si="49"/>
        <v>0</v>
      </c>
      <c r="HH14" s="10">
        <f t="shared" si="49"/>
        <v>0</v>
      </c>
      <c r="HI14" s="10">
        <f t="shared" si="49"/>
        <v>0</v>
      </c>
      <c r="HJ14" s="10">
        <f t="shared" si="49"/>
        <v>0</v>
      </c>
      <c r="HK14" s="10">
        <f t="shared" si="49"/>
        <v>0</v>
      </c>
      <c r="HL14" s="10">
        <f t="shared" si="50"/>
        <v>0</v>
      </c>
      <c r="HM14" s="10">
        <f t="shared" si="50"/>
        <v>0</v>
      </c>
      <c r="HN14" s="10">
        <f t="shared" si="50"/>
        <v>0</v>
      </c>
      <c r="HO14" s="10">
        <f t="shared" si="50"/>
        <v>0</v>
      </c>
      <c r="HP14" s="10">
        <f t="shared" si="50"/>
        <v>0</v>
      </c>
      <c r="HQ14" s="10">
        <f t="shared" si="50"/>
        <v>0</v>
      </c>
      <c r="HR14" s="10">
        <f t="shared" si="50"/>
        <v>0</v>
      </c>
      <c r="HS14" s="10">
        <f t="shared" si="50"/>
        <v>0</v>
      </c>
      <c r="HT14" s="10">
        <f t="shared" si="50"/>
        <v>0</v>
      </c>
      <c r="HU14" s="10">
        <f t="shared" si="50"/>
        <v>7.3111111111111109</v>
      </c>
      <c r="HV14" s="10">
        <f t="shared" si="51"/>
        <v>0</v>
      </c>
      <c r="HW14" s="10">
        <f t="shared" si="51"/>
        <v>0</v>
      </c>
      <c r="HX14" s="10">
        <f t="shared" si="51"/>
        <v>0</v>
      </c>
      <c r="HY14" s="10">
        <f t="shared" si="51"/>
        <v>0</v>
      </c>
      <c r="HZ14" s="10">
        <f t="shared" si="51"/>
        <v>6.2666666666666666</v>
      </c>
      <c r="IA14" s="10">
        <f t="shared" si="51"/>
        <v>0</v>
      </c>
      <c r="IB14" s="10">
        <f t="shared" si="51"/>
        <v>1.0444444444444445</v>
      </c>
      <c r="IC14" s="10">
        <f t="shared" si="51"/>
        <v>0</v>
      </c>
      <c r="ID14" s="10">
        <f t="shared" si="51"/>
        <v>0</v>
      </c>
      <c r="IE14" s="10">
        <f t="shared" si="51"/>
        <v>19.844444444444445</v>
      </c>
      <c r="IF14" s="10">
        <f t="shared" si="52"/>
        <v>1.0444444444444445</v>
      </c>
      <c r="IG14" s="10">
        <f t="shared" si="52"/>
        <v>0</v>
      </c>
      <c r="IH14" s="10">
        <f t="shared" si="52"/>
        <v>0</v>
      </c>
      <c r="II14" s="10">
        <f t="shared" si="52"/>
        <v>0</v>
      </c>
      <c r="IJ14" s="10">
        <f t="shared" si="52"/>
        <v>0</v>
      </c>
      <c r="IK14" s="10">
        <f t="shared" si="52"/>
        <v>0</v>
      </c>
      <c r="IL14" s="10">
        <f t="shared" si="52"/>
        <v>0</v>
      </c>
      <c r="IM14" s="10">
        <f t="shared" si="52"/>
        <v>0</v>
      </c>
      <c r="IN14" s="10">
        <f t="shared" si="52"/>
        <v>0</v>
      </c>
      <c r="IO14" s="10">
        <f t="shared" si="52"/>
        <v>0</v>
      </c>
      <c r="IP14" s="10">
        <f t="shared" si="53"/>
        <v>0</v>
      </c>
      <c r="IQ14" s="10">
        <f t="shared" si="53"/>
        <v>0</v>
      </c>
      <c r="IR14" s="10">
        <f t="shared" si="53"/>
        <v>0</v>
      </c>
      <c r="IS14" s="10">
        <f t="shared" si="53"/>
        <v>0</v>
      </c>
      <c r="IT14" s="10">
        <f t="shared" si="53"/>
        <v>0</v>
      </c>
      <c r="IU14" s="10">
        <f t="shared" si="53"/>
        <v>0</v>
      </c>
      <c r="IV14" s="10">
        <f t="shared" si="53"/>
        <v>0</v>
      </c>
      <c r="IW14" s="10">
        <f t="shared" si="53"/>
        <v>0</v>
      </c>
      <c r="IX14" s="10">
        <f t="shared" si="53"/>
        <v>0</v>
      </c>
      <c r="IY14" s="10">
        <f t="shared" si="53"/>
        <v>0</v>
      </c>
      <c r="IZ14" s="10">
        <f t="shared" si="54"/>
        <v>0</v>
      </c>
      <c r="JA14" s="10">
        <f t="shared" si="54"/>
        <v>0</v>
      </c>
      <c r="JB14" s="10">
        <f t="shared" si="54"/>
        <v>0</v>
      </c>
      <c r="JC14" s="10">
        <f t="shared" si="54"/>
        <v>0</v>
      </c>
      <c r="JD14" s="10">
        <f t="shared" si="54"/>
        <v>0</v>
      </c>
      <c r="JE14" s="10">
        <f t="shared" si="54"/>
        <v>3.1333333333333333</v>
      </c>
      <c r="JF14" s="10">
        <f t="shared" si="54"/>
        <v>0</v>
      </c>
      <c r="JG14" s="10">
        <v>0</v>
      </c>
      <c r="JH14" s="10">
        <f t="shared" si="55"/>
        <v>0</v>
      </c>
      <c r="JI14" s="10">
        <f t="shared" si="56"/>
        <v>0</v>
      </c>
      <c r="JJ14" s="10">
        <f t="shared" si="56"/>
        <v>0</v>
      </c>
      <c r="JK14" s="10">
        <f t="shared" si="56"/>
        <v>0</v>
      </c>
      <c r="JL14" s="10">
        <f t="shared" si="56"/>
        <v>0</v>
      </c>
      <c r="JM14" s="10">
        <f t="shared" si="56"/>
        <v>0</v>
      </c>
      <c r="JN14" s="10">
        <f t="shared" si="56"/>
        <v>0</v>
      </c>
      <c r="JO14" s="10">
        <f t="shared" si="56"/>
        <v>0</v>
      </c>
      <c r="JP14" s="10">
        <f t="shared" si="56"/>
        <v>0</v>
      </c>
      <c r="JQ14" s="10">
        <f t="shared" si="56"/>
        <v>0</v>
      </c>
      <c r="JR14" s="10">
        <f t="shared" si="56"/>
        <v>0</v>
      </c>
      <c r="JS14" s="10">
        <f t="shared" si="57"/>
        <v>0</v>
      </c>
      <c r="JT14" s="10">
        <f t="shared" si="57"/>
        <v>0</v>
      </c>
      <c r="JU14" s="10">
        <f t="shared" si="57"/>
        <v>0</v>
      </c>
      <c r="JV14" s="10">
        <f t="shared" si="57"/>
        <v>0</v>
      </c>
      <c r="JW14" s="10">
        <f t="shared" si="57"/>
        <v>0</v>
      </c>
      <c r="JX14" s="10">
        <f t="shared" si="57"/>
        <v>0</v>
      </c>
      <c r="JY14" s="10">
        <f t="shared" si="57"/>
        <v>5.2222222222222223</v>
      </c>
      <c r="JZ14" s="10">
        <f t="shared" si="57"/>
        <v>0</v>
      </c>
      <c r="KA14" s="10">
        <f t="shared" si="57"/>
        <v>0</v>
      </c>
      <c r="KB14" s="10">
        <f t="shared" si="57"/>
        <v>0</v>
      </c>
      <c r="KC14" s="10">
        <f t="shared" si="58"/>
        <v>0</v>
      </c>
      <c r="KD14" s="10">
        <f t="shared" si="58"/>
        <v>0</v>
      </c>
      <c r="KE14" s="10">
        <f t="shared" si="58"/>
        <v>0</v>
      </c>
      <c r="KF14" s="10">
        <f t="shared" si="58"/>
        <v>0</v>
      </c>
      <c r="KG14" s="10">
        <f t="shared" si="58"/>
        <v>0</v>
      </c>
      <c r="KH14" s="10">
        <f t="shared" si="58"/>
        <v>0</v>
      </c>
      <c r="KI14" s="10">
        <f t="shared" si="58"/>
        <v>0</v>
      </c>
      <c r="KJ14" s="10">
        <f t="shared" si="58"/>
        <v>0</v>
      </c>
      <c r="KK14" s="10">
        <f t="shared" si="58"/>
        <v>2.088888888888889</v>
      </c>
      <c r="KL14" s="10">
        <f t="shared" si="58"/>
        <v>0</v>
      </c>
      <c r="KM14" s="10">
        <f t="shared" si="59"/>
        <v>0</v>
      </c>
      <c r="KN14" s="10">
        <f t="shared" si="59"/>
        <v>0</v>
      </c>
      <c r="KO14" s="10">
        <f t="shared" si="59"/>
        <v>0</v>
      </c>
      <c r="KP14" s="10">
        <f t="shared" si="59"/>
        <v>0</v>
      </c>
      <c r="KQ14" s="11">
        <v>47</v>
      </c>
      <c r="KR14" s="16"/>
      <c r="KS14" s="12">
        <v>21.205750411731103</v>
      </c>
      <c r="KT14" s="26">
        <v>88</v>
      </c>
      <c r="KU14" s="26">
        <v>0.97727272727272729</v>
      </c>
      <c r="KV14" s="26">
        <v>1</v>
      </c>
      <c r="KW14" s="26">
        <v>-16.32</v>
      </c>
      <c r="KX14" s="26">
        <v>11.53</v>
      </c>
      <c r="KY14" s="27">
        <v>2.9310167039930395</v>
      </c>
      <c r="KZ14" s="27">
        <v>3.4191127412941285</v>
      </c>
      <c r="LA14" s="17"/>
      <c r="LB14" s="2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28"/>
      <c r="ML14" t="s">
        <v>831</v>
      </c>
      <c r="MM14" t="s">
        <v>293</v>
      </c>
      <c r="MN14" t="s">
        <v>232</v>
      </c>
      <c r="MO14" t="s">
        <v>233</v>
      </c>
      <c r="MP14" t="s">
        <v>234</v>
      </c>
      <c r="MQ14" t="s">
        <v>235</v>
      </c>
      <c r="MR14">
        <v>1</v>
      </c>
      <c r="MS14" t="s">
        <v>293</v>
      </c>
      <c r="MT14" t="s">
        <v>294</v>
      </c>
      <c r="MU14" t="s">
        <v>295</v>
      </c>
      <c r="MV14">
        <v>58</v>
      </c>
      <c r="MW14" s="13">
        <v>418</v>
      </c>
      <c r="MX14" s="13" t="s">
        <v>296</v>
      </c>
      <c r="MY14" t="s">
        <v>240</v>
      </c>
      <c r="MZ14" t="s">
        <v>241</v>
      </c>
      <c r="NA14" t="s">
        <v>242</v>
      </c>
      <c r="NB14" t="s">
        <v>297</v>
      </c>
      <c r="ND14" s="18">
        <v>43277</v>
      </c>
      <c r="NE14" s="19">
        <v>0.16041666666666668</v>
      </c>
      <c r="NF14" t="s">
        <v>298</v>
      </c>
      <c r="NG14" t="s">
        <v>136</v>
      </c>
      <c r="NH14" t="s">
        <v>246</v>
      </c>
      <c r="NI14">
        <v>94.9</v>
      </c>
      <c r="NJ14" t="s">
        <v>244</v>
      </c>
      <c r="NK14">
        <v>4</v>
      </c>
      <c r="NL14" t="s">
        <v>248</v>
      </c>
      <c r="NM14">
        <v>29.631599999999999</v>
      </c>
      <c r="NN14">
        <v>-84.922849999999997</v>
      </c>
      <c r="NO14" t="s">
        <v>248</v>
      </c>
      <c r="NP14" t="s">
        <v>266</v>
      </c>
      <c r="NQ14">
        <v>12</v>
      </c>
      <c r="NR14" t="s">
        <v>247</v>
      </c>
      <c r="NS14">
        <v>982000410608656</v>
      </c>
      <c r="NT14" t="s">
        <v>244</v>
      </c>
      <c r="NU14" t="s">
        <v>244</v>
      </c>
      <c r="NV14" t="s">
        <v>248</v>
      </c>
      <c r="NW14" t="s">
        <v>294</v>
      </c>
      <c r="NX14" t="s">
        <v>295</v>
      </c>
      <c r="NY14">
        <v>94.7</v>
      </c>
      <c r="NZ14">
        <v>94</v>
      </c>
      <c r="OA14">
        <v>86</v>
      </c>
      <c r="OB14" s="14">
        <v>21.205750411731103</v>
      </c>
      <c r="OC14" t="s">
        <v>248</v>
      </c>
      <c r="OD14" t="s">
        <v>247</v>
      </c>
      <c r="OE14" t="s">
        <v>248</v>
      </c>
      <c r="OF14" t="s">
        <v>299</v>
      </c>
      <c r="OG14" t="s">
        <v>247</v>
      </c>
      <c r="OH14">
        <v>60</v>
      </c>
      <c r="OI14" t="s">
        <v>294</v>
      </c>
      <c r="OJ14" t="s">
        <v>300</v>
      </c>
      <c r="OK14">
        <v>88</v>
      </c>
      <c r="OL14">
        <v>0.97727272727272729</v>
      </c>
      <c r="OM14">
        <v>1</v>
      </c>
      <c r="ON14">
        <v>-16.32</v>
      </c>
      <c r="OO14">
        <v>11.53</v>
      </c>
      <c r="OP14" s="25">
        <v>2.9310167039930395</v>
      </c>
      <c r="OQ14" s="25">
        <v>3.4191127412941285</v>
      </c>
      <c r="OR14" t="s">
        <v>911</v>
      </c>
      <c r="OS14" t="s">
        <v>910</v>
      </c>
    </row>
    <row r="15" spans="1:409" x14ac:dyDescent="0.25">
      <c r="A15" s="14">
        <v>14</v>
      </c>
      <c r="B15" s="1">
        <v>126</v>
      </c>
      <c r="C15" s="1">
        <v>5</v>
      </c>
      <c r="D15" s="1">
        <v>0</v>
      </c>
      <c r="E15" s="1">
        <v>20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248</v>
      </c>
      <c r="L15" s="1">
        <v>0</v>
      </c>
      <c r="M15" s="1">
        <v>0</v>
      </c>
      <c r="N15" s="1">
        <v>4</v>
      </c>
      <c r="O15" s="1">
        <v>0</v>
      </c>
      <c r="P15" s="1">
        <v>0</v>
      </c>
      <c r="Q15" s="1">
        <v>0</v>
      </c>
      <c r="R15" s="1">
        <v>19</v>
      </c>
      <c r="S15" s="1">
        <v>15</v>
      </c>
      <c r="T15" s="1">
        <v>0</v>
      </c>
      <c r="U15" s="1">
        <v>0</v>
      </c>
      <c r="V15" s="1">
        <v>0</v>
      </c>
      <c r="W15" s="1">
        <v>452</v>
      </c>
      <c r="X15" s="2">
        <v>889</v>
      </c>
      <c r="Y15" s="3"/>
      <c r="Z15" s="15">
        <f t="shared" si="0"/>
        <v>59.417845420974267</v>
      </c>
      <c r="AA15" s="15">
        <f t="shared" si="1"/>
        <v>2.35785100876882</v>
      </c>
      <c r="AB15" s="15">
        <f t="shared" si="2"/>
        <v>0</v>
      </c>
      <c r="AC15" s="15">
        <f t="shared" si="3"/>
        <v>9.4314040350752801</v>
      </c>
      <c r="AD15" s="15">
        <f t="shared" si="4"/>
        <v>0</v>
      </c>
      <c r="AE15" s="15">
        <f t="shared" si="5"/>
        <v>0</v>
      </c>
      <c r="AF15" s="15">
        <f t="shared" si="6"/>
        <v>0</v>
      </c>
      <c r="AG15" s="15">
        <f t="shared" si="7"/>
        <v>0</v>
      </c>
      <c r="AH15" s="15">
        <f t="shared" si="8"/>
        <v>0</v>
      </c>
      <c r="AI15" s="15">
        <f t="shared" si="9"/>
        <v>116.94941003493348</v>
      </c>
      <c r="AJ15" s="15">
        <f t="shared" si="10"/>
        <v>0</v>
      </c>
      <c r="AK15" s="15">
        <f t="shared" si="11"/>
        <v>0</v>
      </c>
      <c r="AL15" s="15">
        <f t="shared" si="12"/>
        <v>1.8862808070150561</v>
      </c>
      <c r="AM15" s="15">
        <f t="shared" si="13"/>
        <v>0</v>
      </c>
      <c r="AN15" s="15">
        <f t="shared" si="14"/>
        <v>0</v>
      </c>
      <c r="AO15" s="15">
        <f t="shared" si="15"/>
        <v>0</v>
      </c>
      <c r="AP15" s="15">
        <f t="shared" si="16"/>
        <v>8.9598338333215146</v>
      </c>
      <c r="AQ15" s="15">
        <f t="shared" si="17"/>
        <v>7.0735530263064597</v>
      </c>
      <c r="AR15" s="15">
        <f t="shared" si="18"/>
        <v>0</v>
      </c>
      <c r="AS15" s="15">
        <f t="shared" si="19"/>
        <v>0</v>
      </c>
      <c r="AT15" s="15">
        <f t="shared" si="20"/>
        <v>0</v>
      </c>
      <c r="AU15" s="15">
        <f t="shared" si="21"/>
        <v>213.14973119270132</v>
      </c>
      <c r="AV15" s="5">
        <f t="shared" si="22"/>
        <v>419.22590935909619</v>
      </c>
      <c r="AW15" s="16"/>
      <c r="AX15" s="6">
        <v>126</v>
      </c>
      <c r="AY15" s="6">
        <v>5</v>
      </c>
      <c r="AZ15" s="6">
        <v>0</v>
      </c>
      <c r="BA15" s="6">
        <v>20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248</v>
      </c>
      <c r="BH15" s="6">
        <v>0</v>
      </c>
      <c r="BI15" s="6">
        <v>0</v>
      </c>
      <c r="BJ15" s="6">
        <v>4</v>
      </c>
      <c r="BK15" s="6">
        <v>0</v>
      </c>
      <c r="BL15" s="6">
        <v>0</v>
      </c>
      <c r="BM15" s="6">
        <v>0</v>
      </c>
      <c r="BN15" s="6">
        <v>19</v>
      </c>
      <c r="BO15" s="6">
        <v>15</v>
      </c>
      <c r="BP15" s="6">
        <v>0</v>
      </c>
      <c r="BQ15" s="6">
        <v>0</v>
      </c>
      <c r="BR15" s="6">
        <v>0</v>
      </c>
      <c r="BS15" s="6">
        <v>452</v>
      </c>
      <c r="BT15" s="7">
        <v>889</v>
      </c>
      <c r="BU15" s="16"/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11</v>
      </c>
      <c r="CD15" s="8">
        <v>0</v>
      </c>
      <c r="CE15" s="8">
        <v>0</v>
      </c>
      <c r="CF15" s="8">
        <v>0</v>
      </c>
      <c r="CG15" s="8">
        <v>9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32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1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13</v>
      </c>
      <c r="FY15" s="8">
        <v>0</v>
      </c>
      <c r="FZ15" s="8">
        <v>8</v>
      </c>
      <c r="GA15" s="8">
        <v>1</v>
      </c>
      <c r="GB15" s="8">
        <v>0</v>
      </c>
      <c r="GC15" s="8">
        <v>0</v>
      </c>
      <c r="GD15" s="8">
        <v>0</v>
      </c>
      <c r="GE15" s="8">
        <v>0</v>
      </c>
      <c r="GF15" s="9">
        <v>75</v>
      </c>
      <c r="GG15" s="3"/>
      <c r="GH15" s="10">
        <f t="shared" si="47"/>
        <v>0</v>
      </c>
      <c r="GI15" s="10">
        <f t="shared" si="47"/>
        <v>0</v>
      </c>
      <c r="GJ15" s="10">
        <f t="shared" si="47"/>
        <v>0</v>
      </c>
      <c r="GK15" s="10">
        <f t="shared" si="47"/>
        <v>0</v>
      </c>
      <c r="GL15" s="10">
        <f t="shared" si="47"/>
        <v>0</v>
      </c>
      <c r="GM15" s="10">
        <f t="shared" si="47"/>
        <v>0</v>
      </c>
      <c r="GN15" s="10">
        <f t="shared" si="47"/>
        <v>0</v>
      </c>
      <c r="GO15" s="10">
        <f t="shared" si="47"/>
        <v>18.48</v>
      </c>
      <c r="GP15" s="10">
        <f t="shared" si="47"/>
        <v>0</v>
      </c>
      <c r="GQ15" s="10">
        <f t="shared" si="47"/>
        <v>0</v>
      </c>
      <c r="GR15" s="10">
        <f t="shared" si="48"/>
        <v>0</v>
      </c>
      <c r="GS15" s="10">
        <f t="shared" si="48"/>
        <v>15.12</v>
      </c>
      <c r="GT15" s="10">
        <f t="shared" si="48"/>
        <v>0</v>
      </c>
      <c r="GU15" s="10">
        <f t="shared" si="48"/>
        <v>0</v>
      </c>
      <c r="GV15" s="10">
        <f t="shared" si="48"/>
        <v>0</v>
      </c>
      <c r="GW15" s="10">
        <f t="shared" si="48"/>
        <v>0</v>
      </c>
      <c r="GX15" s="10">
        <f t="shared" si="48"/>
        <v>0</v>
      </c>
      <c r="GY15" s="10">
        <f t="shared" si="48"/>
        <v>0</v>
      </c>
      <c r="GZ15" s="10">
        <f t="shared" si="48"/>
        <v>0</v>
      </c>
      <c r="HA15" s="10">
        <f t="shared" si="48"/>
        <v>0</v>
      </c>
      <c r="HB15" s="10">
        <f t="shared" si="49"/>
        <v>0</v>
      </c>
      <c r="HC15" s="10">
        <f t="shared" si="49"/>
        <v>0</v>
      </c>
      <c r="HD15" s="10">
        <f t="shared" si="49"/>
        <v>0</v>
      </c>
      <c r="HE15" s="10">
        <f t="shared" si="49"/>
        <v>53.760000000000005</v>
      </c>
      <c r="HF15" s="10">
        <f t="shared" si="49"/>
        <v>0</v>
      </c>
      <c r="HG15" s="10">
        <f t="shared" si="49"/>
        <v>0</v>
      </c>
      <c r="HH15" s="10">
        <f t="shared" si="49"/>
        <v>0</v>
      </c>
      <c r="HI15" s="10">
        <f t="shared" si="49"/>
        <v>0</v>
      </c>
      <c r="HJ15" s="10">
        <f t="shared" si="49"/>
        <v>0</v>
      </c>
      <c r="HK15" s="10">
        <f t="shared" si="49"/>
        <v>0</v>
      </c>
      <c r="HL15" s="10">
        <f t="shared" si="50"/>
        <v>0</v>
      </c>
      <c r="HM15" s="10">
        <f t="shared" si="50"/>
        <v>0</v>
      </c>
      <c r="HN15" s="10">
        <f t="shared" si="50"/>
        <v>0</v>
      </c>
      <c r="HO15" s="10">
        <f t="shared" si="50"/>
        <v>0</v>
      </c>
      <c r="HP15" s="10">
        <f t="shared" si="50"/>
        <v>0</v>
      </c>
      <c r="HQ15" s="10">
        <f t="shared" si="50"/>
        <v>0</v>
      </c>
      <c r="HR15" s="10">
        <f t="shared" si="50"/>
        <v>0</v>
      </c>
      <c r="HS15" s="10">
        <f t="shared" si="50"/>
        <v>0</v>
      </c>
      <c r="HT15" s="10">
        <f t="shared" si="50"/>
        <v>0</v>
      </c>
      <c r="HU15" s="10">
        <f t="shared" si="50"/>
        <v>0</v>
      </c>
      <c r="HV15" s="10">
        <f t="shared" si="51"/>
        <v>0</v>
      </c>
      <c r="HW15" s="10">
        <f t="shared" si="51"/>
        <v>0</v>
      </c>
      <c r="HX15" s="10">
        <f t="shared" si="51"/>
        <v>0</v>
      </c>
      <c r="HY15" s="10">
        <f t="shared" si="51"/>
        <v>0</v>
      </c>
      <c r="HZ15" s="10">
        <f t="shared" si="51"/>
        <v>0</v>
      </c>
      <c r="IA15" s="10">
        <f t="shared" si="51"/>
        <v>0</v>
      </c>
      <c r="IB15" s="10">
        <f t="shared" si="51"/>
        <v>0</v>
      </c>
      <c r="IC15" s="10">
        <f t="shared" si="51"/>
        <v>0</v>
      </c>
      <c r="ID15" s="10">
        <f t="shared" si="51"/>
        <v>0</v>
      </c>
      <c r="IE15" s="10">
        <f t="shared" si="51"/>
        <v>0</v>
      </c>
      <c r="IF15" s="10">
        <f t="shared" si="52"/>
        <v>0</v>
      </c>
      <c r="IG15" s="10">
        <f t="shared" si="52"/>
        <v>0</v>
      </c>
      <c r="IH15" s="10">
        <f t="shared" si="52"/>
        <v>0</v>
      </c>
      <c r="II15" s="10">
        <f t="shared" si="52"/>
        <v>0</v>
      </c>
      <c r="IJ15" s="10">
        <f t="shared" si="52"/>
        <v>0</v>
      </c>
      <c r="IK15" s="10">
        <f t="shared" si="52"/>
        <v>0</v>
      </c>
      <c r="IL15" s="10">
        <f t="shared" si="52"/>
        <v>0</v>
      </c>
      <c r="IM15" s="10">
        <f t="shared" si="52"/>
        <v>0</v>
      </c>
      <c r="IN15" s="10">
        <f t="shared" si="52"/>
        <v>1.6800000000000002</v>
      </c>
      <c r="IO15" s="10">
        <f t="shared" si="52"/>
        <v>0</v>
      </c>
      <c r="IP15" s="10">
        <f t="shared" si="53"/>
        <v>0</v>
      </c>
      <c r="IQ15" s="10">
        <f t="shared" si="53"/>
        <v>0</v>
      </c>
      <c r="IR15" s="10">
        <f t="shared" si="53"/>
        <v>0</v>
      </c>
      <c r="IS15" s="10">
        <f t="shared" si="53"/>
        <v>0</v>
      </c>
      <c r="IT15" s="10">
        <f t="shared" si="53"/>
        <v>0</v>
      </c>
      <c r="IU15" s="10">
        <f t="shared" si="53"/>
        <v>0</v>
      </c>
      <c r="IV15" s="10">
        <f t="shared" si="53"/>
        <v>0</v>
      </c>
      <c r="IW15" s="10">
        <f t="shared" si="53"/>
        <v>0</v>
      </c>
      <c r="IX15" s="10">
        <f t="shared" si="53"/>
        <v>0</v>
      </c>
      <c r="IY15" s="10">
        <f t="shared" si="53"/>
        <v>0</v>
      </c>
      <c r="IZ15" s="10">
        <f t="shared" si="54"/>
        <v>0</v>
      </c>
      <c r="JA15" s="10">
        <f t="shared" si="54"/>
        <v>0</v>
      </c>
      <c r="JB15" s="10">
        <f t="shared" si="54"/>
        <v>0</v>
      </c>
      <c r="JC15" s="10">
        <f t="shared" si="54"/>
        <v>0</v>
      </c>
      <c r="JD15" s="10">
        <f t="shared" si="54"/>
        <v>0</v>
      </c>
      <c r="JE15" s="10">
        <f t="shared" si="54"/>
        <v>0</v>
      </c>
      <c r="JF15" s="10">
        <f t="shared" si="54"/>
        <v>0</v>
      </c>
      <c r="JG15" s="10">
        <v>0</v>
      </c>
      <c r="JH15" s="10">
        <f t="shared" si="55"/>
        <v>0</v>
      </c>
      <c r="JI15" s="10">
        <f t="shared" si="56"/>
        <v>0</v>
      </c>
      <c r="JJ15" s="10">
        <f t="shared" si="56"/>
        <v>0</v>
      </c>
      <c r="JK15" s="10">
        <f t="shared" si="56"/>
        <v>0</v>
      </c>
      <c r="JL15" s="10">
        <f t="shared" si="56"/>
        <v>0</v>
      </c>
      <c r="JM15" s="10">
        <f t="shared" si="56"/>
        <v>0</v>
      </c>
      <c r="JN15" s="10">
        <f t="shared" si="56"/>
        <v>0</v>
      </c>
      <c r="JO15" s="10">
        <f t="shared" si="56"/>
        <v>0</v>
      </c>
      <c r="JP15" s="10">
        <f t="shared" si="56"/>
        <v>0</v>
      </c>
      <c r="JQ15" s="10">
        <f t="shared" si="56"/>
        <v>0</v>
      </c>
      <c r="JR15" s="10">
        <f t="shared" si="56"/>
        <v>0</v>
      </c>
      <c r="JS15" s="10">
        <f t="shared" si="57"/>
        <v>0</v>
      </c>
      <c r="JT15" s="10">
        <f t="shared" si="57"/>
        <v>0</v>
      </c>
      <c r="JU15" s="10">
        <f t="shared" si="57"/>
        <v>0</v>
      </c>
      <c r="JV15" s="10">
        <f t="shared" si="57"/>
        <v>0</v>
      </c>
      <c r="JW15" s="10">
        <f t="shared" si="57"/>
        <v>0</v>
      </c>
      <c r="JX15" s="10">
        <f t="shared" si="57"/>
        <v>0</v>
      </c>
      <c r="JY15" s="10">
        <f t="shared" si="57"/>
        <v>0</v>
      </c>
      <c r="JZ15" s="10">
        <f t="shared" si="57"/>
        <v>0</v>
      </c>
      <c r="KA15" s="10">
        <f t="shared" si="57"/>
        <v>0</v>
      </c>
      <c r="KB15" s="10">
        <f t="shared" si="57"/>
        <v>0</v>
      </c>
      <c r="KC15" s="10">
        <f t="shared" si="58"/>
        <v>0</v>
      </c>
      <c r="KD15" s="10">
        <f t="shared" si="58"/>
        <v>0</v>
      </c>
      <c r="KE15" s="10">
        <f t="shared" si="58"/>
        <v>0</v>
      </c>
      <c r="KF15" s="10">
        <f t="shared" si="58"/>
        <v>0</v>
      </c>
      <c r="KG15" s="10">
        <f t="shared" si="58"/>
        <v>0</v>
      </c>
      <c r="KH15" s="10">
        <f t="shared" si="58"/>
        <v>0</v>
      </c>
      <c r="KI15" s="10">
        <f t="shared" si="58"/>
        <v>21.84</v>
      </c>
      <c r="KJ15" s="10">
        <f t="shared" si="58"/>
        <v>0</v>
      </c>
      <c r="KK15" s="10">
        <f t="shared" si="58"/>
        <v>13.440000000000001</v>
      </c>
      <c r="KL15" s="10">
        <f t="shared" si="58"/>
        <v>1.6800000000000002</v>
      </c>
      <c r="KM15" s="10">
        <f t="shared" si="59"/>
        <v>0</v>
      </c>
      <c r="KN15" s="10">
        <f t="shared" si="59"/>
        <v>0</v>
      </c>
      <c r="KO15" s="10">
        <f t="shared" si="59"/>
        <v>0</v>
      </c>
      <c r="KP15" s="10">
        <f t="shared" si="59"/>
        <v>0</v>
      </c>
      <c r="KQ15" s="11">
        <v>126.00000000000003</v>
      </c>
      <c r="KR15" s="16"/>
      <c r="KS15" s="12">
        <v>21.205750411731103</v>
      </c>
      <c r="KT15" s="26">
        <v>88</v>
      </c>
      <c r="KU15" s="26">
        <v>0.97727272727272729</v>
      </c>
      <c r="KV15" s="26">
        <v>1</v>
      </c>
      <c r="KW15" s="26">
        <v>-16.32</v>
      </c>
      <c r="KX15" s="26">
        <v>11.53</v>
      </c>
      <c r="KY15" s="27">
        <v>2.9310167039930395</v>
      </c>
      <c r="KZ15" s="27">
        <v>3.4191127412941285</v>
      </c>
      <c r="LA15" s="17"/>
      <c r="LB15" s="2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28"/>
      <c r="ML15" t="s">
        <v>832</v>
      </c>
      <c r="MM15" t="s">
        <v>293</v>
      </c>
      <c r="MN15" t="s">
        <v>232</v>
      </c>
      <c r="MO15" t="s">
        <v>257</v>
      </c>
      <c r="MP15" t="s">
        <v>258</v>
      </c>
      <c r="MQ15" t="s">
        <v>259</v>
      </c>
      <c r="MR15">
        <v>1</v>
      </c>
      <c r="MS15" t="s">
        <v>293</v>
      </c>
      <c r="MT15" t="s">
        <v>294</v>
      </c>
      <c r="MU15" t="s">
        <v>295</v>
      </c>
      <c r="MV15">
        <v>889</v>
      </c>
      <c r="MW15" s="13">
        <v>418</v>
      </c>
      <c r="MX15" s="13" t="s">
        <v>296</v>
      </c>
      <c r="MY15" t="s">
        <v>240</v>
      </c>
      <c r="MZ15" t="s">
        <v>241</v>
      </c>
      <c r="NA15" t="s">
        <v>242</v>
      </c>
      <c r="NB15" t="s">
        <v>297</v>
      </c>
      <c r="ND15" s="18">
        <v>43277</v>
      </c>
      <c r="NE15" s="19">
        <v>0.16041666666666668</v>
      </c>
      <c r="NF15" t="s">
        <v>298</v>
      </c>
      <c r="NG15" t="s">
        <v>136</v>
      </c>
      <c r="NH15" t="s">
        <v>246</v>
      </c>
      <c r="NI15">
        <v>94.9</v>
      </c>
      <c r="NJ15" t="s">
        <v>244</v>
      </c>
      <c r="NK15">
        <v>4</v>
      </c>
      <c r="NL15" t="s">
        <v>248</v>
      </c>
      <c r="NM15">
        <v>29.631599999999999</v>
      </c>
      <c r="NN15">
        <v>-84.922849999999997</v>
      </c>
      <c r="NO15" t="s">
        <v>248</v>
      </c>
      <c r="NP15" t="s">
        <v>266</v>
      </c>
      <c r="NQ15">
        <v>12</v>
      </c>
      <c r="NR15" t="s">
        <v>247</v>
      </c>
      <c r="NS15">
        <v>982000410608656</v>
      </c>
      <c r="NT15" t="s">
        <v>244</v>
      </c>
      <c r="NU15" t="s">
        <v>244</v>
      </c>
      <c r="NV15" t="s">
        <v>248</v>
      </c>
      <c r="NW15" t="s">
        <v>294</v>
      </c>
      <c r="NX15" t="s">
        <v>295</v>
      </c>
      <c r="NY15">
        <v>94.7</v>
      </c>
      <c r="NZ15">
        <v>94</v>
      </c>
      <c r="OA15">
        <v>86</v>
      </c>
      <c r="OB15" s="14">
        <v>21.205750411731103</v>
      </c>
      <c r="OC15" t="s">
        <v>248</v>
      </c>
      <c r="OD15" t="s">
        <v>247</v>
      </c>
      <c r="OE15" t="s">
        <v>248</v>
      </c>
      <c r="OF15" t="s">
        <v>299</v>
      </c>
      <c r="OG15" t="s">
        <v>247</v>
      </c>
      <c r="OH15">
        <v>58</v>
      </c>
      <c r="OI15" t="s">
        <v>294</v>
      </c>
      <c r="OJ15" t="s">
        <v>300</v>
      </c>
      <c r="OK15">
        <v>88</v>
      </c>
      <c r="OL15">
        <v>0.97727272727272729</v>
      </c>
      <c r="OM15">
        <v>1</v>
      </c>
      <c r="ON15">
        <v>-16.32</v>
      </c>
      <c r="OO15">
        <v>11.53</v>
      </c>
      <c r="OP15" s="25">
        <v>2.9310167039930395</v>
      </c>
      <c r="OQ15" s="25">
        <v>3.4191127412941285</v>
      </c>
      <c r="OR15" t="s">
        <v>911</v>
      </c>
      <c r="OS15" t="s">
        <v>911</v>
      </c>
    </row>
    <row r="16" spans="1:409" x14ac:dyDescent="0.25">
      <c r="A16" s="14">
        <v>15</v>
      </c>
      <c r="B16" s="1">
        <v>213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53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12</v>
      </c>
      <c r="X16" s="2">
        <v>278</v>
      </c>
      <c r="Y16" s="3"/>
      <c r="Z16" s="15">
        <f t="shared" si="0"/>
        <v>100.44445297355173</v>
      </c>
      <c r="AA16" s="15">
        <f t="shared" si="1"/>
        <v>0</v>
      </c>
      <c r="AB16" s="15">
        <f t="shared" si="2"/>
        <v>0</v>
      </c>
      <c r="AC16" s="15">
        <f t="shared" si="3"/>
        <v>0</v>
      </c>
      <c r="AD16" s="15">
        <f t="shared" si="4"/>
        <v>0</v>
      </c>
      <c r="AE16" s="15">
        <f t="shared" si="5"/>
        <v>0</v>
      </c>
      <c r="AF16" s="15">
        <f t="shared" si="6"/>
        <v>0</v>
      </c>
      <c r="AG16" s="15">
        <f t="shared" si="7"/>
        <v>0</v>
      </c>
      <c r="AH16" s="15">
        <f t="shared" si="8"/>
        <v>0</v>
      </c>
      <c r="AI16" s="15">
        <f t="shared" si="9"/>
        <v>24.993220692949492</v>
      </c>
      <c r="AJ16" s="15">
        <f t="shared" si="10"/>
        <v>0</v>
      </c>
      <c r="AK16" s="15">
        <f t="shared" si="11"/>
        <v>0</v>
      </c>
      <c r="AL16" s="15">
        <f t="shared" si="12"/>
        <v>0</v>
      </c>
      <c r="AM16" s="15">
        <f t="shared" si="13"/>
        <v>0</v>
      </c>
      <c r="AN16" s="15">
        <f t="shared" si="14"/>
        <v>0</v>
      </c>
      <c r="AO16" s="15">
        <f t="shared" si="15"/>
        <v>0</v>
      </c>
      <c r="AP16" s="15">
        <f t="shared" si="16"/>
        <v>0</v>
      </c>
      <c r="AQ16" s="15">
        <f t="shared" si="17"/>
        <v>0</v>
      </c>
      <c r="AR16" s="15">
        <f t="shared" si="18"/>
        <v>0</v>
      </c>
      <c r="AS16" s="15">
        <f t="shared" si="19"/>
        <v>0</v>
      </c>
      <c r="AT16" s="15">
        <f t="shared" si="20"/>
        <v>0</v>
      </c>
      <c r="AU16" s="15">
        <f t="shared" si="21"/>
        <v>5.6588424210451684</v>
      </c>
      <c r="AV16" s="5">
        <f t="shared" si="22"/>
        <v>131.09651608754638</v>
      </c>
      <c r="AW16" s="16"/>
      <c r="AX16" s="6">
        <v>213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53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12</v>
      </c>
      <c r="BT16" s="7">
        <v>278</v>
      </c>
      <c r="BU16" s="16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9"/>
      <c r="GG16" s="3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1"/>
      <c r="KR16" s="16"/>
      <c r="KS16" s="12">
        <v>21.205750411731103</v>
      </c>
      <c r="KT16" s="26">
        <v>88</v>
      </c>
      <c r="KU16" s="26">
        <v>0.97727272727272729</v>
      </c>
      <c r="KV16" s="26">
        <v>1</v>
      </c>
      <c r="KW16" s="26">
        <v>-16.32</v>
      </c>
      <c r="KX16" s="26">
        <v>11.53</v>
      </c>
      <c r="KY16" s="27">
        <v>2.9310167039930395</v>
      </c>
      <c r="KZ16" s="27">
        <v>3.4191127412941285</v>
      </c>
      <c r="LA16" s="17"/>
      <c r="LB16" s="2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28"/>
      <c r="ML16" t="s">
        <v>832</v>
      </c>
      <c r="MM16" t="s">
        <v>301</v>
      </c>
      <c r="MN16" t="s">
        <v>232</v>
      </c>
      <c r="MO16" t="s">
        <v>257</v>
      </c>
      <c r="MP16" t="s">
        <v>258</v>
      </c>
      <c r="MQ16" t="s">
        <v>259</v>
      </c>
      <c r="MR16">
        <v>1</v>
      </c>
      <c r="MS16" t="s">
        <v>293</v>
      </c>
      <c r="MT16" t="s">
        <v>294</v>
      </c>
      <c r="MU16" t="s">
        <v>295</v>
      </c>
      <c r="MV16">
        <v>278</v>
      </c>
      <c r="MW16" s="13">
        <v>418</v>
      </c>
      <c r="MX16" s="13" t="s">
        <v>296</v>
      </c>
      <c r="MY16" t="s">
        <v>240</v>
      </c>
      <c r="MZ16" t="s">
        <v>241</v>
      </c>
      <c r="NA16" t="s">
        <v>242</v>
      </c>
      <c r="NB16" t="s">
        <v>297</v>
      </c>
      <c r="ND16" s="18">
        <v>43277</v>
      </c>
      <c r="NE16" s="19">
        <v>0.16041666666666668</v>
      </c>
      <c r="NF16" t="s">
        <v>298</v>
      </c>
      <c r="NG16" t="s">
        <v>136</v>
      </c>
      <c r="NH16" t="s">
        <v>246</v>
      </c>
      <c r="NI16">
        <v>94.9</v>
      </c>
      <c r="NJ16" t="s">
        <v>244</v>
      </c>
      <c r="NK16">
        <v>4</v>
      </c>
      <c r="NL16" t="s">
        <v>248</v>
      </c>
      <c r="NM16">
        <v>29.631599999999999</v>
      </c>
      <c r="NN16">
        <v>-84.922849999999997</v>
      </c>
      <c r="NO16" t="s">
        <v>248</v>
      </c>
      <c r="NP16" t="s">
        <v>266</v>
      </c>
      <c r="NQ16">
        <v>12</v>
      </c>
      <c r="NR16" t="s">
        <v>247</v>
      </c>
      <c r="NS16">
        <v>982000410608656</v>
      </c>
      <c r="NT16" t="s">
        <v>244</v>
      </c>
      <c r="NU16" t="s">
        <v>244</v>
      </c>
      <c r="NV16" t="s">
        <v>248</v>
      </c>
      <c r="NW16" t="s">
        <v>294</v>
      </c>
      <c r="NX16" t="s">
        <v>295</v>
      </c>
      <c r="NY16">
        <v>94.7</v>
      </c>
      <c r="NZ16">
        <v>94</v>
      </c>
      <c r="OA16">
        <v>86</v>
      </c>
      <c r="OB16" s="14">
        <v>21.205750411731103</v>
      </c>
      <c r="OC16" t="s">
        <v>248</v>
      </c>
      <c r="OD16" t="s">
        <v>247</v>
      </c>
      <c r="OE16" t="s">
        <v>248</v>
      </c>
      <c r="OF16" t="s">
        <v>299</v>
      </c>
      <c r="OG16" t="s">
        <v>247</v>
      </c>
      <c r="OH16">
        <v>59</v>
      </c>
      <c r="OI16" t="s">
        <v>294</v>
      </c>
      <c r="OJ16" t="s">
        <v>300</v>
      </c>
      <c r="OK16">
        <v>88</v>
      </c>
      <c r="OL16">
        <v>0.97727272727272729</v>
      </c>
      <c r="OM16">
        <v>1</v>
      </c>
      <c r="ON16">
        <v>-16.32</v>
      </c>
      <c r="OO16">
        <v>11.53</v>
      </c>
      <c r="OP16" s="25">
        <v>2.9310167039930395</v>
      </c>
      <c r="OQ16" s="25">
        <v>3.4191127412941285</v>
      </c>
      <c r="OR16" t="s">
        <v>911</v>
      </c>
      <c r="OS16" t="s">
        <v>911</v>
      </c>
    </row>
    <row r="17" spans="1:409" x14ac:dyDescent="0.25">
      <c r="A17" s="14">
        <v>16</v>
      </c>
      <c r="B17" s="1">
        <v>56</v>
      </c>
      <c r="C17" s="1">
        <v>0</v>
      </c>
      <c r="D17" s="1">
        <v>0</v>
      </c>
      <c r="E17" s="1">
        <v>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2">
        <v>58</v>
      </c>
      <c r="Y17" s="3"/>
      <c r="Z17" s="15">
        <f t="shared" si="0"/>
        <v>26.407931298210784</v>
      </c>
      <c r="AA17" s="15">
        <f t="shared" si="1"/>
        <v>0</v>
      </c>
      <c r="AB17" s="15">
        <f t="shared" si="2"/>
        <v>0</v>
      </c>
      <c r="AC17" s="15">
        <f t="shared" si="3"/>
        <v>0.94314040350752804</v>
      </c>
      <c r="AD17" s="15">
        <f t="shared" si="4"/>
        <v>0</v>
      </c>
      <c r="AE17" s="15">
        <f t="shared" si="5"/>
        <v>0</v>
      </c>
      <c r="AF17" s="15">
        <f t="shared" si="6"/>
        <v>0</v>
      </c>
      <c r="AG17" s="15">
        <f t="shared" si="7"/>
        <v>0</v>
      </c>
      <c r="AH17" s="15">
        <f t="shared" si="8"/>
        <v>0</v>
      </c>
      <c r="AI17" s="15">
        <f t="shared" si="9"/>
        <v>0</v>
      </c>
      <c r="AJ17" s="15">
        <f t="shared" si="10"/>
        <v>0</v>
      </c>
      <c r="AK17" s="15">
        <f t="shared" si="11"/>
        <v>0</v>
      </c>
      <c r="AL17" s="15">
        <f t="shared" si="12"/>
        <v>0</v>
      </c>
      <c r="AM17" s="15">
        <f t="shared" si="13"/>
        <v>0</v>
      </c>
      <c r="AN17" s="15">
        <f t="shared" si="14"/>
        <v>0</v>
      </c>
      <c r="AO17" s="15">
        <f t="shared" si="15"/>
        <v>0</v>
      </c>
      <c r="AP17" s="15">
        <f t="shared" si="16"/>
        <v>0</v>
      </c>
      <c r="AQ17" s="15">
        <f t="shared" si="17"/>
        <v>0</v>
      </c>
      <c r="AR17" s="15">
        <f t="shared" si="18"/>
        <v>0</v>
      </c>
      <c r="AS17" s="15">
        <f t="shared" si="19"/>
        <v>0</v>
      </c>
      <c r="AT17" s="15">
        <f t="shared" si="20"/>
        <v>0</v>
      </c>
      <c r="AU17" s="15">
        <f t="shared" si="21"/>
        <v>0</v>
      </c>
      <c r="AV17" s="5">
        <f t="shared" si="22"/>
        <v>27.351071701718311</v>
      </c>
      <c r="AW17" s="16"/>
      <c r="AX17" s="6">
        <v>56</v>
      </c>
      <c r="AY17" s="6">
        <v>0</v>
      </c>
      <c r="AZ17" s="6">
        <v>0</v>
      </c>
      <c r="BA17" s="6">
        <v>2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7">
        <v>58</v>
      </c>
      <c r="BU17" s="16"/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1.0000000000000002</v>
      </c>
      <c r="DT17" s="8">
        <v>0</v>
      </c>
      <c r="DU17" s="8">
        <v>0</v>
      </c>
      <c r="DV17" s="8">
        <v>48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2.0000000000000004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9">
        <v>51</v>
      </c>
      <c r="GG17" s="3"/>
      <c r="GH17" s="10">
        <f t="shared" ref="GH17:GH48" si="60">(BV17/$GF17)*$AX17</f>
        <v>0</v>
      </c>
      <c r="GI17" s="10">
        <f t="shared" ref="GI17:GI48" si="61">(BW17/$GF17)*$AX17</f>
        <v>0</v>
      </c>
      <c r="GJ17" s="10">
        <f t="shared" ref="GJ17:GJ48" si="62">(BX17/$GF17)*$AX17</f>
        <v>0</v>
      </c>
      <c r="GK17" s="10">
        <f t="shared" ref="GK17:GK48" si="63">(BY17/$GF17)*$AX17</f>
        <v>0</v>
      </c>
      <c r="GL17" s="10">
        <f t="shared" ref="GL17:GL48" si="64">(BZ17/$GF17)*$AX17</f>
        <v>0</v>
      </c>
      <c r="GM17" s="10">
        <f t="shared" ref="GM17:GM48" si="65">(CA17/$GF17)*$AX17</f>
        <v>0</v>
      </c>
      <c r="GN17" s="10">
        <f t="shared" ref="GN17:GN48" si="66">(CB17/$GF17)*$AX17</f>
        <v>0</v>
      </c>
      <c r="GO17" s="10">
        <f t="shared" ref="GO17:GO48" si="67">(CC17/$GF17)*$AX17</f>
        <v>0</v>
      </c>
      <c r="GP17" s="10">
        <f t="shared" ref="GP17:GP48" si="68">(CD17/$GF17)*$AX17</f>
        <v>0</v>
      </c>
      <c r="GQ17" s="10">
        <f t="shared" ref="GQ17:GQ48" si="69">(CE17/$GF17)*$AX17</f>
        <v>0</v>
      </c>
      <c r="GR17" s="10">
        <f t="shared" ref="GR17:GR48" si="70">(CF17/$GF17)*$AX17</f>
        <v>0</v>
      </c>
      <c r="GS17" s="10">
        <f t="shared" ref="GS17:GS48" si="71">(CG17/$GF17)*$AX17</f>
        <v>0</v>
      </c>
      <c r="GT17" s="10">
        <f t="shared" ref="GT17:GT48" si="72">(CH17/$GF17)*$AX17</f>
        <v>0</v>
      </c>
      <c r="GU17" s="10">
        <f t="shared" ref="GU17:GU48" si="73">(CI17/$GF17)*$AX17</f>
        <v>0</v>
      </c>
      <c r="GV17" s="10">
        <f t="shared" ref="GV17:GV48" si="74">(CJ17/$GF17)*$AX17</f>
        <v>0</v>
      </c>
      <c r="GW17" s="10">
        <f t="shared" ref="GW17:GW48" si="75">(CK17/$GF17)*$AX17</f>
        <v>0</v>
      </c>
      <c r="GX17" s="10">
        <f t="shared" ref="GX17:GX48" si="76">(CL17/$GF17)*$AX17</f>
        <v>0</v>
      </c>
      <c r="GY17" s="10">
        <f t="shared" ref="GY17:GY48" si="77">(CM17/$GF17)*$AX17</f>
        <v>0</v>
      </c>
      <c r="GZ17" s="10">
        <f t="shared" ref="GZ17:GZ48" si="78">(CN17/$GF17)*$AX17</f>
        <v>0</v>
      </c>
      <c r="HA17" s="10">
        <f t="shared" ref="HA17:HA48" si="79">(CO17/$GF17)*$AX17</f>
        <v>0</v>
      </c>
      <c r="HB17" s="10">
        <f t="shared" ref="HB17:HB48" si="80">(CP17/$GF17)*$AX17</f>
        <v>0</v>
      </c>
      <c r="HC17" s="10">
        <f t="shared" ref="HC17:HC48" si="81">(CQ17/$GF17)*$AX17</f>
        <v>0</v>
      </c>
      <c r="HD17" s="10">
        <f t="shared" ref="HD17:HD48" si="82">(CR17/$GF17)*$AX17</f>
        <v>0</v>
      </c>
      <c r="HE17" s="10">
        <f t="shared" ref="HE17:HE48" si="83">(CS17/$GF17)*$AX17</f>
        <v>0</v>
      </c>
      <c r="HF17" s="10">
        <f t="shared" ref="HF17:HF48" si="84">(CT17/$GF17)*$AX17</f>
        <v>0</v>
      </c>
      <c r="HG17" s="10">
        <f t="shared" ref="HG17:HG48" si="85">(CU17/$GF17)*$AX17</f>
        <v>0</v>
      </c>
      <c r="HH17" s="10">
        <f t="shared" ref="HH17:HH48" si="86">(CV17/$GF17)*$AX17</f>
        <v>0</v>
      </c>
      <c r="HI17" s="10">
        <f t="shared" ref="HI17:HI48" si="87">(CW17/$GF17)*$AX17</f>
        <v>0</v>
      </c>
      <c r="HJ17" s="10">
        <f t="shared" ref="HJ17:HJ48" si="88">(CX17/$GF17)*$AX17</f>
        <v>0</v>
      </c>
      <c r="HK17" s="10">
        <f t="shared" ref="HK17:HK48" si="89">(CY17/$GF17)*$AX17</f>
        <v>0</v>
      </c>
      <c r="HL17" s="10">
        <f t="shared" ref="HL17:HL48" si="90">(CZ17/$GF17)*$AX17</f>
        <v>0</v>
      </c>
      <c r="HM17" s="10">
        <f t="shared" ref="HM17:HM48" si="91">(DA17/$GF17)*$AX17</f>
        <v>0</v>
      </c>
      <c r="HN17" s="10">
        <f t="shared" ref="HN17:HN48" si="92">(DB17/$GF17)*$AX17</f>
        <v>0</v>
      </c>
      <c r="HO17" s="10">
        <f t="shared" ref="HO17:HO48" si="93">(DC17/$GF17)*$AX17</f>
        <v>0</v>
      </c>
      <c r="HP17" s="10">
        <f t="shared" ref="HP17:HP48" si="94">(DD17/$GF17)*$AX17</f>
        <v>0</v>
      </c>
      <c r="HQ17" s="10">
        <f t="shared" ref="HQ17:HQ48" si="95">(DE17/$GF17)*$AX17</f>
        <v>0</v>
      </c>
      <c r="HR17" s="10">
        <f t="shared" ref="HR17:HR48" si="96">(DF17/$GF17)*$AX17</f>
        <v>0</v>
      </c>
      <c r="HS17" s="10">
        <f t="shared" ref="HS17:HS48" si="97">(DG17/$GF17)*$AX17</f>
        <v>0</v>
      </c>
      <c r="HT17" s="10">
        <f t="shared" ref="HT17:HT48" si="98">(DH17/$GF17)*$AX17</f>
        <v>0</v>
      </c>
      <c r="HU17" s="10">
        <f t="shared" ref="HU17:HU48" si="99">(DI17/$GF17)*$AX17</f>
        <v>0</v>
      </c>
      <c r="HV17" s="10">
        <f t="shared" ref="HV17:HV48" si="100">(DJ17/$GF17)*$AX17</f>
        <v>0</v>
      </c>
      <c r="HW17" s="10">
        <f t="shared" ref="HW17:HW48" si="101">(DK17/$GF17)*$AX17</f>
        <v>0</v>
      </c>
      <c r="HX17" s="10">
        <f t="shared" ref="HX17:HX48" si="102">(DL17/$GF17)*$AX17</f>
        <v>0</v>
      </c>
      <c r="HY17" s="10">
        <f t="shared" ref="HY17:HY48" si="103">(DM17/$GF17)*$AX17</f>
        <v>0</v>
      </c>
      <c r="HZ17" s="10">
        <f t="shared" ref="HZ17:HZ48" si="104">(DN17/$GF17)*$AX17</f>
        <v>0</v>
      </c>
      <c r="IA17" s="10">
        <f t="shared" ref="IA17:IA48" si="105">(DO17/$GF17)*$AX17</f>
        <v>0</v>
      </c>
      <c r="IB17" s="10">
        <f t="shared" ref="IB17:IB48" si="106">(DP17/$GF17)*$AX17</f>
        <v>0</v>
      </c>
      <c r="IC17" s="10">
        <f t="shared" ref="IC17:IC48" si="107">(DQ17/$GF17)*$AX17</f>
        <v>0</v>
      </c>
      <c r="ID17" s="10">
        <f t="shared" ref="ID17:ID48" si="108">(DR17/$GF17)*$AX17</f>
        <v>0</v>
      </c>
      <c r="IE17" s="10">
        <f t="shared" ref="IE17:IE48" si="109">(DS17/$GF17)*$AX17</f>
        <v>1.0980392156862746</v>
      </c>
      <c r="IF17" s="10">
        <f t="shared" ref="IF17:IF48" si="110">(DT17/$GF17)*$AX17</f>
        <v>0</v>
      </c>
      <c r="IG17" s="10">
        <f t="shared" ref="IG17:IG48" si="111">(DU17/$GF17)*$AX17</f>
        <v>0</v>
      </c>
      <c r="IH17" s="10">
        <f t="shared" ref="IH17:IH48" si="112">(DV17/$GF17)*$AX17</f>
        <v>52.705882352941174</v>
      </c>
      <c r="II17" s="10">
        <f t="shared" ref="II17:II48" si="113">(DW17/$GF17)*$AX17</f>
        <v>0</v>
      </c>
      <c r="IJ17" s="10">
        <f t="shared" ref="IJ17:IJ48" si="114">(DX17/$GF17)*$AX17</f>
        <v>0</v>
      </c>
      <c r="IK17" s="10">
        <f t="shared" ref="IK17:IK48" si="115">(DY17/$GF17)*$AX17</f>
        <v>0</v>
      </c>
      <c r="IL17" s="10">
        <f t="shared" ref="IL17:IL48" si="116">(DZ17/$GF17)*$AX17</f>
        <v>0</v>
      </c>
      <c r="IM17" s="10">
        <f t="shared" ref="IM17:IM48" si="117">(EA17/$GF17)*$AX17</f>
        <v>0</v>
      </c>
      <c r="IN17" s="10">
        <f t="shared" ref="IN17:IN48" si="118">(EB17/$GF17)*$AX17</f>
        <v>0</v>
      </c>
      <c r="IO17" s="10">
        <f t="shared" ref="IO17:IO48" si="119">(EC17/$GF17)*$AX17</f>
        <v>0</v>
      </c>
      <c r="IP17" s="10">
        <f t="shared" ref="IP17:IP48" si="120">(ED17/$GF17)*$AX17</f>
        <v>0</v>
      </c>
      <c r="IQ17" s="10">
        <f t="shared" ref="IQ17:IQ48" si="121">(EE17/$GF17)*$AX17</f>
        <v>0</v>
      </c>
      <c r="IR17" s="10">
        <f t="shared" ref="IR17:IR48" si="122">(EF17/$GF17)*$AX17</f>
        <v>0</v>
      </c>
      <c r="IS17" s="10">
        <f t="shared" ref="IS17:IS48" si="123">(EG17/$GF17)*$AX17</f>
        <v>0</v>
      </c>
      <c r="IT17" s="10">
        <f t="shared" ref="IT17:IT48" si="124">(EH17/$GF17)*$AX17</f>
        <v>0</v>
      </c>
      <c r="IU17" s="10">
        <f t="shared" ref="IU17:IU48" si="125">(EI17/$GF17)*$AX17</f>
        <v>0</v>
      </c>
      <c r="IV17" s="10">
        <f t="shared" ref="IV17:IV48" si="126">(EJ17/$GF17)*$AX17</f>
        <v>0</v>
      </c>
      <c r="IW17" s="10">
        <f t="shared" ref="IW17:IW48" si="127">(EK17/$GF17)*$AX17</f>
        <v>0</v>
      </c>
      <c r="IX17" s="10">
        <f t="shared" ref="IX17:IX48" si="128">(EL17/$GF17)*$AX17</f>
        <v>0</v>
      </c>
      <c r="IY17" s="10">
        <f t="shared" ref="IY17:IY48" si="129">(EM17/$GF17)*$AX17</f>
        <v>0</v>
      </c>
      <c r="IZ17" s="10">
        <f t="shared" ref="IZ17:IZ48" si="130">(EN17/$GF17)*$AX17</f>
        <v>0</v>
      </c>
      <c r="JA17" s="10">
        <f t="shared" ref="JA17:JA48" si="131">(EO17/$GF17)*$AX17</f>
        <v>0</v>
      </c>
      <c r="JB17" s="10">
        <f t="shared" ref="JB17:JB48" si="132">(EP17/$GF17)*$AX17</f>
        <v>0</v>
      </c>
      <c r="JC17" s="10">
        <f t="shared" ref="JC17:JC48" si="133">(EQ17/$GF17)*$AX17</f>
        <v>0</v>
      </c>
      <c r="JD17" s="10">
        <f t="shared" ref="JD17:JD48" si="134">(ER17/$GF17)*$AX17</f>
        <v>0</v>
      </c>
      <c r="JE17" s="10">
        <f t="shared" ref="JE17:JE48" si="135">(ES17/$GF17)*$AX17</f>
        <v>0</v>
      </c>
      <c r="JF17" s="10">
        <f t="shared" ref="JF17:JF48" si="136">(ET17/$GF17)*$AX17</f>
        <v>0</v>
      </c>
      <c r="JG17" s="10">
        <v>0</v>
      </c>
      <c r="JH17" s="10">
        <f t="shared" ref="JH17:JH48" si="137">(EV17/$GF17)*$AX17</f>
        <v>0</v>
      </c>
      <c r="JI17" s="10">
        <f t="shared" ref="JI17:JI48" si="138">(EX17/$GF17)*$AX17</f>
        <v>0</v>
      </c>
      <c r="JJ17" s="10">
        <f t="shared" ref="JJ17:JJ48" si="139">(EY17/$GF17)*$AX17</f>
        <v>0</v>
      </c>
      <c r="JK17" s="10">
        <f t="shared" ref="JK17:JK48" si="140">(EZ17/$GF17)*$AX17</f>
        <v>0</v>
      </c>
      <c r="JL17" s="10">
        <f t="shared" ref="JL17:JL48" si="141">(FA17/$GF17)*$AX17</f>
        <v>0</v>
      </c>
      <c r="JM17" s="10">
        <f t="shared" ref="JM17:JM48" si="142">(FB17/$GF17)*$AX17</f>
        <v>0</v>
      </c>
      <c r="JN17" s="10">
        <f t="shared" ref="JN17:JN48" si="143">(FC17/$GF17)*$AX17</f>
        <v>0</v>
      </c>
      <c r="JO17" s="10">
        <f t="shared" ref="JO17:JO48" si="144">(FD17/$GF17)*$AX17</f>
        <v>0</v>
      </c>
      <c r="JP17" s="10">
        <f t="shared" ref="JP17:JP48" si="145">(FE17/$GF17)*$AX17</f>
        <v>0</v>
      </c>
      <c r="JQ17" s="10">
        <f t="shared" ref="JQ17:JQ48" si="146">(FF17/$GF17)*$AX17</f>
        <v>0</v>
      </c>
      <c r="JR17" s="10">
        <f t="shared" ref="JR17:JR48" si="147">(FG17/$GF17)*$AX17</f>
        <v>0</v>
      </c>
      <c r="JS17" s="10">
        <f t="shared" ref="JS17:JS48" si="148">(FH17/$GF17)*$AX17</f>
        <v>0</v>
      </c>
      <c r="JT17" s="10">
        <f t="shared" ref="JT17:JT48" si="149">(FI17/$GF17)*$AX17</f>
        <v>0</v>
      </c>
      <c r="JU17" s="10">
        <f t="shared" ref="JU17:JU48" si="150">(FJ17/$GF17)*$AX17</f>
        <v>0</v>
      </c>
      <c r="JV17" s="10">
        <f t="shared" ref="JV17:JV48" si="151">(FK17/$GF17)*$AX17</f>
        <v>0</v>
      </c>
      <c r="JW17" s="10">
        <f t="shared" ref="JW17:JW48" si="152">(FL17/$GF17)*$AX17</f>
        <v>0</v>
      </c>
      <c r="JX17" s="10">
        <f t="shared" ref="JX17:JX48" si="153">(FM17/$GF17)*$AX17</f>
        <v>0</v>
      </c>
      <c r="JY17" s="10">
        <f t="shared" ref="JY17:JY48" si="154">(FN17/$GF17)*$AX17</f>
        <v>0</v>
      </c>
      <c r="JZ17" s="10">
        <f t="shared" ref="JZ17:JZ48" si="155">(FO17/$GF17)*$AX17</f>
        <v>0</v>
      </c>
      <c r="KA17" s="10">
        <f t="shared" ref="KA17:KA48" si="156">(FP17/$GF17)*$AX17</f>
        <v>0</v>
      </c>
      <c r="KB17" s="10">
        <f t="shared" ref="KB17:KB48" si="157">(FQ17/$GF17)*$AX17</f>
        <v>0</v>
      </c>
      <c r="KC17" s="10">
        <f t="shared" ref="KC17:KC48" si="158">(FR17/$GF17)*$AX17</f>
        <v>0</v>
      </c>
      <c r="KD17" s="10">
        <f t="shared" ref="KD17:KD48" si="159">(FS17/$GF17)*$AX17</f>
        <v>0</v>
      </c>
      <c r="KE17" s="10">
        <f t="shared" ref="KE17:KE48" si="160">(FT17/$GF17)*$AX17</f>
        <v>0</v>
      </c>
      <c r="KF17" s="10">
        <f t="shared" ref="KF17:KF48" si="161">(FU17/$GF17)*$AX17</f>
        <v>0</v>
      </c>
      <c r="KG17" s="10">
        <f t="shared" ref="KG17:KG48" si="162">(FV17/$GF17)*$AX17</f>
        <v>0</v>
      </c>
      <c r="KH17" s="10">
        <f t="shared" ref="KH17:KH48" si="163">(FW17/$GF17)*$AX17</f>
        <v>0</v>
      </c>
      <c r="KI17" s="10">
        <f t="shared" ref="KI17:KI48" si="164">(FX17/$GF17)*$AX17</f>
        <v>0</v>
      </c>
      <c r="KJ17" s="10">
        <f t="shared" ref="KJ17:KJ48" si="165">(FY17/$GF17)*$AX17</f>
        <v>0</v>
      </c>
      <c r="KK17" s="10">
        <f t="shared" ref="KK17:KK48" si="166">(FZ17/$GF17)*$AX17</f>
        <v>2.1960784313725492</v>
      </c>
      <c r="KL17" s="10">
        <f t="shared" ref="KL17:KL48" si="167">(GA17/$GF17)*$AX17</f>
        <v>0</v>
      </c>
      <c r="KM17" s="10">
        <f t="shared" ref="KM17:KM48" si="168">(GB17/$GF17)*$AX17</f>
        <v>0</v>
      </c>
      <c r="KN17" s="10">
        <f t="shared" ref="KN17:KN48" si="169">(GC17/$GF17)*$AX17</f>
        <v>0</v>
      </c>
      <c r="KO17" s="10">
        <f t="shared" ref="KO17:KO48" si="170">(GD17/$GF17)*$AX17</f>
        <v>0</v>
      </c>
      <c r="KP17" s="10">
        <f t="shared" ref="KP17:KP48" si="171">(GE17/$GF17)*$AX17</f>
        <v>0</v>
      </c>
      <c r="KQ17" s="11">
        <v>56</v>
      </c>
      <c r="KR17" s="16"/>
      <c r="KS17" s="12">
        <v>21.205750411731103</v>
      </c>
      <c r="KT17" s="26">
        <v>88</v>
      </c>
      <c r="KU17" s="26">
        <v>0.97727272727272729</v>
      </c>
      <c r="KV17" s="26">
        <v>1</v>
      </c>
      <c r="KW17" s="26">
        <v>-16.32</v>
      </c>
      <c r="KX17" s="26">
        <v>11.53</v>
      </c>
      <c r="KY17" s="27">
        <v>2.9310167039930395</v>
      </c>
      <c r="KZ17" s="27">
        <v>3.4191127412941285</v>
      </c>
      <c r="LA17" s="17"/>
      <c r="LB17" s="2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28"/>
      <c r="ML17" t="s">
        <v>833</v>
      </c>
      <c r="MM17" t="s">
        <v>301</v>
      </c>
      <c r="MN17" t="s">
        <v>232</v>
      </c>
      <c r="MO17" t="s">
        <v>253</v>
      </c>
      <c r="MP17" t="s">
        <v>254</v>
      </c>
      <c r="MQ17" t="s">
        <v>255</v>
      </c>
      <c r="MR17">
        <v>1</v>
      </c>
      <c r="MS17" t="s">
        <v>293</v>
      </c>
      <c r="MT17" t="s">
        <v>294</v>
      </c>
      <c r="MU17" t="s">
        <v>295</v>
      </c>
      <c r="MV17">
        <v>58</v>
      </c>
      <c r="MW17" s="13">
        <v>418</v>
      </c>
      <c r="MX17" s="13" t="s">
        <v>296</v>
      </c>
      <c r="MY17" t="s">
        <v>240</v>
      </c>
      <c r="MZ17" t="s">
        <v>241</v>
      </c>
      <c r="NA17" t="s">
        <v>242</v>
      </c>
      <c r="NB17" t="s">
        <v>297</v>
      </c>
      <c r="ND17" s="18">
        <v>43277</v>
      </c>
      <c r="NE17" s="19">
        <v>0.16041666666666668</v>
      </c>
      <c r="NF17" t="s">
        <v>298</v>
      </c>
      <c r="NG17" t="s">
        <v>136</v>
      </c>
      <c r="NH17" t="s">
        <v>246</v>
      </c>
      <c r="NI17">
        <v>94.9</v>
      </c>
      <c r="NJ17" t="s">
        <v>244</v>
      </c>
      <c r="NK17">
        <v>4</v>
      </c>
      <c r="NL17" t="s">
        <v>248</v>
      </c>
      <c r="NM17">
        <v>29.631599999999999</v>
      </c>
      <c r="NN17">
        <v>-84.922849999999997</v>
      </c>
      <c r="NO17" t="s">
        <v>248</v>
      </c>
      <c r="NP17" t="s">
        <v>266</v>
      </c>
      <c r="NQ17">
        <v>12</v>
      </c>
      <c r="NR17" t="s">
        <v>247</v>
      </c>
      <c r="NS17">
        <v>982000410608656</v>
      </c>
      <c r="NT17" t="s">
        <v>244</v>
      </c>
      <c r="NU17" t="s">
        <v>244</v>
      </c>
      <c r="NV17" t="s">
        <v>248</v>
      </c>
      <c r="NW17" t="s">
        <v>294</v>
      </c>
      <c r="NX17" t="s">
        <v>295</v>
      </c>
      <c r="NY17">
        <v>94.7</v>
      </c>
      <c r="NZ17">
        <v>94</v>
      </c>
      <c r="OA17">
        <v>86</v>
      </c>
      <c r="OB17" s="14">
        <v>21.205750411731103</v>
      </c>
      <c r="OC17" t="s">
        <v>248</v>
      </c>
      <c r="OD17" t="s">
        <v>247</v>
      </c>
      <c r="OE17" t="s">
        <v>248</v>
      </c>
      <c r="OF17" t="s">
        <v>299</v>
      </c>
      <c r="OG17" t="s">
        <v>247</v>
      </c>
      <c r="OH17">
        <v>57</v>
      </c>
      <c r="OI17" t="s">
        <v>294</v>
      </c>
      <c r="OJ17" t="s">
        <v>300</v>
      </c>
      <c r="OK17">
        <v>88</v>
      </c>
      <c r="OL17">
        <v>0.97727272727272729</v>
      </c>
      <c r="OM17">
        <v>1</v>
      </c>
      <c r="ON17">
        <v>-16.32</v>
      </c>
      <c r="OO17">
        <v>11.53</v>
      </c>
      <c r="OP17" s="25">
        <v>2.9310167039930395</v>
      </c>
      <c r="OQ17" s="25">
        <v>3.4191127412941285</v>
      </c>
      <c r="OR17" t="s">
        <v>911</v>
      </c>
      <c r="OS17" t="s">
        <v>911</v>
      </c>
    </row>
    <row r="18" spans="1:409" x14ac:dyDescent="0.25">
      <c r="A18" s="14">
        <v>17</v>
      </c>
      <c r="B18" s="1">
        <v>29</v>
      </c>
      <c r="C18" s="1">
        <v>1</v>
      </c>
      <c r="D18" s="1">
        <v>0</v>
      </c>
      <c r="E18" s="1">
        <v>5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7</v>
      </c>
      <c r="S18" s="1">
        <v>2</v>
      </c>
      <c r="T18" s="1">
        <v>0</v>
      </c>
      <c r="U18" s="1">
        <v>0</v>
      </c>
      <c r="V18" s="1">
        <v>0</v>
      </c>
      <c r="W18" s="1">
        <v>0</v>
      </c>
      <c r="X18" s="2">
        <v>57</v>
      </c>
      <c r="Y18" s="3"/>
      <c r="Z18" s="15">
        <f t="shared" si="0"/>
        <v>13.675535850859156</v>
      </c>
      <c r="AA18" s="15">
        <f t="shared" si="1"/>
        <v>0.47157020175376402</v>
      </c>
      <c r="AB18" s="15">
        <f t="shared" si="2"/>
        <v>0</v>
      </c>
      <c r="AC18" s="15">
        <f t="shared" si="3"/>
        <v>2.35785100876882</v>
      </c>
      <c r="AD18" s="15">
        <f t="shared" si="4"/>
        <v>0</v>
      </c>
      <c r="AE18" s="15">
        <f t="shared" si="5"/>
        <v>0</v>
      </c>
      <c r="AF18" s="15">
        <f t="shared" si="6"/>
        <v>0</v>
      </c>
      <c r="AG18" s="15">
        <f t="shared" si="7"/>
        <v>0</v>
      </c>
      <c r="AH18" s="15">
        <f t="shared" si="8"/>
        <v>0</v>
      </c>
      <c r="AI18" s="15">
        <f t="shared" si="9"/>
        <v>6.1304126227989322</v>
      </c>
      <c r="AJ18" s="15">
        <f t="shared" si="10"/>
        <v>0</v>
      </c>
      <c r="AK18" s="15">
        <f t="shared" si="11"/>
        <v>0</v>
      </c>
      <c r="AL18" s="15">
        <f t="shared" si="12"/>
        <v>0</v>
      </c>
      <c r="AM18" s="15">
        <f t="shared" si="13"/>
        <v>0</v>
      </c>
      <c r="AN18" s="15">
        <f t="shared" si="14"/>
        <v>0</v>
      </c>
      <c r="AO18" s="15">
        <f t="shared" si="15"/>
        <v>0</v>
      </c>
      <c r="AP18" s="15">
        <f t="shared" si="16"/>
        <v>3.300991412276348</v>
      </c>
      <c r="AQ18" s="15">
        <f t="shared" si="17"/>
        <v>0.94314040350752804</v>
      </c>
      <c r="AR18" s="15">
        <f t="shared" si="18"/>
        <v>0</v>
      </c>
      <c r="AS18" s="15">
        <f t="shared" si="19"/>
        <v>0</v>
      </c>
      <c r="AT18" s="15">
        <f t="shared" si="20"/>
        <v>0</v>
      </c>
      <c r="AU18" s="15">
        <f t="shared" si="21"/>
        <v>0</v>
      </c>
      <c r="AV18" s="5">
        <f t="shared" si="22"/>
        <v>26.879501499964547</v>
      </c>
      <c r="AW18" s="16"/>
      <c r="AX18" s="6">
        <v>29</v>
      </c>
      <c r="AY18" s="6">
        <v>1</v>
      </c>
      <c r="AZ18" s="6">
        <v>0</v>
      </c>
      <c r="BA18" s="6">
        <v>5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13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7</v>
      </c>
      <c r="BO18" s="6">
        <v>2</v>
      </c>
      <c r="BP18" s="6">
        <v>0</v>
      </c>
      <c r="BQ18" s="6">
        <v>0</v>
      </c>
      <c r="BR18" s="6">
        <v>0</v>
      </c>
      <c r="BS18" s="6">
        <v>0</v>
      </c>
      <c r="BT18" s="7">
        <v>57</v>
      </c>
      <c r="BU18" s="16"/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16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2</v>
      </c>
      <c r="DQ18" s="8">
        <v>0</v>
      </c>
      <c r="DR18" s="8">
        <v>0</v>
      </c>
      <c r="DS18" s="8">
        <v>3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11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1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9">
        <v>33</v>
      </c>
      <c r="GG18" s="3"/>
      <c r="GH18" s="10">
        <f t="shared" si="60"/>
        <v>0</v>
      </c>
      <c r="GI18" s="10">
        <f t="shared" si="61"/>
        <v>0</v>
      </c>
      <c r="GJ18" s="10">
        <f t="shared" si="62"/>
        <v>0</v>
      </c>
      <c r="GK18" s="10">
        <f t="shared" si="63"/>
        <v>0</v>
      </c>
      <c r="GL18" s="10">
        <f t="shared" si="64"/>
        <v>0</v>
      </c>
      <c r="GM18" s="10">
        <f t="shared" si="65"/>
        <v>0</v>
      </c>
      <c r="GN18" s="10">
        <f t="shared" si="66"/>
        <v>0</v>
      </c>
      <c r="GO18" s="10">
        <f t="shared" si="67"/>
        <v>0</v>
      </c>
      <c r="GP18" s="10">
        <f t="shared" si="68"/>
        <v>0</v>
      </c>
      <c r="GQ18" s="10">
        <f t="shared" si="69"/>
        <v>0</v>
      </c>
      <c r="GR18" s="10">
        <f t="shared" si="70"/>
        <v>0</v>
      </c>
      <c r="GS18" s="10">
        <f t="shared" si="71"/>
        <v>0</v>
      </c>
      <c r="GT18" s="10">
        <f t="shared" si="72"/>
        <v>0</v>
      </c>
      <c r="GU18" s="10">
        <f t="shared" si="73"/>
        <v>0</v>
      </c>
      <c r="GV18" s="10">
        <f t="shared" si="74"/>
        <v>0</v>
      </c>
      <c r="GW18" s="10">
        <f t="shared" si="75"/>
        <v>0</v>
      </c>
      <c r="GX18" s="10">
        <f t="shared" si="76"/>
        <v>0</v>
      </c>
      <c r="GY18" s="10">
        <f t="shared" si="77"/>
        <v>0</v>
      </c>
      <c r="GZ18" s="10">
        <f t="shared" si="78"/>
        <v>0</v>
      </c>
      <c r="HA18" s="10">
        <f t="shared" si="79"/>
        <v>0</v>
      </c>
      <c r="HB18" s="10">
        <f t="shared" si="80"/>
        <v>0</v>
      </c>
      <c r="HC18" s="10">
        <f t="shared" si="81"/>
        <v>0</v>
      </c>
      <c r="HD18" s="10">
        <f t="shared" si="82"/>
        <v>0</v>
      </c>
      <c r="HE18" s="10">
        <f t="shared" si="83"/>
        <v>0</v>
      </c>
      <c r="HF18" s="10">
        <f t="shared" si="84"/>
        <v>0</v>
      </c>
      <c r="HG18" s="10">
        <f t="shared" si="85"/>
        <v>0</v>
      </c>
      <c r="HH18" s="10">
        <f t="shared" si="86"/>
        <v>0</v>
      </c>
      <c r="HI18" s="10">
        <f t="shared" si="87"/>
        <v>0</v>
      </c>
      <c r="HJ18" s="10">
        <f t="shared" si="88"/>
        <v>0</v>
      </c>
      <c r="HK18" s="10">
        <f t="shared" si="89"/>
        <v>0</v>
      </c>
      <c r="HL18" s="10">
        <f t="shared" si="90"/>
        <v>0</v>
      </c>
      <c r="HM18" s="10">
        <f t="shared" si="91"/>
        <v>0</v>
      </c>
      <c r="HN18" s="10">
        <f t="shared" si="92"/>
        <v>0</v>
      </c>
      <c r="HO18" s="10">
        <f t="shared" si="93"/>
        <v>0</v>
      </c>
      <c r="HP18" s="10">
        <f t="shared" si="94"/>
        <v>0</v>
      </c>
      <c r="HQ18" s="10">
        <f t="shared" si="95"/>
        <v>0</v>
      </c>
      <c r="HR18" s="10">
        <f t="shared" si="96"/>
        <v>0</v>
      </c>
      <c r="HS18" s="10">
        <f t="shared" si="97"/>
        <v>0</v>
      </c>
      <c r="HT18" s="10">
        <f t="shared" si="98"/>
        <v>0</v>
      </c>
      <c r="HU18" s="10">
        <f t="shared" si="99"/>
        <v>14.060606060606061</v>
      </c>
      <c r="HV18" s="10">
        <f t="shared" si="100"/>
        <v>0</v>
      </c>
      <c r="HW18" s="10">
        <f t="shared" si="101"/>
        <v>0</v>
      </c>
      <c r="HX18" s="10">
        <f t="shared" si="102"/>
        <v>0</v>
      </c>
      <c r="HY18" s="10">
        <f t="shared" si="103"/>
        <v>0</v>
      </c>
      <c r="HZ18" s="10">
        <f t="shared" si="104"/>
        <v>0</v>
      </c>
      <c r="IA18" s="10">
        <f t="shared" si="105"/>
        <v>0</v>
      </c>
      <c r="IB18" s="10">
        <f t="shared" si="106"/>
        <v>1.7575757575757576</v>
      </c>
      <c r="IC18" s="10">
        <f t="shared" si="107"/>
        <v>0</v>
      </c>
      <c r="ID18" s="10">
        <f t="shared" si="108"/>
        <v>0</v>
      </c>
      <c r="IE18" s="10">
        <f t="shared" si="109"/>
        <v>2.6363636363636362</v>
      </c>
      <c r="IF18" s="10">
        <f t="shared" si="110"/>
        <v>0</v>
      </c>
      <c r="IG18" s="10">
        <f t="shared" si="111"/>
        <v>0</v>
      </c>
      <c r="IH18" s="10">
        <f t="shared" si="112"/>
        <v>0</v>
      </c>
      <c r="II18" s="10">
        <f t="shared" si="113"/>
        <v>0</v>
      </c>
      <c r="IJ18" s="10">
        <f t="shared" si="114"/>
        <v>0</v>
      </c>
      <c r="IK18" s="10">
        <f t="shared" si="115"/>
        <v>0</v>
      </c>
      <c r="IL18" s="10">
        <f t="shared" si="116"/>
        <v>0</v>
      </c>
      <c r="IM18" s="10">
        <f t="shared" si="117"/>
        <v>0</v>
      </c>
      <c r="IN18" s="10">
        <f t="shared" si="118"/>
        <v>0</v>
      </c>
      <c r="IO18" s="10">
        <f t="shared" si="119"/>
        <v>0</v>
      </c>
      <c r="IP18" s="10">
        <f t="shared" si="120"/>
        <v>0</v>
      </c>
      <c r="IQ18" s="10">
        <f t="shared" si="121"/>
        <v>0</v>
      </c>
      <c r="IR18" s="10">
        <f t="shared" si="122"/>
        <v>0</v>
      </c>
      <c r="IS18" s="10">
        <f t="shared" si="123"/>
        <v>0</v>
      </c>
      <c r="IT18" s="10">
        <f t="shared" si="124"/>
        <v>0</v>
      </c>
      <c r="IU18" s="10">
        <f t="shared" si="125"/>
        <v>0</v>
      </c>
      <c r="IV18" s="10">
        <f t="shared" si="126"/>
        <v>0</v>
      </c>
      <c r="IW18" s="10">
        <f t="shared" si="127"/>
        <v>0</v>
      </c>
      <c r="IX18" s="10">
        <f t="shared" si="128"/>
        <v>0</v>
      </c>
      <c r="IY18" s="10">
        <f t="shared" si="129"/>
        <v>0</v>
      </c>
      <c r="IZ18" s="10">
        <f t="shared" si="130"/>
        <v>0</v>
      </c>
      <c r="JA18" s="10">
        <f t="shared" si="131"/>
        <v>0</v>
      </c>
      <c r="JB18" s="10">
        <f t="shared" si="132"/>
        <v>0</v>
      </c>
      <c r="JC18" s="10">
        <f t="shared" si="133"/>
        <v>0</v>
      </c>
      <c r="JD18" s="10">
        <f t="shared" si="134"/>
        <v>0</v>
      </c>
      <c r="JE18" s="10">
        <f t="shared" si="135"/>
        <v>0</v>
      </c>
      <c r="JF18" s="10">
        <f t="shared" si="136"/>
        <v>0</v>
      </c>
      <c r="JG18" s="10">
        <v>0</v>
      </c>
      <c r="JH18" s="10">
        <f t="shared" si="137"/>
        <v>0</v>
      </c>
      <c r="JI18" s="10">
        <f t="shared" si="138"/>
        <v>0</v>
      </c>
      <c r="JJ18" s="10">
        <f t="shared" si="139"/>
        <v>0</v>
      </c>
      <c r="JK18" s="10">
        <f t="shared" si="140"/>
        <v>0</v>
      </c>
      <c r="JL18" s="10">
        <f t="shared" si="141"/>
        <v>0</v>
      </c>
      <c r="JM18" s="10">
        <f t="shared" si="142"/>
        <v>0</v>
      </c>
      <c r="JN18" s="10">
        <f t="shared" si="143"/>
        <v>0</v>
      </c>
      <c r="JO18" s="10">
        <f t="shared" si="144"/>
        <v>0</v>
      </c>
      <c r="JP18" s="10">
        <f t="shared" si="145"/>
        <v>0</v>
      </c>
      <c r="JQ18" s="10">
        <f t="shared" si="146"/>
        <v>0</v>
      </c>
      <c r="JR18" s="10">
        <f t="shared" si="147"/>
        <v>0</v>
      </c>
      <c r="JS18" s="10">
        <f t="shared" si="148"/>
        <v>0</v>
      </c>
      <c r="JT18" s="10">
        <f t="shared" si="149"/>
        <v>0</v>
      </c>
      <c r="JU18" s="10">
        <f t="shared" si="150"/>
        <v>0</v>
      </c>
      <c r="JV18" s="10">
        <f t="shared" si="151"/>
        <v>0</v>
      </c>
      <c r="JW18" s="10">
        <f t="shared" si="152"/>
        <v>0</v>
      </c>
      <c r="JX18" s="10">
        <f t="shared" si="153"/>
        <v>0</v>
      </c>
      <c r="JY18" s="10">
        <f t="shared" si="154"/>
        <v>9.6666666666666661</v>
      </c>
      <c r="JZ18" s="10">
        <f t="shared" si="155"/>
        <v>0</v>
      </c>
      <c r="KA18" s="10">
        <f t="shared" si="156"/>
        <v>0</v>
      </c>
      <c r="KB18" s="10">
        <f t="shared" si="157"/>
        <v>0</v>
      </c>
      <c r="KC18" s="10">
        <f t="shared" si="158"/>
        <v>0</v>
      </c>
      <c r="KD18" s="10">
        <f t="shared" si="159"/>
        <v>0</v>
      </c>
      <c r="KE18" s="10">
        <f t="shared" si="160"/>
        <v>0</v>
      </c>
      <c r="KF18" s="10">
        <f t="shared" si="161"/>
        <v>0</v>
      </c>
      <c r="KG18" s="10">
        <f t="shared" si="162"/>
        <v>0</v>
      </c>
      <c r="KH18" s="10">
        <f t="shared" si="163"/>
        <v>0</v>
      </c>
      <c r="KI18" s="10">
        <f t="shared" si="164"/>
        <v>0</v>
      </c>
      <c r="KJ18" s="10">
        <f t="shared" si="165"/>
        <v>0.87878787878787878</v>
      </c>
      <c r="KK18" s="10">
        <f t="shared" si="166"/>
        <v>0</v>
      </c>
      <c r="KL18" s="10">
        <f t="shared" si="167"/>
        <v>0</v>
      </c>
      <c r="KM18" s="10">
        <f t="shared" si="168"/>
        <v>0</v>
      </c>
      <c r="KN18" s="10">
        <f t="shared" si="169"/>
        <v>0</v>
      </c>
      <c r="KO18" s="10">
        <f t="shared" si="170"/>
        <v>0</v>
      </c>
      <c r="KP18" s="10">
        <f t="shared" si="171"/>
        <v>0</v>
      </c>
      <c r="KQ18" s="11">
        <v>28.999999999999996</v>
      </c>
      <c r="KR18" s="16"/>
      <c r="KS18" s="12">
        <v>21.205750411731103</v>
      </c>
      <c r="KT18" s="26">
        <v>87</v>
      </c>
      <c r="KU18" s="26">
        <v>0.95402298850574707</v>
      </c>
      <c r="KV18" s="26">
        <v>1</v>
      </c>
      <c r="KW18" s="26">
        <v>-16.2</v>
      </c>
      <c r="KX18" s="26">
        <v>10.96</v>
      </c>
      <c r="KY18" s="27">
        <v>3.051988391508901</v>
      </c>
      <c r="KZ18" s="27">
        <v>3.5602295890957292</v>
      </c>
      <c r="LA18" s="17"/>
      <c r="LB18" s="2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28"/>
      <c r="ML18" t="s">
        <v>834</v>
      </c>
      <c r="MM18" t="s">
        <v>302</v>
      </c>
      <c r="MN18" t="s">
        <v>232</v>
      </c>
      <c r="MO18" t="s">
        <v>233</v>
      </c>
      <c r="MP18" t="s">
        <v>234</v>
      </c>
      <c r="MQ18" t="s">
        <v>235</v>
      </c>
      <c r="MR18">
        <v>1</v>
      </c>
      <c r="MS18" t="s">
        <v>302</v>
      </c>
      <c r="MT18" t="s">
        <v>303</v>
      </c>
      <c r="MU18" t="s">
        <v>304</v>
      </c>
      <c r="MV18">
        <v>57</v>
      </c>
      <c r="MW18" s="13">
        <v>434</v>
      </c>
      <c r="MX18" s="13" t="s">
        <v>305</v>
      </c>
      <c r="MY18" t="s">
        <v>240</v>
      </c>
      <c r="MZ18" t="s">
        <v>241</v>
      </c>
      <c r="NA18" t="s">
        <v>242</v>
      </c>
      <c r="NB18" t="s">
        <v>306</v>
      </c>
      <c r="ND18" s="18">
        <v>43281</v>
      </c>
      <c r="NE18" s="19">
        <v>2.0833333333333332E-2</v>
      </c>
      <c r="NF18" t="s">
        <v>244</v>
      </c>
      <c r="NG18" t="s">
        <v>245</v>
      </c>
      <c r="NH18" t="s">
        <v>246</v>
      </c>
      <c r="NI18">
        <v>90.3</v>
      </c>
      <c r="NJ18" t="s">
        <v>244</v>
      </c>
      <c r="NK18">
        <v>5</v>
      </c>
      <c r="NL18" t="s">
        <v>244</v>
      </c>
      <c r="NM18">
        <v>29.62923</v>
      </c>
      <c r="NN18">
        <v>-84.927000000000007</v>
      </c>
      <c r="NO18" t="s">
        <v>248</v>
      </c>
      <c r="NP18" t="s">
        <v>307</v>
      </c>
      <c r="NQ18">
        <v>12</v>
      </c>
      <c r="NR18" t="s">
        <v>247</v>
      </c>
      <c r="NS18">
        <v>982000410609347</v>
      </c>
      <c r="NT18" t="s">
        <v>244</v>
      </c>
      <c r="NU18" t="s">
        <v>244</v>
      </c>
      <c r="NV18" t="s">
        <v>248</v>
      </c>
      <c r="NW18" t="s">
        <v>303</v>
      </c>
      <c r="NX18" t="s">
        <v>304</v>
      </c>
      <c r="NY18">
        <v>88.5</v>
      </c>
      <c r="NZ18">
        <v>87.8</v>
      </c>
      <c r="OA18">
        <v>81.900000000000006</v>
      </c>
      <c r="OB18" s="14">
        <v>21.205750411731103</v>
      </c>
      <c r="OC18" t="s">
        <v>248</v>
      </c>
      <c r="OD18" t="s">
        <v>247</v>
      </c>
      <c r="OE18" t="s">
        <v>248</v>
      </c>
      <c r="OF18" t="s">
        <v>308</v>
      </c>
      <c r="OG18" t="s">
        <v>247</v>
      </c>
      <c r="OH18">
        <v>66</v>
      </c>
      <c r="OI18" t="s">
        <v>303</v>
      </c>
      <c r="OJ18" t="s">
        <v>309</v>
      </c>
      <c r="OK18">
        <v>87</v>
      </c>
      <c r="OL18">
        <v>0.95402298850574707</v>
      </c>
      <c r="OM18">
        <v>1</v>
      </c>
      <c r="ON18">
        <v>-16.2</v>
      </c>
      <c r="OO18">
        <v>10.96</v>
      </c>
      <c r="OP18" s="25">
        <v>3.051988391508901</v>
      </c>
      <c r="OQ18" s="25">
        <v>3.5602295890957292</v>
      </c>
      <c r="OR18" t="s">
        <v>911</v>
      </c>
      <c r="OS18" t="s">
        <v>909</v>
      </c>
    </row>
    <row r="19" spans="1:409" x14ac:dyDescent="0.25">
      <c r="A19" s="14">
        <v>18</v>
      </c>
      <c r="B19" s="1">
        <v>30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87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2</v>
      </c>
      <c r="X19" s="2">
        <v>119</v>
      </c>
      <c r="Y19" s="3"/>
      <c r="Z19" s="15">
        <f t="shared" si="0"/>
        <v>14.147106052612919</v>
      </c>
      <c r="AA19" s="15">
        <f t="shared" si="1"/>
        <v>0</v>
      </c>
      <c r="AB19" s="15">
        <f t="shared" si="2"/>
        <v>0</v>
      </c>
      <c r="AC19" s="15">
        <f t="shared" si="3"/>
        <v>0</v>
      </c>
      <c r="AD19" s="15">
        <f t="shared" si="4"/>
        <v>0</v>
      </c>
      <c r="AE19" s="15">
        <f t="shared" si="5"/>
        <v>0</v>
      </c>
      <c r="AF19" s="15">
        <f t="shared" si="6"/>
        <v>0</v>
      </c>
      <c r="AG19" s="15">
        <f t="shared" si="7"/>
        <v>0</v>
      </c>
      <c r="AH19" s="15">
        <f t="shared" si="8"/>
        <v>0</v>
      </c>
      <c r="AI19" s="15">
        <f t="shared" si="9"/>
        <v>41.026607552577474</v>
      </c>
      <c r="AJ19" s="15">
        <f t="shared" si="10"/>
        <v>0</v>
      </c>
      <c r="AK19" s="15">
        <f t="shared" si="11"/>
        <v>0</v>
      </c>
      <c r="AL19" s="15">
        <f t="shared" si="12"/>
        <v>0</v>
      </c>
      <c r="AM19" s="15">
        <f t="shared" si="13"/>
        <v>0</v>
      </c>
      <c r="AN19" s="15">
        <f t="shared" si="14"/>
        <v>0</v>
      </c>
      <c r="AO19" s="15">
        <f t="shared" si="15"/>
        <v>0</v>
      </c>
      <c r="AP19" s="15">
        <f t="shared" si="16"/>
        <v>0</v>
      </c>
      <c r="AQ19" s="15">
        <f t="shared" si="17"/>
        <v>0</v>
      </c>
      <c r="AR19" s="15">
        <f t="shared" si="18"/>
        <v>0</v>
      </c>
      <c r="AS19" s="15">
        <f t="shared" si="19"/>
        <v>0</v>
      </c>
      <c r="AT19" s="15">
        <f t="shared" si="20"/>
        <v>0</v>
      </c>
      <c r="AU19" s="15">
        <f t="shared" si="21"/>
        <v>0.94314040350752804</v>
      </c>
      <c r="AV19" s="5">
        <f t="shared" si="22"/>
        <v>56.116854008697914</v>
      </c>
      <c r="AW19" s="16"/>
      <c r="AX19" s="6">
        <v>30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87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2</v>
      </c>
      <c r="BT19" s="7">
        <v>119</v>
      </c>
      <c r="BU19" s="16"/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9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6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1</v>
      </c>
      <c r="EC19" s="8">
        <v>0</v>
      </c>
      <c r="ED19" s="8">
        <v>0</v>
      </c>
      <c r="EE19" s="8">
        <v>0</v>
      </c>
      <c r="EF19" s="8">
        <v>1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1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9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9">
        <v>27</v>
      </c>
      <c r="GG19" s="3"/>
      <c r="GH19" s="10">
        <f t="shared" si="60"/>
        <v>0</v>
      </c>
      <c r="GI19" s="10">
        <f t="shared" si="61"/>
        <v>0</v>
      </c>
      <c r="GJ19" s="10">
        <f t="shared" si="62"/>
        <v>0</v>
      </c>
      <c r="GK19" s="10">
        <f t="shared" si="63"/>
        <v>0</v>
      </c>
      <c r="GL19" s="10">
        <f t="shared" si="64"/>
        <v>0</v>
      </c>
      <c r="GM19" s="10">
        <f t="shared" si="65"/>
        <v>0</v>
      </c>
      <c r="GN19" s="10">
        <f t="shared" si="66"/>
        <v>0</v>
      </c>
      <c r="GO19" s="10">
        <f t="shared" si="67"/>
        <v>10</v>
      </c>
      <c r="GP19" s="10">
        <f t="shared" si="68"/>
        <v>0</v>
      </c>
      <c r="GQ19" s="10">
        <f t="shared" si="69"/>
        <v>0</v>
      </c>
      <c r="GR19" s="10">
        <f t="shared" si="70"/>
        <v>0</v>
      </c>
      <c r="GS19" s="10">
        <f t="shared" si="71"/>
        <v>0</v>
      </c>
      <c r="GT19" s="10">
        <f t="shared" si="72"/>
        <v>0</v>
      </c>
      <c r="GU19" s="10">
        <f t="shared" si="73"/>
        <v>0</v>
      </c>
      <c r="GV19" s="10">
        <f t="shared" si="74"/>
        <v>0</v>
      </c>
      <c r="GW19" s="10">
        <f t="shared" si="75"/>
        <v>0</v>
      </c>
      <c r="GX19" s="10">
        <f t="shared" si="76"/>
        <v>0</v>
      </c>
      <c r="GY19" s="10">
        <f t="shared" si="77"/>
        <v>0</v>
      </c>
      <c r="GZ19" s="10">
        <f t="shared" si="78"/>
        <v>0</v>
      </c>
      <c r="HA19" s="10">
        <f t="shared" si="79"/>
        <v>0</v>
      </c>
      <c r="HB19" s="10">
        <f t="shared" si="80"/>
        <v>0</v>
      </c>
      <c r="HC19" s="10">
        <f t="shared" si="81"/>
        <v>0</v>
      </c>
      <c r="HD19" s="10">
        <f t="shared" si="82"/>
        <v>0</v>
      </c>
      <c r="HE19" s="10">
        <f t="shared" si="83"/>
        <v>6.6666666666666661</v>
      </c>
      <c r="HF19" s="10">
        <f t="shared" si="84"/>
        <v>0</v>
      </c>
      <c r="HG19" s="10">
        <f t="shared" si="85"/>
        <v>0</v>
      </c>
      <c r="HH19" s="10">
        <f t="shared" si="86"/>
        <v>0</v>
      </c>
      <c r="HI19" s="10">
        <f t="shared" si="87"/>
        <v>0</v>
      </c>
      <c r="HJ19" s="10">
        <f t="shared" si="88"/>
        <v>0</v>
      </c>
      <c r="HK19" s="10">
        <f t="shared" si="89"/>
        <v>0</v>
      </c>
      <c r="HL19" s="10">
        <f t="shared" si="90"/>
        <v>0</v>
      </c>
      <c r="HM19" s="10">
        <f t="shared" si="91"/>
        <v>0</v>
      </c>
      <c r="HN19" s="10">
        <f t="shared" si="92"/>
        <v>0</v>
      </c>
      <c r="HO19" s="10">
        <f t="shared" si="93"/>
        <v>0</v>
      </c>
      <c r="HP19" s="10">
        <f t="shared" si="94"/>
        <v>0</v>
      </c>
      <c r="HQ19" s="10">
        <f t="shared" si="95"/>
        <v>0</v>
      </c>
      <c r="HR19" s="10">
        <f t="shared" si="96"/>
        <v>0</v>
      </c>
      <c r="HS19" s="10">
        <f t="shared" si="97"/>
        <v>0</v>
      </c>
      <c r="HT19" s="10">
        <f t="shared" si="98"/>
        <v>0</v>
      </c>
      <c r="HU19" s="10">
        <f t="shared" si="99"/>
        <v>0</v>
      </c>
      <c r="HV19" s="10">
        <f t="shared" si="100"/>
        <v>0</v>
      </c>
      <c r="HW19" s="10">
        <f t="shared" si="101"/>
        <v>0</v>
      </c>
      <c r="HX19" s="10">
        <f t="shared" si="102"/>
        <v>0</v>
      </c>
      <c r="HY19" s="10">
        <f t="shared" si="103"/>
        <v>0</v>
      </c>
      <c r="HZ19" s="10">
        <f t="shared" si="104"/>
        <v>0</v>
      </c>
      <c r="IA19" s="10">
        <f t="shared" si="105"/>
        <v>0</v>
      </c>
      <c r="IB19" s="10">
        <f t="shared" si="106"/>
        <v>0</v>
      </c>
      <c r="IC19" s="10">
        <f t="shared" si="107"/>
        <v>0</v>
      </c>
      <c r="ID19" s="10">
        <f t="shared" si="108"/>
        <v>0</v>
      </c>
      <c r="IE19" s="10">
        <f t="shared" si="109"/>
        <v>0</v>
      </c>
      <c r="IF19" s="10">
        <f t="shared" si="110"/>
        <v>0</v>
      </c>
      <c r="IG19" s="10">
        <f t="shared" si="111"/>
        <v>0</v>
      </c>
      <c r="IH19" s="10">
        <f t="shared" si="112"/>
        <v>0</v>
      </c>
      <c r="II19" s="10">
        <f t="shared" si="113"/>
        <v>0</v>
      </c>
      <c r="IJ19" s="10">
        <f t="shared" si="114"/>
        <v>0</v>
      </c>
      <c r="IK19" s="10">
        <f t="shared" si="115"/>
        <v>0</v>
      </c>
      <c r="IL19" s="10">
        <f t="shared" si="116"/>
        <v>0</v>
      </c>
      <c r="IM19" s="10">
        <f t="shared" si="117"/>
        <v>0</v>
      </c>
      <c r="IN19" s="10">
        <f t="shared" si="118"/>
        <v>1.1111111111111112</v>
      </c>
      <c r="IO19" s="10">
        <f t="shared" si="119"/>
        <v>0</v>
      </c>
      <c r="IP19" s="10">
        <f t="shared" si="120"/>
        <v>0</v>
      </c>
      <c r="IQ19" s="10">
        <f t="shared" si="121"/>
        <v>0</v>
      </c>
      <c r="IR19" s="10">
        <f t="shared" si="122"/>
        <v>1.1111111111111112</v>
      </c>
      <c r="IS19" s="10">
        <f t="shared" si="123"/>
        <v>0</v>
      </c>
      <c r="IT19" s="10">
        <f t="shared" si="124"/>
        <v>0</v>
      </c>
      <c r="IU19" s="10">
        <f t="shared" si="125"/>
        <v>0</v>
      </c>
      <c r="IV19" s="10">
        <f t="shared" si="126"/>
        <v>0</v>
      </c>
      <c r="IW19" s="10">
        <f t="shared" si="127"/>
        <v>0</v>
      </c>
      <c r="IX19" s="10">
        <f t="shared" si="128"/>
        <v>0</v>
      </c>
      <c r="IY19" s="10">
        <f t="shared" si="129"/>
        <v>0</v>
      </c>
      <c r="IZ19" s="10">
        <f t="shared" si="130"/>
        <v>0</v>
      </c>
      <c r="JA19" s="10">
        <f t="shared" si="131"/>
        <v>0</v>
      </c>
      <c r="JB19" s="10">
        <f t="shared" si="132"/>
        <v>0</v>
      </c>
      <c r="JC19" s="10">
        <f t="shared" si="133"/>
        <v>0</v>
      </c>
      <c r="JD19" s="10">
        <f t="shared" si="134"/>
        <v>0</v>
      </c>
      <c r="JE19" s="10">
        <f t="shared" si="135"/>
        <v>0</v>
      </c>
      <c r="JF19" s="10">
        <f t="shared" si="136"/>
        <v>0</v>
      </c>
      <c r="JG19" s="10">
        <v>0</v>
      </c>
      <c r="JH19" s="10">
        <f t="shared" si="137"/>
        <v>0</v>
      </c>
      <c r="JI19" s="10">
        <f t="shared" si="138"/>
        <v>0</v>
      </c>
      <c r="JJ19" s="10">
        <f t="shared" si="139"/>
        <v>0</v>
      </c>
      <c r="JK19" s="10">
        <f t="shared" si="140"/>
        <v>0</v>
      </c>
      <c r="JL19" s="10">
        <f t="shared" si="141"/>
        <v>0</v>
      </c>
      <c r="JM19" s="10">
        <f t="shared" si="142"/>
        <v>1.1111111111111112</v>
      </c>
      <c r="JN19" s="10">
        <f t="shared" si="143"/>
        <v>0</v>
      </c>
      <c r="JO19" s="10">
        <f t="shared" si="144"/>
        <v>0</v>
      </c>
      <c r="JP19" s="10">
        <f t="shared" si="145"/>
        <v>0</v>
      </c>
      <c r="JQ19" s="10">
        <f t="shared" si="146"/>
        <v>0</v>
      </c>
      <c r="JR19" s="10">
        <f t="shared" si="147"/>
        <v>0</v>
      </c>
      <c r="JS19" s="10">
        <f t="shared" si="148"/>
        <v>0</v>
      </c>
      <c r="JT19" s="10">
        <f t="shared" si="149"/>
        <v>0</v>
      </c>
      <c r="JU19" s="10">
        <f t="shared" si="150"/>
        <v>0</v>
      </c>
      <c r="JV19" s="10">
        <f t="shared" si="151"/>
        <v>0</v>
      </c>
      <c r="JW19" s="10">
        <f t="shared" si="152"/>
        <v>0</v>
      </c>
      <c r="JX19" s="10">
        <f t="shared" si="153"/>
        <v>0</v>
      </c>
      <c r="JY19" s="10">
        <f t="shared" si="154"/>
        <v>0</v>
      </c>
      <c r="JZ19" s="10">
        <f t="shared" si="155"/>
        <v>0</v>
      </c>
      <c r="KA19" s="10">
        <f t="shared" si="156"/>
        <v>0</v>
      </c>
      <c r="KB19" s="10">
        <f t="shared" si="157"/>
        <v>0</v>
      </c>
      <c r="KC19" s="10">
        <f t="shared" si="158"/>
        <v>0</v>
      </c>
      <c r="KD19" s="10">
        <f t="shared" si="159"/>
        <v>0</v>
      </c>
      <c r="KE19" s="10">
        <f t="shared" si="160"/>
        <v>0</v>
      </c>
      <c r="KF19" s="10">
        <f t="shared" si="161"/>
        <v>0</v>
      </c>
      <c r="KG19" s="10">
        <f t="shared" si="162"/>
        <v>0</v>
      </c>
      <c r="KH19" s="10">
        <f t="shared" si="163"/>
        <v>0</v>
      </c>
      <c r="KI19" s="10">
        <f t="shared" si="164"/>
        <v>0</v>
      </c>
      <c r="KJ19" s="10">
        <f t="shared" si="165"/>
        <v>0</v>
      </c>
      <c r="KK19" s="10">
        <f t="shared" si="166"/>
        <v>10</v>
      </c>
      <c r="KL19" s="10">
        <f t="shared" si="167"/>
        <v>0</v>
      </c>
      <c r="KM19" s="10">
        <f t="shared" si="168"/>
        <v>0</v>
      </c>
      <c r="KN19" s="10">
        <f t="shared" si="169"/>
        <v>0</v>
      </c>
      <c r="KO19" s="10">
        <f t="shared" si="170"/>
        <v>0</v>
      </c>
      <c r="KP19" s="10">
        <f t="shared" si="171"/>
        <v>0</v>
      </c>
      <c r="KQ19" s="11">
        <v>29.999999999999996</v>
      </c>
      <c r="KR19" s="16"/>
      <c r="KS19" s="12">
        <v>21.205750411731103</v>
      </c>
      <c r="KT19" s="26">
        <v>87</v>
      </c>
      <c r="KU19" s="26">
        <v>0.95402298850574707</v>
      </c>
      <c r="KV19" s="26">
        <v>1</v>
      </c>
      <c r="KW19" s="26">
        <v>-16.2</v>
      </c>
      <c r="KX19" s="26">
        <v>10.96</v>
      </c>
      <c r="KY19" s="27">
        <v>3.051988391508901</v>
      </c>
      <c r="KZ19" s="27">
        <v>3.5602295890957292</v>
      </c>
      <c r="LA19" s="17"/>
      <c r="LB19" s="2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28"/>
      <c r="ML19" t="s">
        <v>835</v>
      </c>
      <c r="MM19" t="s">
        <v>310</v>
      </c>
      <c r="MN19" t="s">
        <v>232</v>
      </c>
      <c r="MO19" t="s">
        <v>257</v>
      </c>
      <c r="MP19" t="s">
        <v>258</v>
      </c>
      <c r="MQ19" t="s">
        <v>259</v>
      </c>
      <c r="MR19">
        <v>1</v>
      </c>
      <c r="MS19" t="s">
        <v>302</v>
      </c>
      <c r="MT19" t="s">
        <v>303</v>
      </c>
      <c r="MU19" t="s">
        <v>304</v>
      </c>
      <c r="MV19">
        <v>119</v>
      </c>
      <c r="MW19" s="13">
        <v>434</v>
      </c>
      <c r="MX19" s="13" t="s">
        <v>305</v>
      </c>
      <c r="MY19" t="s">
        <v>240</v>
      </c>
      <c r="MZ19" t="s">
        <v>241</v>
      </c>
      <c r="NA19" t="s">
        <v>242</v>
      </c>
      <c r="NB19" t="s">
        <v>306</v>
      </c>
      <c r="ND19" s="18">
        <v>43281</v>
      </c>
      <c r="NE19" s="19">
        <v>2.0833333333333332E-2</v>
      </c>
      <c r="NF19" t="s">
        <v>244</v>
      </c>
      <c r="NG19" t="s">
        <v>245</v>
      </c>
      <c r="NH19" t="s">
        <v>246</v>
      </c>
      <c r="NI19">
        <v>90.3</v>
      </c>
      <c r="NJ19" t="s">
        <v>244</v>
      </c>
      <c r="NK19">
        <v>5</v>
      </c>
      <c r="NL19" t="s">
        <v>244</v>
      </c>
      <c r="NM19">
        <v>29.62923</v>
      </c>
      <c r="NN19">
        <v>-84.927000000000007</v>
      </c>
      <c r="NO19" t="s">
        <v>248</v>
      </c>
      <c r="NP19" t="s">
        <v>307</v>
      </c>
      <c r="NQ19">
        <v>12</v>
      </c>
      <c r="NR19" t="s">
        <v>247</v>
      </c>
      <c r="NS19">
        <v>982000410609347</v>
      </c>
      <c r="NT19" t="s">
        <v>244</v>
      </c>
      <c r="NU19" t="s">
        <v>244</v>
      </c>
      <c r="NV19" t="s">
        <v>248</v>
      </c>
      <c r="NW19" t="s">
        <v>303</v>
      </c>
      <c r="NX19" t="s">
        <v>304</v>
      </c>
      <c r="NY19">
        <v>88.5</v>
      </c>
      <c r="NZ19">
        <v>87.8</v>
      </c>
      <c r="OA19">
        <v>81.900000000000006</v>
      </c>
      <c r="OB19" s="14">
        <v>21.205750411731103</v>
      </c>
      <c r="OC19" t="s">
        <v>248</v>
      </c>
      <c r="OD19" t="s">
        <v>247</v>
      </c>
      <c r="OE19" t="s">
        <v>248</v>
      </c>
      <c r="OF19" t="s">
        <v>308</v>
      </c>
      <c r="OG19" t="s">
        <v>247</v>
      </c>
      <c r="OH19">
        <v>65</v>
      </c>
      <c r="OI19" t="s">
        <v>303</v>
      </c>
      <c r="OJ19" t="s">
        <v>309</v>
      </c>
      <c r="OK19">
        <v>87</v>
      </c>
      <c r="OL19">
        <v>0.95402298850574707</v>
      </c>
      <c r="OM19">
        <v>1</v>
      </c>
      <c r="ON19">
        <v>-16.2</v>
      </c>
      <c r="OO19">
        <v>10.96</v>
      </c>
      <c r="OP19" s="25">
        <v>3.051988391508901</v>
      </c>
      <c r="OQ19" s="25">
        <v>3.5602295890957292</v>
      </c>
      <c r="OR19" t="s">
        <v>911</v>
      </c>
      <c r="OS19" t="s">
        <v>909</v>
      </c>
    </row>
    <row r="20" spans="1:409" x14ac:dyDescent="0.25">
      <c r="A20" s="14">
        <v>19</v>
      </c>
      <c r="B20" s="1">
        <v>102</v>
      </c>
      <c r="C20" s="1">
        <v>2</v>
      </c>
      <c r="D20" s="1">
        <v>0</v>
      </c>
      <c r="E20" s="1">
        <v>0</v>
      </c>
      <c r="F20" s="1">
        <v>2</v>
      </c>
      <c r="G20" s="1">
        <v>0</v>
      </c>
      <c r="H20" s="1">
        <v>0</v>
      </c>
      <c r="I20" s="1">
        <v>12</v>
      </c>
      <c r="J20" s="1">
        <v>0</v>
      </c>
      <c r="K20" s="1">
        <v>18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2">
        <v>136</v>
      </c>
      <c r="Y20" s="3"/>
      <c r="Z20" s="15">
        <f t="shared" si="0"/>
        <v>48.10016057888393</v>
      </c>
      <c r="AA20" s="15">
        <f t="shared" si="1"/>
        <v>0.94314040350752804</v>
      </c>
      <c r="AB20" s="15">
        <f t="shared" si="2"/>
        <v>0</v>
      </c>
      <c r="AC20" s="15">
        <f t="shared" si="3"/>
        <v>0</v>
      </c>
      <c r="AD20" s="15">
        <f t="shared" si="4"/>
        <v>0.94314040350752804</v>
      </c>
      <c r="AE20" s="15">
        <f t="shared" si="5"/>
        <v>0</v>
      </c>
      <c r="AF20" s="15">
        <f t="shared" si="6"/>
        <v>0</v>
      </c>
      <c r="AG20" s="15">
        <f t="shared" si="7"/>
        <v>5.6588424210451684</v>
      </c>
      <c r="AH20" s="15">
        <f t="shared" si="8"/>
        <v>0</v>
      </c>
      <c r="AI20" s="15">
        <f t="shared" si="9"/>
        <v>8.4882636315677509</v>
      </c>
      <c r="AJ20" s="15">
        <f t="shared" si="10"/>
        <v>0</v>
      </c>
      <c r="AK20" s="15">
        <f t="shared" si="11"/>
        <v>0</v>
      </c>
      <c r="AL20" s="15">
        <f t="shared" si="12"/>
        <v>0</v>
      </c>
      <c r="AM20" s="15">
        <f t="shared" si="13"/>
        <v>0</v>
      </c>
      <c r="AN20" s="15">
        <f t="shared" si="14"/>
        <v>0</v>
      </c>
      <c r="AO20" s="15">
        <f t="shared" si="15"/>
        <v>0</v>
      </c>
      <c r="AP20" s="15">
        <f t="shared" si="16"/>
        <v>0</v>
      </c>
      <c r="AQ20" s="15">
        <f t="shared" si="17"/>
        <v>0</v>
      </c>
      <c r="AR20" s="15">
        <f t="shared" si="18"/>
        <v>0</v>
      </c>
      <c r="AS20" s="15">
        <f t="shared" si="19"/>
        <v>0</v>
      </c>
      <c r="AT20" s="15">
        <f t="shared" si="20"/>
        <v>0</v>
      </c>
      <c r="AU20" s="15">
        <f t="shared" si="21"/>
        <v>0</v>
      </c>
      <c r="AV20" s="5">
        <f t="shared" si="22"/>
        <v>64.133547438511897</v>
      </c>
      <c r="AW20" s="16"/>
      <c r="AX20" s="6">
        <v>102</v>
      </c>
      <c r="AY20" s="6">
        <v>2</v>
      </c>
      <c r="AZ20" s="6">
        <v>0</v>
      </c>
      <c r="BA20" s="6">
        <v>0</v>
      </c>
      <c r="BB20" s="6">
        <v>2</v>
      </c>
      <c r="BC20" s="6">
        <v>0</v>
      </c>
      <c r="BD20" s="6">
        <v>0</v>
      </c>
      <c r="BE20" s="6">
        <v>12</v>
      </c>
      <c r="BF20" s="6">
        <v>0</v>
      </c>
      <c r="BG20" s="6">
        <v>18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7">
        <v>136</v>
      </c>
      <c r="BU20" s="16"/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1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4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5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42.999999999999993</v>
      </c>
      <c r="DT20" s="8">
        <v>0</v>
      </c>
      <c r="DU20" s="8">
        <v>0</v>
      </c>
      <c r="DV20" s="8">
        <v>57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1</v>
      </c>
      <c r="EC20" s="8">
        <v>0</v>
      </c>
      <c r="ED20" s="8">
        <v>0</v>
      </c>
      <c r="EE20" s="8">
        <v>0</v>
      </c>
      <c r="EF20" s="8">
        <v>2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1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5</v>
      </c>
      <c r="GA20" s="8">
        <v>0</v>
      </c>
      <c r="GB20" s="8">
        <v>0</v>
      </c>
      <c r="GC20" s="8">
        <v>1</v>
      </c>
      <c r="GD20" s="8">
        <v>0</v>
      </c>
      <c r="GE20" s="8">
        <v>0</v>
      </c>
      <c r="GF20" s="9">
        <v>120</v>
      </c>
      <c r="GG20" s="3"/>
      <c r="GH20" s="10">
        <f t="shared" si="60"/>
        <v>0</v>
      </c>
      <c r="GI20" s="10">
        <f t="shared" si="61"/>
        <v>0</v>
      </c>
      <c r="GJ20" s="10">
        <f t="shared" si="62"/>
        <v>0</v>
      </c>
      <c r="GK20" s="10">
        <f t="shared" si="63"/>
        <v>0</v>
      </c>
      <c r="GL20" s="10">
        <f t="shared" si="64"/>
        <v>0</v>
      </c>
      <c r="GM20" s="10">
        <f t="shared" si="65"/>
        <v>0</v>
      </c>
      <c r="GN20" s="10">
        <f t="shared" si="66"/>
        <v>0</v>
      </c>
      <c r="GO20" s="10">
        <f t="shared" si="67"/>
        <v>0.85</v>
      </c>
      <c r="GP20" s="10">
        <f t="shared" si="68"/>
        <v>0</v>
      </c>
      <c r="GQ20" s="10">
        <f t="shared" si="69"/>
        <v>0</v>
      </c>
      <c r="GR20" s="10">
        <f t="shared" si="70"/>
        <v>0</v>
      </c>
      <c r="GS20" s="10">
        <f t="shared" si="71"/>
        <v>0</v>
      </c>
      <c r="GT20" s="10">
        <f t="shared" si="72"/>
        <v>0</v>
      </c>
      <c r="GU20" s="10">
        <f t="shared" si="73"/>
        <v>0</v>
      </c>
      <c r="GV20" s="10">
        <f t="shared" si="74"/>
        <v>0</v>
      </c>
      <c r="GW20" s="10">
        <f t="shared" si="75"/>
        <v>0</v>
      </c>
      <c r="GX20" s="10">
        <f t="shared" si="76"/>
        <v>0</v>
      </c>
      <c r="GY20" s="10">
        <f t="shared" si="77"/>
        <v>0</v>
      </c>
      <c r="GZ20" s="10">
        <f t="shared" si="78"/>
        <v>0</v>
      </c>
      <c r="HA20" s="10">
        <f t="shared" si="79"/>
        <v>0</v>
      </c>
      <c r="HB20" s="10">
        <f t="shared" si="80"/>
        <v>0</v>
      </c>
      <c r="HC20" s="10">
        <f t="shared" si="81"/>
        <v>0</v>
      </c>
      <c r="HD20" s="10">
        <f t="shared" si="82"/>
        <v>0</v>
      </c>
      <c r="HE20" s="10">
        <f t="shared" si="83"/>
        <v>3.4</v>
      </c>
      <c r="HF20" s="10">
        <f t="shared" si="84"/>
        <v>0</v>
      </c>
      <c r="HG20" s="10">
        <f t="shared" si="85"/>
        <v>0</v>
      </c>
      <c r="HH20" s="10">
        <f t="shared" si="86"/>
        <v>0</v>
      </c>
      <c r="HI20" s="10">
        <f t="shared" si="87"/>
        <v>0</v>
      </c>
      <c r="HJ20" s="10">
        <f t="shared" si="88"/>
        <v>0</v>
      </c>
      <c r="HK20" s="10">
        <f t="shared" si="89"/>
        <v>0</v>
      </c>
      <c r="HL20" s="10">
        <f t="shared" si="90"/>
        <v>0</v>
      </c>
      <c r="HM20" s="10">
        <f t="shared" si="91"/>
        <v>0</v>
      </c>
      <c r="HN20" s="10">
        <f t="shared" si="92"/>
        <v>0</v>
      </c>
      <c r="HO20" s="10">
        <f t="shared" si="93"/>
        <v>0</v>
      </c>
      <c r="HP20" s="10">
        <f t="shared" si="94"/>
        <v>0</v>
      </c>
      <c r="HQ20" s="10">
        <f t="shared" si="95"/>
        <v>0</v>
      </c>
      <c r="HR20" s="10">
        <f t="shared" si="96"/>
        <v>0</v>
      </c>
      <c r="HS20" s="10">
        <f t="shared" si="97"/>
        <v>0</v>
      </c>
      <c r="HT20" s="10">
        <f t="shared" si="98"/>
        <v>0</v>
      </c>
      <c r="HU20" s="10">
        <f t="shared" si="99"/>
        <v>4.25</v>
      </c>
      <c r="HV20" s="10">
        <f t="shared" si="100"/>
        <v>0</v>
      </c>
      <c r="HW20" s="10">
        <f t="shared" si="101"/>
        <v>0</v>
      </c>
      <c r="HX20" s="10">
        <f t="shared" si="102"/>
        <v>0</v>
      </c>
      <c r="HY20" s="10">
        <f t="shared" si="103"/>
        <v>0</v>
      </c>
      <c r="HZ20" s="10">
        <f t="shared" si="104"/>
        <v>0</v>
      </c>
      <c r="IA20" s="10">
        <f t="shared" si="105"/>
        <v>0</v>
      </c>
      <c r="IB20" s="10">
        <f t="shared" si="106"/>
        <v>0</v>
      </c>
      <c r="IC20" s="10">
        <f t="shared" si="107"/>
        <v>0</v>
      </c>
      <c r="ID20" s="10">
        <f t="shared" si="108"/>
        <v>0</v>
      </c>
      <c r="IE20" s="10">
        <f t="shared" si="109"/>
        <v>36.549999999999997</v>
      </c>
      <c r="IF20" s="10">
        <f t="shared" si="110"/>
        <v>0</v>
      </c>
      <c r="IG20" s="10">
        <f t="shared" si="111"/>
        <v>0</v>
      </c>
      <c r="IH20" s="10">
        <f t="shared" si="112"/>
        <v>48.449999999999996</v>
      </c>
      <c r="II20" s="10">
        <f t="shared" si="113"/>
        <v>0</v>
      </c>
      <c r="IJ20" s="10">
        <f t="shared" si="114"/>
        <v>0</v>
      </c>
      <c r="IK20" s="10">
        <f t="shared" si="115"/>
        <v>0</v>
      </c>
      <c r="IL20" s="10">
        <f t="shared" si="116"/>
        <v>0</v>
      </c>
      <c r="IM20" s="10">
        <f t="shared" si="117"/>
        <v>0</v>
      </c>
      <c r="IN20" s="10">
        <f t="shared" si="118"/>
        <v>0.85</v>
      </c>
      <c r="IO20" s="10">
        <f t="shared" si="119"/>
        <v>0</v>
      </c>
      <c r="IP20" s="10">
        <f t="shared" si="120"/>
        <v>0</v>
      </c>
      <c r="IQ20" s="10">
        <f t="shared" si="121"/>
        <v>0</v>
      </c>
      <c r="IR20" s="10">
        <f t="shared" si="122"/>
        <v>1.7</v>
      </c>
      <c r="IS20" s="10">
        <f t="shared" si="123"/>
        <v>0</v>
      </c>
      <c r="IT20" s="10">
        <f t="shared" si="124"/>
        <v>0</v>
      </c>
      <c r="IU20" s="10">
        <f t="shared" si="125"/>
        <v>0</v>
      </c>
      <c r="IV20" s="10">
        <f t="shared" si="126"/>
        <v>0</v>
      </c>
      <c r="IW20" s="10">
        <f t="shared" si="127"/>
        <v>0</v>
      </c>
      <c r="IX20" s="10">
        <f t="shared" si="128"/>
        <v>0</v>
      </c>
      <c r="IY20" s="10">
        <f t="shared" si="129"/>
        <v>0</v>
      </c>
      <c r="IZ20" s="10">
        <f t="shared" si="130"/>
        <v>0</v>
      </c>
      <c r="JA20" s="10">
        <f t="shared" si="131"/>
        <v>0</v>
      </c>
      <c r="JB20" s="10">
        <f t="shared" si="132"/>
        <v>0</v>
      </c>
      <c r="JC20" s="10">
        <f t="shared" si="133"/>
        <v>0</v>
      </c>
      <c r="JD20" s="10">
        <f t="shared" si="134"/>
        <v>0</v>
      </c>
      <c r="JE20" s="10">
        <f t="shared" si="135"/>
        <v>0.85</v>
      </c>
      <c r="JF20" s="10">
        <f t="shared" si="136"/>
        <v>0</v>
      </c>
      <c r="JG20" s="10">
        <v>0</v>
      </c>
      <c r="JH20" s="10">
        <f t="shared" si="137"/>
        <v>0</v>
      </c>
      <c r="JI20" s="10">
        <f t="shared" si="138"/>
        <v>0</v>
      </c>
      <c r="JJ20" s="10">
        <f t="shared" si="139"/>
        <v>0</v>
      </c>
      <c r="JK20" s="10">
        <f t="shared" si="140"/>
        <v>0</v>
      </c>
      <c r="JL20" s="10">
        <f t="shared" si="141"/>
        <v>0</v>
      </c>
      <c r="JM20" s="10">
        <f t="shared" si="142"/>
        <v>0</v>
      </c>
      <c r="JN20" s="10">
        <f t="shared" si="143"/>
        <v>0</v>
      </c>
      <c r="JO20" s="10">
        <f t="shared" si="144"/>
        <v>0</v>
      </c>
      <c r="JP20" s="10">
        <f t="shared" si="145"/>
        <v>0</v>
      </c>
      <c r="JQ20" s="10">
        <f t="shared" si="146"/>
        <v>0</v>
      </c>
      <c r="JR20" s="10">
        <f t="shared" si="147"/>
        <v>0</v>
      </c>
      <c r="JS20" s="10">
        <f t="shared" si="148"/>
        <v>0</v>
      </c>
      <c r="JT20" s="10">
        <f t="shared" si="149"/>
        <v>0</v>
      </c>
      <c r="JU20" s="10">
        <f t="shared" si="150"/>
        <v>0</v>
      </c>
      <c r="JV20" s="10">
        <f t="shared" si="151"/>
        <v>0</v>
      </c>
      <c r="JW20" s="10">
        <f t="shared" si="152"/>
        <v>0</v>
      </c>
      <c r="JX20" s="10">
        <f t="shared" si="153"/>
        <v>0</v>
      </c>
      <c r="JY20" s="10">
        <f t="shared" si="154"/>
        <v>0</v>
      </c>
      <c r="JZ20" s="10">
        <f t="shared" si="155"/>
        <v>0</v>
      </c>
      <c r="KA20" s="10">
        <f t="shared" si="156"/>
        <v>0</v>
      </c>
      <c r="KB20" s="10">
        <f t="shared" si="157"/>
        <v>0</v>
      </c>
      <c r="KC20" s="10">
        <f t="shared" si="158"/>
        <v>0</v>
      </c>
      <c r="KD20" s="10">
        <f t="shared" si="159"/>
        <v>0</v>
      </c>
      <c r="KE20" s="10">
        <f t="shared" si="160"/>
        <v>0</v>
      </c>
      <c r="KF20" s="10">
        <f t="shared" si="161"/>
        <v>0</v>
      </c>
      <c r="KG20" s="10">
        <f t="shared" si="162"/>
        <v>0</v>
      </c>
      <c r="KH20" s="10">
        <f t="shared" si="163"/>
        <v>0</v>
      </c>
      <c r="KI20" s="10">
        <f t="shared" si="164"/>
        <v>0</v>
      </c>
      <c r="KJ20" s="10">
        <f t="shared" si="165"/>
        <v>0</v>
      </c>
      <c r="KK20" s="10">
        <f t="shared" si="166"/>
        <v>4.25</v>
      </c>
      <c r="KL20" s="10">
        <f t="shared" si="167"/>
        <v>0</v>
      </c>
      <c r="KM20" s="10">
        <f t="shared" si="168"/>
        <v>0</v>
      </c>
      <c r="KN20" s="10">
        <f t="shared" si="169"/>
        <v>0.85</v>
      </c>
      <c r="KO20" s="10">
        <f t="shared" si="170"/>
        <v>0</v>
      </c>
      <c r="KP20" s="10">
        <f t="shared" si="171"/>
        <v>0</v>
      </c>
      <c r="KQ20" s="11">
        <v>101.99999999999999</v>
      </c>
      <c r="KR20" s="16"/>
      <c r="KS20" s="12">
        <v>21.205750411731103</v>
      </c>
      <c r="KT20" s="26">
        <v>87</v>
      </c>
      <c r="KU20" s="26">
        <v>0.95402298850574707</v>
      </c>
      <c r="KV20" s="26">
        <v>1</v>
      </c>
      <c r="KW20" s="26">
        <v>-16.2</v>
      </c>
      <c r="KX20" s="26">
        <v>10.96</v>
      </c>
      <c r="KY20" s="27">
        <v>3.051988391508901</v>
      </c>
      <c r="KZ20" s="27">
        <v>3.5602295890957292</v>
      </c>
      <c r="LA20" s="17"/>
      <c r="LB20" s="2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28"/>
      <c r="ML20" t="s">
        <v>836</v>
      </c>
      <c r="MM20" t="s">
        <v>310</v>
      </c>
      <c r="MN20" t="s">
        <v>232</v>
      </c>
      <c r="MO20" t="s">
        <v>253</v>
      </c>
      <c r="MP20" t="s">
        <v>254</v>
      </c>
      <c r="MQ20" t="s">
        <v>255</v>
      </c>
      <c r="MR20">
        <v>1</v>
      </c>
      <c r="MS20" t="s">
        <v>302</v>
      </c>
      <c r="MT20" t="s">
        <v>303</v>
      </c>
      <c r="MU20" t="s">
        <v>304</v>
      </c>
      <c r="MV20">
        <v>136</v>
      </c>
      <c r="MW20" s="13">
        <v>434</v>
      </c>
      <c r="MX20" s="13" t="s">
        <v>305</v>
      </c>
      <c r="MY20" t="s">
        <v>240</v>
      </c>
      <c r="MZ20" t="s">
        <v>241</v>
      </c>
      <c r="NA20" t="s">
        <v>242</v>
      </c>
      <c r="NB20" t="s">
        <v>306</v>
      </c>
      <c r="ND20" s="18">
        <v>43281</v>
      </c>
      <c r="NE20" s="19">
        <v>2.0833333333333332E-2</v>
      </c>
      <c r="NF20" t="s">
        <v>244</v>
      </c>
      <c r="NG20" t="s">
        <v>245</v>
      </c>
      <c r="NH20" t="s">
        <v>246</v>
      </c>
      <c r="NI20">
        <v>90.3</v>
      </c>
      <c r="NJ20" t="s">
        <v>244</v>
      </c>
      <c r="NK20">
        <v>5</v>
      </c>
      <c r="NL20" t="s">
        <v>244</v>
      </c>
      <c r="NM20">
        <v>29.62923</v>
      </c>
      <c r="NN20">
        <v>-84.927000000000007</v>
      </c>
      <c r="NO20" t="s">
        <v>248</v>
      </c>
      <c r="NP20" t="s">
        <v>307</v>
      </c>
      <c r="NQ20">
        <v>12</v>
      </c>
      <c r="NR20" t="s">
        <v>247</v>
      </c>
      <c r="NS20">
        <v>982000410609347</v>
      </c>
      <c r="NT20" t="s">
        <v>244</v>
      </c>
      <c r="NU20" t="s">
        <v>244</v>
      </c>
      <c r="NV20" t="s">
        <v>248</v>
      </c>
      <c r="NW20" t="s">
        <v>303</v>
      </c>
      <c r="NX20" t="s">
        <v>304</v>
      </c>
      <c r="NY20">
        <v>88.5</v>
      </c>
      <c r="NZ20">
        <v>87.8</v>
      </c>
      <c r="OA20">
        <v>81.900000000000006</v>
      </c>
      <c r="OB20" s="14">
        <v>21.205750411731103</v>
      </c>
      <c r="OC20" t="s">
        <v>248</v>
      </c>
      <c r="OD20" t="s">
        <v>247</v>
      </c>
      <c r="OE20" t="s">
        <v>248</v>
      </c>
      <c r="OF20" t="s">
        <v>308</v>
      </c>
      <c r="OG20" t="s">
        <v>247</v>
      </c>
      <c r="OH20">
        <v>64</v>
      </c>
      <c r="OI20" t="s">
        <v>303</v>
      </c>
      <c r="OJ20" t="s">
        <v>309</v>
      </c>
      <c r="OK20">
        <v>87</v>
      </c>
      <c r="OL20">
        <v>0.95402298850574707</v>
      </c>
      <c r="OM20">
        <v>1</v>
      </c>
      <c r="ON20">
        <v>-16.2</v>
      </c>
      <c r="OO20">
        <v>10.96</v>
      </c>
      <c r="OP20" s="25">
        <v>3.051988391508901</v>
      </c>
      <c r="OQ20" s="25">
        <v>3.5602295890957292</v>
      </c>
      <c r="OR20" t="s">
        <v>911</v>
      </c>
      <c r="OS20" t="s">
        <v>909</v>
      </c>
    </row>
    <row r="21" spans="1:409" x14ac:dyDescent="0.25">
      <c r="A21" s="14">
        <v>20</v>
      </c>
      <c r="B21" s="1">
        <v>54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12</v>
      </c>
      <c r="J21" s="1">
        <v>0</v>
      </c>
      <c r="K21" s="1">
        <v>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2">
        <v>68</v>
      </c>
      <c r="Y21" s="3"/>
      <c r="Z21" s="15">
        <f t="shared" si="0"/>
        <v>25.464790894703256</v>
      </c>
      <c r="AA21" s="15">
        <f t="shared" si="1"/>
        <v>0</v>
      </c>
      <c r="AB21" s="15">
        <f t="shared" si="2"/>
        <v>0</v>
      </c>
      <c r="AC21" s="15">
        <f t="shared" si="3"/>
        <v>0</v>
      </c>
      <c r="AD21" s="15">
        <f t="shared" si="4"/>
        <v>0</v>
      </c>
      <c r="AE21" s="15">
        <f t="shared" si="5"/>
        <v>0</v>
      </c>
      <c r="AF21" s="15">
        <f t="shared" si="6"/>
        <v>0</v>
      </c>
      <c r="AG21" s="15">
        <f t="shared" si="7"/>
        <v>5.6588424210451684</v>
      </c>
      <c r="AH21" s="15">
        <f t="shared" si="8"/>
        <v>0</v>
      </c>
      <c r="AI21" s="15">
        <f t="shared" si="9"/>
        <v>0.94314040350752804</v>
      </c>
      <c r="AJ21" s="15">
        <f t="shared" si="10"/>
        <v>0</v>
      </c>
      <c r="AK21" s="15">
        <f t="shared" si="11"/>
        <v>0</v>
      </c>
      <c r="AL21" s="15">
        <f t="shared" si="12"/>
        <v>0</v>
      </c>
      <c r="AM21" s="15">
        <f t="shared" si="13"/>
        <v>0</v>
      </c>
      <c r="AN21" s="15">
        <f t="shared" si="14"/>
        <v>0</v>
      </c>
      <c r="AO21" s="15">
        <f t="shared" si="15"/>
        <v>0</v>
      </c>
      <c r="AP21" s="15">
        <f t="shared" si="16"/>
        <v>0</v>
      </c>
      <c r="AQ21" s="15">
        <f t="shared" si="17"/>
        <v>0</v>
      </c>
      <c r="AR21" s="15">
        <f t="shared" si="18"/>
        <v>0</v>
      </c>
      <c r="AS21" s="15">
        <f t="shared" si="19"/>
        <v>0</v>
      </c>
      <c r="AT21" s="15">
        <f t="shared" si="20"/>
        <v>0</v>
      </c>
      <c r="AU21" s="15">
        <f t="shared" si="21"/>
        <v>0</v>
      </c>
      <c r="AV21" s="5">
        <f t="shared" si="22"/>
        <v>32.066773719255949</v>
      </c>
      <c r="AW21" s="16"/>
      <c r="AX21" s="6">
        <v>54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12</v>
      </c>
      <c r="BF21" s="6">
        <v>0</v>
      </c>
      <c r="BG21" s="6">
        <v>2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7">
        <v>68</v>
      </c>
      <c r="BU21" s="16"/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12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2</v>
      </c>
      <c r="DQ21" s="8">
        <v>0</v>
      </c>
      <c r="DR21" s="8">
        <v>0</v>
      </c>
      <c r="DS21" s="8">
        <v>11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8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14.999999999999998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1</v>
      </c>
      <c r="FV21" s="8">
        <v>0</v>
      </c>
      <c r="FW21" s="8">
        <v>0</v>
      </c>
      <c r="FX21" s="8">
        <v>0</v>
      </c>
      <c r="FY21" s="8">
        <v>2</v>
      </c>
      <c r="FZ21" s="8">
        <v>0</v>
      </c>
      <c r="GA21" s="8">
        <v>1</v>
      </c>
      <c r="GB21" s="8">
        <v>0</v>
      </c>
      <c r="GC21" s="8">
        <v>0</v>
      </c>
      <c r="GD21" s="8">
        <v>0</v>
      </c>
      <c r="GE21" s="8">
        <v>0</v>
      </c>
      <c r="GF21" s="9">
        <v>52</v>
      </c>
      <c r="GG21" s="3"/>
      <c r="GH21" s="10">
        <f t="shared" si="60"/>
        <v>0</v>
      </c>
      <c r="GI21" s="10">
        <f t="shared" si="61"/>
        <v>0</v>
      </c>
      <c r="GJ21" s="10">
        <f t="shared" si="62"/>
        <v>0</v>
      </c>
      <c r="GK21" s="10">
        <f t="shared" si="63"/>
        <v>0</v>
      </c>
      <c r="GL21" s="10">
        <f t="shared" si="64"/>
        <v>0</v>
      </c>
      <c r="GM21" s="10">
        <f t="shared" si="65"/>
        <v>0</v>
      </c>
      <c r="GN21" s="10">
        <f t="shared" si="66"/>
        <v>0</v>
      </c>
      <c r="GO21" s="10">
        <f t="shared" si="67"/>
        <v>0</v>
      </c>
      <c r="GP21" s="10">
        <f t="shared" si="68"/>
        <v>0</v>
      </c>
      <c r="GQ21" s="10">
        <f t="shared" si="69"/>
        <v>0</v>
      </c>
      <c r="GR21" s="10">
        <f t="shared" si="70"/>
        <v>0</v>
      </c>
      <c r="GS21" s="10">
        <f t="shared" si="71"/>
        <v>0</v>
      </c>
      <c r="GT21" s="10">
        <f t="shared" si="72"/>
        <v>0</v>
      </c>
      <c r="GU21" s="10">
        <f t="shared" si="73"/>
        <v>0</v>
      </c>
      <c r="GV21" s="10">
        <f t="shared" si="74"/>
        <v>0</v>
      </c>
      <c r="GW21" s="10">
        <f t="shared" si="75"/>
        <v>0</v>
      </c>
      <c r="GX21" s="10">
        <f t="shared" si="76"/>
        <v>0</v>
      </c>
      <c r="GY21" s="10">
        <f t="shared" si="77"/>
        <v>0</v>
      </c>
      <c r="GZ21" s="10">
        <f t="shared" si="78"/>
        <v>0</v>
      </c>
      <c r="HA21" s="10">
        <f t="shared" si="79"/>
        <v>0</v>
      </c>
      <c r="HB21" s="10">
        <f t="shared" si="80"/>
        <v>0</v>
      </c>
      <c r="HC21" s="10">
        <f t="shared" si="81"/>
        <v>0</v>
      </c>
      <c r="HD21" s="10">
        <f t="shared" si="82"/>
        <v>0</v>
      </c>
      <c r="HE21" s="10">
        <f t="shared" si="83"/>
        <v>0</v>
      </c>
      <c r="HF21" s="10">
        <f t="shared" si="84"/>
        <v>0</v>
      </c>
      <c r="HG21" s="10">
        <f t="shared" si="85"/>
        <v>0</v>
      </c>
      <c r="HH21" s="10">
        <f t="shared" si="86"/>
        <v>0</v>
      </c>
      <c r="HI21" s="10">
        <f t="shared" si="87"/>
        <v>0</v>
      </c>
      <c r="HJ21" s="10">
        <f t="shared" si="88"/>
        <v>0</v>
      </c>
      <c r="HK21" s="10">
        <f t="shared" si="89"/>
        <v>0</v>
      </c>
      <c r="HL21" s="10">
        <f t="shared" si="90"/>
        <v>0</v>
      </c>
      <c r="HM21" s="10">
        <f t="shared" si="91"/>
        <v>0</v>
      </c>
      <c r="HN21" s="10">
        <f t="shared" si="92"/>
        <v>0</v>
      </c>
      <c r="HO21" s="10">
        <f t="shared" si="93"/>
        <v>0</v>
      </c>
      <c r="HP21" s="10">
        <f t="shared" si="94"/>
        <v>0</v>
      </c>
      <c r="HQ21" s="10">
        <f t="shared" si="95"/>
        <v>0</v>
      </c>
      <c r="HR21" s="10">
        <f t="shared" si="96"/>
        <v>0</v>
      </c>
      <c r="HS21" s="10">
        <f t="shared" si="97"/>
        <v>0</v>
      </c>
      <c r="HT21" s="10">
        <f t="shared" si="98"/>
        <v>0</v>
      </c>
      <c r="HU21" s="10">
        <f t="shared" si="99"/>
        <v>12.461538461538462</v>
      </c>
      <c r="HV21" s="10">
        <f t="shared" si="100"/>
        <v>0</v>
      </c>
      <c r="HW21" s="10">
        <f t="shared" si="101"/>
        <v>0</v>
      </c>
      <c r="HX21" s="10">
        <f t="shared" si="102"/>
        <v>0</v>
      </c>
      <c r="HY21" s="10">
        <f t="shared" si="103"/>
        <v>0</v>
      </c>
      <c r="HZ21" s="10">
        <f t="shared" si="104"/>
        <v>0</v>
      </c>
      <c r="IA21" s="10">
        <f t="shared" si="105"/>
        <v>0</v>
      </c>
      <c r="IB21" s="10">
        <f t="shared" si="106"/>
        <v>2.0769230769230771</v>
      </c>
      <c r="IC21" s="10">
        <f t="shared" si="107"/>
        <v>0</v>
      </c>
      <c r="ID21" s="10">
        <f t="shared" si="108"/>
        <v>0</v>
      </c>
      <c r="IE21" s="10">
        <f t="shared" si="109"/>
        <v>11.423076923076923</v>
      </c>
      <c r="IF21" s="10">
        <f t="shared" si="110"/>
        <v>0</v>
      </c>
      <c r="IG21" s="10">
        <f t="shared" si="111"/>
        <v>0</v>
      </c>
      <c r="IH21" s="10">
        <f t="shared" si="112"/>
        <v>0</v>
      </c>
      <c r="II21" s="10">
        <f t="shared" si="113"/>
        <v>0</v>
      </c>
      <c r="IJ21" s="10">
        <f t="shared" si="114"/>
        <v>0</v>
      </c>
      <c r="IK21" s="10">
        <f t="shared" si="115"/>
        <v>0</v>
      </c>
      <c r="IL21" s="10">
        <f t="shared" si="116"/>
        <v>0</v>
      </c>
      <c r="IM21" s="10">
        <f t="shared" si="117"/>
        <v>0</v>
      </c>
      <c r="IN21" s="10">
        <f t="shared" si="118"/>
        <v>0</v>
      </c>
      <c r="IO21" s="10">
        <f t="shared" si="119"/>
        <v>0</v>
      </c>
      <c r="IP21" s="10">
        <f t="shared" si="120"/>
        <v>0</v>
      </c>
      <c r="IQ21" s="10">
        <f t="shared" si="121"/>
        <v>0</v>
      </c>
      <c r="IR21" s="10">
        <f t="shared" si="122"/>
        <v>0</v>
      </c>
      <c r="IS21" s="10">
        <f t="shared" si="123"/>
        <v>0</v>
      </c>
      <c r="IT21" s="10">
        <f t="shared" si="124"/>
        <v>0</v>
      </c>
      <c r="IU21" s="10">
        <f t="shared" si="125"/>
        <v>0</v>
      </c>
      <c r="IV21" s="10">
        <f t="shared" si="126"/>
        <v>0</v>
      </c>
      <c r="IW21" s="10">
        <f t="shared" si="127"/>
        <v>0</v>
      </c>
      <c r="IX21" s="10">
        <f t="shared" si="128"/>
        <v>0</v>
      </c>
      <c r="IY21" s="10">
        <f t="shared" si="129"/>
        <v>0</v>
      </c>
      <c r="IZ21" s="10">
        <f t="shared" si="130"/>
        <v>0</v>
      </c>
      <c r="JA21" s="10">
        <f t="shared" si="131"/>
        <v>0</v>
      </c>
      <c r="JB21" s="10">
        <f t="shared" si="132"/>
        <v>0</v>
      </c>
      <c r="JC21" s="10">
        <f t="shared" si="133"/>
        <v>0</v>
      </c>
      <c r="JD21" s="10">
        <f t="shared" si="134"/>
        <v>0</v>
      </c>
      <c r="JE21" s="10">
        <f t="shared" si="135"/>
        <v>8.3076923076923084</v>
      </c>
      <c r="JF21" s="10">
        <f t="shared" si="136"/>
        <v>0</v>
      </c>
      <c r="JG21" s="10">
        <v>0</v>
      </c>
      <c r="JH21" s="10">
        <f t="shared" si="137"/>
        <v>0</v>
      </c>
      <c r="JI21" s="10">
        <f t="shared" si="138"/>
        <v>0</v>
      </c>
      <c r="JJ21" s="10">
        <f t="shared" si="139"/>
        <v>0</v>
      </c>
      <c r="JK21" s="10">
        <f t="shared" si="140"/>
        <v>0</v>
      </c>
      <c r="JL21" s="10">
        <f t="shared" si="141"/>
        <v>0</v>
      </c>
      <c r="JM21" s="10">
        <f t="shared" si="142"/>
        <v>0</v>
      </c>
      <c r="JN21" s="10">
        <f t="shared" si="143"/>
        <v>0</v>
      </c>
      <c r="JO21" s="10">
        <f t="shared" si="144"/>
        <v>0</v>
      </c>
      <c r="JP21" s="10">
        <f t="shared" si="145"/>
        <v>0</v>
      </c>
      <c r="JQ21" s="10">
        <f t="shared" si="146"/>
        <v>0</v>
      </c>
      <c r="JR21" s="10">
        <f t="shared" si="147"/>
        <v>0</v>
      </c>
      <c r="JS21" s="10">
        <f t="shared" si="148"/>
        <v>0</v>
      </c>
      <c r="JT21" s="10">
        <f t="shared" si="149"/>
        <v>0</v>
      </c>
      <c r="JU21" s="10">
        <f t="shared" si="150"/>
        <v>0</v>
      </c>
      <c r="JV21" s="10">
        <f t="shared" si="151"/>
        <v>0</v>
      </c>
      <c r="JW21" s="10">
        <f t="shared" si="152"/>
        <v>0</v>
      </c>
      <c r="JX21" s="10">
        <f t="shared" si="153"/>
        <v>0</v>
      </c>
      <c r="JY21" s="10">
        <f t="shared" si="154"/>
        <v>15.576923076923075</v>
      </c>
      <c r="JZ21" s="10">
        <f t="shared" si="155"/>
        <v>0</v>
      </c>
      <c r="KA21" s="10">
        <f t="shared" si="156"/>
        <v>0</v>
      </c>
      <c r="KB21" s="10">
        <f t="shared" si="157"/>
        <v>0</v>
      </c>
      <c r="KC21" s="10">
        <f t="shared" si="158"/>
        <v>0</v>
      </c>
      <c r="KD21" s="10">
        <f t="shared" si="159"/>
        <v>0</v>
      </c>
      <c r="KE21" s="10">
        <f t="shared" si="160"/>
        <v>0</v>
      </c>
      <c r="KF21" s="10">
        <f t="shared" si="161"/>
        <v>1.0384615384615385</v>
      </c>
      <c r="KG21" s="10">
        <f t="shared" si="162"/>
        <v>0</v>
      </c>
      <c r="KH21" s="10">
        <f t="shared" si="163"/>
        <v>0</v>
      </c>
      <c r="KI21" s="10">
        <f t="shared" si="164"/>
        <v>0</v>
      </c>
      <c r="KJ21" s="10">
        <f t="shared" si="165"/>
        <v>2.0769230769230771</v>
      </c>
      <c r="KK21" s="10">
        <f t="shared" si="166"/>
        <v>0</v>
      </c>
      <c r="KL21" s="10">
        <f t="shared" si="167"/>
        <v>1.0384615384615385</v>
      </c>
      <c r="KM21" s="10">
        <f t="shared" si="168"/>
        <v>0</v>
      </c>
      <c r="KN21" s="10">
        <f t="shared" si="169"/>
        <v>0</v>
      </c>
      <c r="KO21" s="10">
        <f t="shared" si="170"/>
        <v>0</v>
      </c>
      <c r="KP21" s="10">
        <f t="shared" si="171"/>
        <v>0</v>
      </c>
      <c r="KQ21" s="11">
        <v>54</v>
      </c>
      <c r="KR21" s="16"/>
      <c r="KS21" s="12">
        <v>21.205750411731103</v>
      </c>
      <c r="KT21" s="26">
        <v>130</v>
      </c>
      <c r="KU21" s="26">
        <v>0.66153846153846152</v>
      </c>
      <c r="KV21" s="26">
        <v>0.98837209302325579</v>
      </c>
      <c r="KW21" s="26">
        <f>-13.88</f>
        <v>-13.88</v>
      </c>
      <c r="KX21" s="26">
        <v>10.7</v>
      </c>
      <c r="KY21" s="27">
        <v>2.7055948370727734</v>
      </c>
      <c r="KZ21" s="27">
        <v>3.1561518457443429</v>
      </c>
      <c r="LA21" s="17"/>
      <c r="LB21" s="2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28"/>
      <c r="ML21" t="s">
        <v>837</v>
      </c>
      <c r="MM21" t="s">
        <v>311</v>
      </c>
      <c r="MN21" t="s">
        <v>232</v>
      </c>
      <c r="MO21" t="s">
        <v>233</v>
      </c>
      <c r="MP21" t="s">
        <v>234</v>
      </c>
      <c r="MQ21" t="s">
        <v>235</v>
      </c>
      <c r="MR21">
        <v>1</v>
      </c>
      <c r="MS21" t="s">
        <v>312</v>
      </c>
      <c r="MT21" t="s">
        <v>313</v>
      </c>
      <c r="MU21" t="s">
        <v>314</v>
      </c>
      <c r="MV21">
        <v>68</v>
      </c>
      <c r="MW21" s="13">
        <v>442</v>
      </c>
      <c r="MX21" s="13" t="s">
        <v>315</v>
      </c>
      <c r="MY21" t="s">
        <v>240</v>
      </c>
      <c r="MZ21" t="s">
        <v>241</v>
      </c>
      <c r="NA21" t="s">
        <v>242</v>
      </c>
      <c r="NB21" t="s">
        <v>306</v>
      </c>
      <c r="ND21" s="18">
        <v>43281</v>
      </c>
      <c r="NE21" s="19">
        <v>0.17361111111111113</v>
      </c>
      <c r="NF21" t="s">
        <v>316</v>
      </c>
      <c r="NG21" t="s">
        <v>245</v>
      </c>
      <c r="NH21" t="s">
        <v>246</v>
      </c>
      <c r="NI21">
        <v>88</v>
      </c>
      <c r="NJ21" t="s">
        <v>244</v>
      </c>
      <c r="NK21">
        <v>5</v>
      </c>
      <c r="NL21" t="s">
        <v>247</v>
      </c>
      <c r="NM21">
        <v>29.6403</v>
      </c>
      <c r="NN21">
        <v>-84.906679999999994</v>
      </c>
      <c r="NO21" t="s">
        <v>248</v>
      </c>
      <c r="NP21" t="s">
        <v>249</v>
      </c>
      <c r="NQ21">
        <v>9</v>
      </c>
      <c r="NR21" t="s">
        <v>247</v>
      </c>
      <c r="NS21" t="s">
        <v>244</v>
      </c>
      <c r="NT21">
        <v>982000410605342</v>
      </c>
      <c r="NU21" t="s">
        <v>244</v>
      </c>
      <c r="NV21" t="s">
        <v>247</v>
      </c>
      <c r="NW21" t="s">
        <v>313</v>
      </c>
      <c r="NX21" t="s">
        <v>314</v>
      </c>
      <c r="NY21">
        <v>96</v>
      </c>
      <c r="NZ21">
        <v>94</v>
      </c>
      <c r="OA21">
        <v>92</v>
      </c>
      <c r="OB21" s="14">
        <v>21.205750411731103</v>
      </c>
      <c r="OC21" t="s">
        <v>248</v>
      </c>
      <c r="OD21" t="s">
        <v>247</v>
      </c>
      <c r="OE21" t="s">
        <v>248</v>
      </c>
      <c r="OF21" t="s">
        <v>317</v>
      </c>
      <c r="OG21" t="s">
        <v>247</v>
      </c>
      <c r="OH21">
        <v>86</v>
      </c>
      <c r="OI21" t="s">
        <v>313</v>
      </c>
      <c r="OJ21" t="s">
        <v>318</v>
      </c>
      <c r="OK21">
        <v>130</v>
      </c>
      <c r="OL21">
        <v>0.66153846153846152</v>
      </c>
      <c r="OM21">
        <v>0.98837209302325579</v>
      </c>
      <c r="ON21">
        <f>-13.88</f>
        <v>-13.88</v>
      </c>
      <c r="OO21">
        <v>10.7</v>
      </c>
      <c r="OP21" s="25">
        <v>2.7055948370727734</v>
      </c>
      <c r="OQ21" s="25">
        <v>3.1561518457443429</v>
      </c>
    </row>
    <row r="22" spans="1:409" x14ac:dyDescent="0.25">
      <c r="A22" s="14">
        <v>21</v>
      </c>
      <c r="B22" s="1">
        <v>3</v>
      </c>
      <c r="C22" s="1">
        <v>0</v>
      </c>
      <c r="D22" s="1">
        <v>0</v>
      </c>
      <c r="E22" s="1">
        <v>12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2">
        <v>17</v>
      </c>
      <c r="Y22" s="3"/>
      <c r="Z22" s="15">
        <f t="shared" si="0"/>
        <v>1.4147106052612921</v>
      </c>
      <c r="AA22" s="15">
        <f t="shared" si="1"/>
        <v>0</v>
      </c>
      <c r="AB22" s="15">
        <f t="shared" si="2"/>
        <v>0</v>
      </c>
      <c r="AC22" s="15">
        <f t="shared" si="3"/>
        <v>5.6588424210451684</v>
      </c>
      <c r="AD22" s="15">
        <f t="shared" si="4"/>
        <v>0</v>
      </c>
      <c r="AE22" s="15">
        <f t="shared" si="5"/>
        <v>0</v>
      </c>
      <c r="AF22" s="15">
        <f t="shared" si="6"/>
        <v>0</v>
      </c>
      <c r="AG22" s="15">
        <f t="shared" si="7"/>
        <v>0</v>
      </c>
      <c r="AH22" s="15">
        <f t="shared" si="8"/>
        <v>0</v>
      </c>
      <c r="AI22" s="15">
        <f t="shared" si="9"/>
        <v>0.94314040350752804</v>
      </c>
      <c r="AJ22" s="15">
        <f t="shared" si="10"/>
        <v>0</v>
      </c>
      <c r="AK22" s="15">
        <f t="shared" si="11"/>
        <v>0</v>
      </c>
      <c r="AL22" s="15">
        <f t="shared" si="12"/>
        <v>0</v>
      </c>
      <c r="AM22" s="15">
        <f t="shared" si="13"/>
        <v>0</v>
      </c>
      <c r="AN22" s="15">
        <f t="shared" si="14"/>
        <v>0</v>
      </c>
      <c r="AO22" s="15">
        <f t="shared" si="15"/>
        <v>0</v>
      </c>
      <c r="AP22" s="15">
        <f t="shared" si="16"/>
        <v>0</v>
      </c>
      <c r="AQ22" s="15">
        <f t="shared" si="17"/>
        <v>0</v>
      </c>
      <c r="AR22" s="15">
        <f t="shared" si="18"/>
        <v>0</v>
      </c>
      <c r="AS22" s="15">
        <f t="shared" si="19"/>
        <v>0</v>
      </c>
      <c r="AT22" s="15">
        <f t="shared" si="20"/>
        <v>0</v>
      </c>
      <c r="AU22" s="15">
        <f t="shared" si="21"/>
        <v>0</v>
      </c>
      <c r="AV22" s="5">
        <f t="shared" si="22"/>
        <v>8.0166934298139871</v>
      </c>
      <c r="AW22" s="16"/>
      <c r="AX22" s="6">
        <v>3</v>
      </c>
      <c r="AY22" s="6">
        <v>0</v>
      </c>
      <c r="AZ22" s="6">
        <v>0</v>
      </c>
      <c r="BA22" s="6">
        <v>12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2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7">
        <v>17</v>
      </c>
      <c r="BU22" s="16"/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3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1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9">
        <v>4</v>
      </c>
      <c r="GG22" s="3"/>
      <c r="GH22" s="10">
        <f t="shared" si="60"/>
        <v>0</v>
      </c>
      <c r="GI22" s="10">
        <f t="shared" si="61"/>
        <v>0</v>
      </c>
      <c r="GJ22" s="10">
        <f t="shared" si="62"/>
        <v>0</v>
      </c>
      <c r="GK22" s="10">
        <f t="shared" si="63"/>
        <v>0</v>
      </c>
      <c r="GL22" s="10">
        <f t="shared" si="64"/>
        <v>0</v>
      </c>
      <c r="GM22" s="10">
        <f t="shared" si="65"/>
        <v>0</v>
      </c>
      <c r="GN22" s="10">
        <f t="shared" si="66"/>
        <v>0</v>
      </c>
      <c r="GO22" s="10">
        <f t="shared" si="67"/>
        <v>0</v>
      </c>
      <c r="GP22" s="10">
        <f t="shared" si="68"/>
        <v>0</v>
      </c>
      <c r="GQ22" s="10">
        <f t="shared" si="69"/>
        <v>0</v>
      </c>
      <c r="GR22" s="10">
        <f t="shared" si="70"/>
        <v>0</v>
      </c>
      <c r="GS22" s="10">
        <f t="shared" si="71"/>
        <v>0</v>
      </c>
      <c r="GT22" s="10">
        <f t="shared" si="72"/>
        <v>0</v>
      </c>
      <c r="GU22" s="10">
        <f t="shared" si="73"/>
        <v>0</v>
      </c>
      <c r="GV22" s="10">
        <f t="shared" si="74"/>
        <v>0</v>
      </c>
      <c r="GW22" s="10">
        <f t="shared" si="75"/>
        <v>0</v>
      </c>
      <c r="GX22" s="10">
        <f t="shared" si="76"/>
        <v>0</v>
      </c>
      <c r="GY22" s="10">
        <f t="shared" si="77"/>
        <v>0</v>
      </c>
      <c r="GZ22" s="10">
        <f t="shared" si="78"/>
        <v>0</v>
      </c>
      <c r="HA22" s="10">
        <f t="shared" si="79"/>
        <v>0</v>
      </c>
      <c r="HB22" s="10">
        <f t="shared" si="80"/>
        <v>0</v>
      </c>
      <c r="HC22" s="10">
        <f t="shared" si="81"/>
        <v>0</v>
      </c>
      <c r="HD22" s="10">
        <f t="shared" si="82"/>
        <v>0</v>
      </c>
      <c r="HE22" s="10">
        <f t="shared" si="83"/>
        <v>2.25</v>
      </c>
      <c r="HF22" s="10">
        <f t="shared" si="84"/>
        <v>0</v>
      </c>
      <c r="HG22" s="10">
        <f t="shared" si="85"/>
        <v>0</v>
      </c>
      <c r="HH22" s="10">
        <f t="shared" si="86"/>
        <v>0</v>
      </c>
      <c r="HI22" s="10">
        <f t="shared" si="87"/>
        <v>0</v>
      </c>
      <c r="HJ22" s="10">
        <f t="shared" si="88"/>
        <v>0</v>
      </c>
      <c r="HK22" s="10">
        <f t="shared" si="89"/>
        <v>0</v>
      </c>
      <c r="HL22" s="10">
        <f t="shared" si="90"/>
        <v>0</v>
      </c>
      <c r="HM22" s="10">
        <f t="shared" si="91"/>
        <v>0</v>
      </c>
      <c r="HN22" s="10">
        <f t="shared" si="92"/>
        <v>0</v>
      </c>
      <c r="HO22" s="10">
        <f t="shared" si="93"/>
        <v>0</v>
      </c>
      <c r="HP22" s="10">
        <f t="shared" si="94"/>
        <v>0</v>
      </c>
      <c r="HQ22" s="10">
        <f t="shared" si="95"/>
        <v>0</v>
      </c>
      <c r="HR22" s="10">
        <f t="shared" si="96"/>
        <v>0</v>
      </c>
      <c r="HS22" s="10">
        <f t="shared" si="97"/>
        <v>0</v>
      </c>
      <c r="HT22" s="10">
        <f t="shared" si="98"/>
        <v>0</v>
      </c>
      <c r="HU22" s="10">
        <f t="shared" si="99"/>
        <v>0</v>
      </c>
      <c r="HV22" s="10">
        <f t="shared" si="100"/>
        <v>0</v>
      </c>
      <c r="HW22" s="10">
        <f t="shared" si="101"/>
        <v>0</v>
      </c>
      <c r="HX22" s="10">
        <f t="shared" si="102"/>
        <v>0</v>
      </c>
      <c r="HY22" s="10">
        <f t="shared" si="103"/>
        <v>0</v>
      </c>
      <c r="HZ22" s="10">
        <f t="shared" si="104"/>
        <v>0</v>
      </c>
      <c r="IA22" s="10">
        <f t="shared" si="105"/>
        <v>0</v>
      </c>
      <c r="IB22" s="10">
        <f t="shared" si="106"/>
        <v>0</v>
      </c>
      <c r="IC22" s="10">
        <f t="shared" si="107"/>
        <v>0</v>
      </c>
      <c r="ID22" s="10">
        <f t="shared" si="108"/>
        <v>0</v>
      </c>
      <c r="IE22" s="10">
        <f t="shared" si="109"/>
        <v>0</v>
      </c>
      <c r="IF22" s="10">
        <f t="shared" si="110"/>
        <v>0</v>
      </c>
      <c r="IG22" s="10">
        <f t="shared" si="111"/>
        <v>0</v>
      </c>
      <c r="IH22" s="10">
        <f t="shared" si="112"/>
        <v>0</v>
      </c>
      <c r="II22" s="10">
        <f t="shared" si="113"/>
        <v>0</v>
      </c>
      <c r="IJ22" s="10">
        <f t="shared" si="114"/>
        <v>0</v>
      </c>
      <c r="IK22" s="10">
        <f t="shared" si="115"/>
        <v>0</v>
      </c>
      <c r="IL22" s="10">
        <f t="shared" si="116"/>
        <v>0</v>
      </c>
      <c r="IM22" s="10">
        <f t="shared" si="117"/>
        <v>0</v>
      </c>
      <c r="IN22" s="10">
        <f t="shared" si="118"/>
        <v>0.75</v>
      </c>
      <c r="IO22" s="10">
        <f t="shared" si="119"/>
        <v>0</v>
      </c>
      <c r="IP22" s="10">
        <f t="shared" si="120"/>
        <v>0</v>
      </c>
      <c r="IQ22" s="10">
        <f t="shared" si="121"/>
        <v>0</v>
      </c>
      <c r="IR22" s="10">
        <f t="shared" si="122"/>
        <v>0</v>
      </c>
      <c r="IS22" s="10">
        <f t="shared" si="123"/>
        <v>0</v>
      </c>
      <c r="IT22" s="10">
        <f t="shared" si="124"/>
        <v>0</v>
      </c>
      <c r="IU22" s="10">
        <f t="shared" si="125"/>
        <v>0</v>
      </c>
      <c r="IV22" s="10">
        <f t="shared" si="126"/>
        <v>0</v>
      </c>
      <c r="IW22" s="10">
        <f t="shared" si="127"/>
        <v>0</v>
      </c>
      <c r="IX22" s="10">
        <f t="shared" si="128"/>
        <v>0</v>
      </c>
      <c r="IY22" s="10">
        <f t="shared" si="129"/>
        <v>0</v>
      </c>
      <c r="IZ22" s="10">
        <f t="shared" si="130"/>
        <v>0</v>
      </c>
      <c r="JA22" s="10">
        <f t="shared" si="131"/>
        <v>0</v>
      </c>
      <c r="JB22" s="10">
        <f t="shared" si="132"/>
        <v>0</v>
      </c>
      <c r="JC22" s="10">
        <f t="shared" si="133"/>
        <v>0</v>
      </c>
      <c r="JD22" s="10">
        <f t="shared" si="134"/>
        <v>0</v>
      </c>
      <c r="JE22" s="10">
        <f t="shared" si="135"/>
        <v>0</v>
      </c>
      <c r="JF22" s="10">
        <f t="shared" si="136"/>
        <v>0</v>
      </c>
      <c r="JG22" s="10">
        <v>0</v>
      </c>
      <c r="JH22" s="10">
        <f t="shared" si="137"/>
        <v>0</v>
      </c>
      <c r="JI22" s="10">
        <f t="shared" si="138"/>
        <v>0</v>
      </c>
      <c r="JJ22" s="10">
        <f t="shared" si="139"/>
        <v>0</v>
      </c>
      <c r="JK22" s="10">
        <f t="shared" si="140"/>
        <v>0</v>
      </c>
      <c r="JL22" s="10">
        <f t="shared" si="141"/>
        <v>0</v>
      </c>
      <c r="JM22" s="10">
        <f t="shared" si="142"/>
        <v>0</v>
      </c>
      <c r="JN22" s="10">
        <f t="shared" si="143"/>
        <v>0</v>
      </c>
      <c r="JO22" s="10">
        <f t="shared" si="144"/>
        <v>0</v>
      </c>
      <c r="JP22" s="10">
        <f t="shared" si="145"/>
        <v>0</v>
      </c>
      <c r="JQ22" s="10">
        <f t="shared" si="146"/>
        <v>0</v>
      </c>
      <c r="JR22" s="10">
        <f t="shared" si="147"/>
        <v>0</v>
      </c>
      <c r="JS22" s="10">
        <f t="shared" si="148"/>
        <v>0</v>
      </c>
      <c r="JT22" s="10">
        <f t="shared" si="149"/>
        <v>0</v>
      </c>
      <c r="JU22" s="10">
        <f t="shared" si="150"/>
        <v>0</v>
      </c>
      <c r="JV22" s="10">
        <f t="shared" si="151"/>
        <v>0</v>
      </c>
      <c r="JW22" s="10">
        <f t="shared" si="152"/>
        <v>0</v>
      </c>
      <c r="JX22" s="10">
        <f t="shared" si="153"/>
        <v>0</v>
      </c>
      <c r="JY22" s="10">
        <f t="shared" si="154"/>
        <v>0</v>
      </c>
      <c r="JZ22" s="10">
        <f t="shared" si="155"/>
        <v>0</v>
      </c>
      <c r="KA22" s="10">
        <f t="shared" si="156"/>
        <v>0</v>
      </c>
      <c r="KB22" s="10">
        <f t="shared" si="157"/>
        <v>0</v>
      </c>
      <c r="KC22" s="10">
        <f t="shared" si="158"/>
        <v>0</v>
      </c>
      <c r="KD22" s="10">
        <f t="shared" si="159"/>
        <v>0</v>
      </c>
      <c r="KE22" s="10">
        <f t="shared" si="160"/>
        <v>0</v>
      </c>
      <c r="KF22" s="10">
        <f t="shared" si="161"/>
        <v>0</v>
      </c>
      <c r="KG22" s="10">
        <f t="shared" si="162"/>
        <v>0</v>
      </c>
      <c r="KH22" s="10">
        <f t="shared" si="163"/>
        <v>0</v>
      </c>
      <c r="KI22" s="10">
        <f t="shared" si="164"/>
        <v>0</v>
      </c>
      <c r="KJ22" s="10">
        <f t="shared" si="165"/>
        <v>0</v>
      </c>
      <c r="KK22" s="10">
        <f t="shared" si="166"/>
        <v>0</v>
      </c>
      <c r="KL22" s="10">
        <f t="shared" si="167"/>
        <v>0</v>
      </c>
      <c r="KM22" s="10">
        <f t="shared" si="168"/>
        <v>0</v>
      </c>
      <c r="KN22" s="10">
        <f t="shared" si="169"/>
        <v>0</v>
      </c>
      <c r="KO22" s="10">
        <f t="shared" si="170"/>
        <v>0</v>
      </c>
      <c r="KP22" s="10">
        <f t="shared" si="171"/>
        <v>0</v>
      </c>
      <c r="KQ22" s="11">
        <v>3</v>
      </c>
      <c r="KR22" s="16"/>
      <c r="KS22" s="12">
        <v>21.205750411731103</v>
      </c>
      <c r="KT22" s="26">
        <v>130</v>
      </c>
      <c r="KU22" s="26">
        <v>0.66153846153846152</v>
      </c>
      <c r="KV22" s="26">
        <v>0.98837209302325579</v>
      </c>
      <c r="KW22" s="26">
        <f>-13.88</f>
        <v>-13.88</v>
      </c>
      <c r="KX22" s="26">
        <v>10.7</v>
      </c>
      <c r="KY22" s="27">
        <v>2.7055948370727734</v>
      </c>
      <c r="KZ22" s="27">
        <v>3.1561518457443429</v>
      </c>
      <c r="LA22" s="17"/>
      <c r="LB22" s="2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28"/>
      <c r="ML22" t="s">
        <v>838</v>
      </c>
      <c r="MM22" t="s">
        <v>312</v>
      </c>
      <c r="MN22" t="s">
        <v>232</v>
      </c>
      <c r="MO22" t="s">
        <v>257</v>
      </c>
      <c r="MP22" t="s">
        <v>258</v>
      </c>
      <c r="MQ22" t="s">
        <v>259</v>
      </c>
      <c r="MR22">
        <v>1</v>
      </c>
      <c r="MS22" t="s">
        <v>312</v>
      </c>
      <c r="MT22" t="s">
        <v>313</v>
      </c>
      <c r="MU22" t="s">
        <v>314</v>
      </c>
      <c r="MV22">
        <v>17</v>
      </c>
      <c r="MW22" s="13">
        <v>442</v>
      </c>
      <c r="MX22" s="13" t="s">
        <v>315</v>
      </c>
      <c r="MY22" t="s">
        <v>240</v>
      </c>
      <c r="MZ22" t="s">
        <v>241</v>
      </c>
      <c r="NA22" t="s">
        <v>242</v>
      </c>
      <c r="NB22" t="s">
        <v>306</v>
      </c>
      <c r="ND22" s="18">
        <v>43281</v>
      </c>
      <c r="NE22" s="19">
        <v>0.17361111111111113</v>
      </c>
      <c r="NF22" t="s">
        <v>316</v>
      </c>
      <c r="NG22" t="s">
        <v>245</v>
      </c>
      <c r="NH22" t="s">
        <v>246</v>
      </c>
      <c r="NI22">
        <v>88</v>
      </c>
      <c r="NJ22" t="s">
        <v>244</v>
      </c>
      <c r="NK22">
        <v>5</v>
      </c>
      <c r="NL22" t="s">
        <v>247</v>
      </c>
      <c r="NM22">
        <v>29.6403</v>
      </c>
      <c r="NN22">
        <v>-84.906679999999994</v>
      </c>
      <c r="NO22" t="s">
        <v>248</v>
      </c>
      <c r="NP22" t="s">
        <v>249</v>
      </c>
      <c r="NQ22">
        <v>9</v>
      </c>
      <c r="NR22" t="s">
        <v>247</v>
      </c>
      <c r="NS22" t="s">
        <v>244</v>
      </c>
      <c r="NT22">
        <v>982000410605342</v>
      </c>
      <c r="NU22" t="s">
        <v>244</v>
      </c>
      <c r="NV22" t="s">
        <v>247</v>
      </c>
      <c r="NW22" t="s">
        <v>313</v>
      </c>
      <c r="NX22" t="s">
        <v>314</v>
      </c>
      <c r="NY22">
        <v>96</v>
      </c>
      <c r="NZ22">
        <v>94</v>
      </c>
      <c r="OA22">
        <v>92</v>
      </c>
      <c r="OB22" s="14">
        <v>21.205750411731103</v>
      </c>
      <c r="OC22" t="s">
        <v>248</v>
      </c>
      <c r="OD22" t="s">
        <v>247</v>
      </c>
      <c r="OE22" t="s">
        <v>248</v>
      </c>
      <c r="OF22" t="s">
        <v>317</v>
      </c>
      <c r="OG22" t="s">
        <v>247</v>
      </c>
      <c r="OH22">
        <v>85</v>
      </c>
      <c r="OI22" t="s">
        <v>313</v>
      </c>
      <c r="OJ22" t="s">
        <v>318</v>
      </c>
      <c r="OK22">
        <v>130</v>
      </c>
      <c r="OL22">
        <v>0.66153846153846152</v>
      </c>
      <c r="OM22">
        <v>0.98837209302325579</v>
      </c>
      <c r="ON22">
        <f>-13.88</f>
        <v>-13.88</v>
      </c>
      <c r="OO22">
        <v>10.7</v>
      </c>
      <c r="OP22" s="25">
        <v>2.7055948370727734</v>
      </c>
      <c r="OQ22" s="25">
        <v>3.1561518457443429</v>
      </c>
    </row>
    <row r="23" spans="1:409" x14ac:dyDescent="0.25">
      <c r="A23" s="14">
        <v>22</v>
      </c>
      <c r="B23" s="1">
        <v>51</v>
      </c>
      <c r="C23" s="1">
        <v>0</v>
      </c>
      <c r="D23" s="1">
        <v>0</v>
      </c>
      <c r="E23" s="1">
        <v>4</v>
      </c>
      <c r="F23" s="1">
        <v>0</v>
      </c>
      <c r="G23" s="1">
        <v>0</v>
      </c>
      <c r="H23" s="1">
        <v>0</v>
      </c>
      <c r="I23" s="1">
        <v>6</v>
      </c>
      <c r="J23" s="1">
        <v>0</v>
      </c>
      <c r="K23" s="1">
        <v>26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2">
        <v>87</v>
      </c>
      <c r="Y23" s="3"/>
      <c r="Z23" s="15">
        <f t="shared" si="0"/>
        <v>24.050080289441965</v>
      </c>
      <c r="AA23" s="15">
        <f t="shared" si="1"/>
        <v>0</v>
      </c>
      <c r="AB23" s="15">
        <f t="shared" si="2"/>
        <v>0</v>
      </c>
      <c r="AC23" s="15">
        <f t="shared" si="3"/>
        <v>1.8862808070150561</v>
      </c>
      <c r="AD23" s="15">
        <f t="shared" si="4"/>
        <v>0</v>
      </c>
      <c r="AE23" s="15">
        <f t="shared" si="5"/>
        <v>0</v>
      </c>
      <c r="AF23" s="15">
        <f t="shared" si="6"/>
        <v>0</v>
      </c>
      <c r="AG23" s="15">
        <f t="shared" si="7"/>
        <v>2.8294212105225842</v>
      </c>
      <c r="AH23" s="15">
        <f t="shared" si="8"/>
        <v>0</v>
      </c>
      <c r="AI23" s="15">
        <f t="shared" si="9"/>
        <v>12.260825245597864</v>
      </c>
      <c r="AJ23" s="15">
        <f t="shared" si="10"/>
        <v>0</v>
      </c>
      <c r="AK23" s="15">
        <f t="shared" si="11"/>
        <v>0</v>
      </c>
      <c r="AL23" s="15">
        <f t="shared" si="12"/>
        <v>0</v>
      </c>
      <c r="AM23" s="15">
        <f t="shared" si="13"/>
        <v>0</v>
      </c>
      <c r="AN23" s="15">
        <f t="shared" si="14"/>
        <v>0</v>
      </c>
      <c r="AO23" s="15">
        <f t="shared" si="15"/>
        <v>0</v>
      </c>
      <c r="AP23" s="15">
        <f t="shared" si="16"/>
        <v>0</v>
      </c>
      <c r="AQ23" s="15">
        <f t="shared" si="17"/>
        <v>0</v>
      </c>
      <c r="AR23" s="15">
        <f t="shared" si="18"/>
        <v>0</v>
      </c>
      <c r="AS23" s="15">
        <f t="shared" si="19"/>
        <v>0</v>
      </c>
      <c r="AT23" s="15">
        <f t="shared" si="20"/>
        <v>0</v>
      </c>
      <c r="AU23" s="15">
        <f t="shared" si="21"/>
        <v>0</v>
      </c>
      <c r="AV23" s="5">
        <f t="shared" si="22"/>
        <v>41.026607552577474</v>
      </c>
      <c r="AW23" s="16"/>
      <c r="AX23" s="6">
        <v>51</v>
      </c>
      <c r="AY23" s="6">
        <v>0</v>
      </c>
      <c r="AZ23" s="6">
        <v>0</v>
      </c>
      <c r="BA23" s="6">
        <v>4</v>
      </c>
      <c r="BB23" s="6">
        <v>0</v>
      </c>
      <c r="BC23" s="6">
        <v>0</v>
      </c>
      <c r="BD23" s="6">
        <v>0</v>
      </c>
      <c r="BE23" s="6">
        <v>6</v>
      </c>
      <c r="BF23" s="6">
        <v>0</v>
      </c>
      <c r="BG23" s="6">
        <v>26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7">
        <v>87</v>
      </c>
      <c r="BU23" s="16"/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6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13</v>
      </c>
      <c r="DT23" s="8">
        <v>0</v>
      </c>
      <c r="DU23" s="8">
        <v>0</v>
      </c>
      <c r="DV23" s="8">
        <v>9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13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0.99999999999999989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0.99999999999999989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9">
        <v>43</v>
      </c>
      <c r="GG23" s="3"/>
      <c r="GH23" s="10">
        <f t="shared" si="60"/>
        <v>0</v>
      </c>
      <c r="GI23" s="10">
        <f t="shared" si="61"/>
        <v>0</v>
      </c>
      <c r="GJ23" s="10">
        <f t="shared" si="62"/>
        <v>0</v>
      </c>
      <c r="GK23" s="10">
        <f t="shared" si="63"/>
        <v>0</v>
      </c>
      <c r="GL23" s="10">
        <f t="shared" si="64"/>
        <v>0</v>
      </c>
      <c r="GM23" s="10">
        <f t="shared" si="65"/>
        <v>0</v>
      </c>
      <c r="GN23" s="10">
        <f t="shared" si="66"/>
        <v>0</v>
      </c>
      <c r="GO23" s="10">
        <f t="shared" si="67"/>
        <v>0</v>
      </c>
      <c r="GP23" s="10">
        <f t="shared" si="68"/>
        <v>0</v>
      </c>
      <c r="GQ23" s="10">
        <f t="shared" si="69"/>
        <v>0</v>
      </c>
      <c r="GR23" s="10">
        <f t="shared" si="70"/>
        <v>0</v>
      </c>
      <c r="GS23" s="10">
        <f t="shared" si="71"/>
        <v>0</v>
      </c>
      <c r="GT23" s="10">
        <f t="shared" si="72"/>
        <v>0</v>
      </c>
      <c r="GU23" s="10">
        <f t="shared" si="73"/>
        <v>0</v>
      </c>
      <c r="GV23" s="10">
        <f t="shared" si="74"/>
        <v>0</v>
      </c>
      <c r="GW23" s="10">
        <f t="shared" si="75"/>
        <v>0</v>
      </c>
      <c r="GX23" s="10">
        <f t="shared" si="76"/>
        <v>0</v>
      </c>
      <c r="GY23" s="10">
        <f t="shared" si="77"/>
        <v>0</v>
      </c>
      <c r="GZ23" s="10">
        <f t="shared" si="78"/>
        <v>0</v>
      </c>
      <c r="HA23" s="10">
        <f t="shared" si="79"/>
        <v>0</v>
      </c>
      <c r="HB23" s="10">
        <f t="shared" si="80"/>
        <v>0</v>
      </c>
      <c r="HC23" s="10">
        <f t="shared" si="81"/>
        <v>0</v>
      </c>
      <c r="HD23" s="10">
        <f t="shared" si="82"/>
        <v>0</v>
      </c>
      <c r="HE23" s="10">
        <f t="shared" si="83"/>
        <v>0</v>
      </c>
      <c r="HF23" s="10">
        <f t="shared" si="84"/>
        <v>0</v>
      </c>
      <c r="HG23" s="10">
        <f t="shared" si="85"/>
        <v>0</v>
      </c>
      <c r="HH23" s="10">
        <f t="shared" si="86"/>
        <v>0</v>
      </c>
      <c r="HI23" s="10">
        <f t="shared" si="87"/>
        <v>0</v>
      </c>
      <c r="HJ23" s="10">
        <f t="shared" si="88"/>
        <v>0</v>
      </c>
      <c r="HK23" s="10">
        <f t="shared" si="89"/>
        <v>0</v>
      </c>
      <c r="HL23" s="10">
        <f t="shared" si="90"/>
        <v>0</v>
      </c>
      <c r="HM23" s="10">
        <f t="shared" si="91"/>
        <v>0</v>
      </c>
      <c r="HN23" s="10">
        <f t="shared" si="92"/>
        <v>0</v>
      </c>
      <c r="HO23" s="10">
        <f t="shared" si="93"/>
        <v>0</v>
      </c>
      <c r="HP23" s="10">
        <f t="shared" si="94"/>
        <v>0</v>
      </c>
      <c r="HQ23" s="10">
        <f t="shared" si="95"/>
        <v>0</v>
      </c>
      <c r="HR23" s="10">
        <f t="shared" si="96"/>
        <v>0</v>
      </c>
      <c r="HS23" s="10">
        <f t="shared" si="97"/>
        <v>0</v>
      </c>
      <c r="HT23" s="10">
        <f t="shared" si="98"/>
        <v>0</v>
      </c>
      <c r="HU23" s="10">
        <f t="shared" si="99"/>
        <v>7.1162790697674421</v>
      </c>
      <c r="HV23" s="10">
        <f t="shared" si="100"/>
        <v>0</v>
      </c>
      <c r="HW23" s="10">
        <f t="shared" si="101"/>
        <v>0</v>
      </c>
      <c r="HX23" s="10">
        <f t="shared" si="102"/>
        <v>0</v>
      </c>
      <c r="HY23" s="10">
        <f t="shared" si="103"/>
        <v>0</v>
      </c>
      <c r="HZ23" s="10">
        <f t="shared" si="104"/>
        <v>0</v>
      </c>
      <c r="IA23" s="10">
        <f t="shared" si="105"/>
        <v>0</v>
      </c>
      <c r="IB23" s="10">
        <f t="shared" si="106"/>
        <v>0</v>
      </c>
      <c r="IC23" s="10">
        <f t="shared" si="107"/>
        <v>0</v>
      </c>
      <c r="ID23" s="10">
        <f t="shared" si="108"/>
        <v>0</v>
      </c>
      <c r="IE23" s="10">
        <f t="shared" si="109"/>
        <v>15.41860465116279</v>
      </c>
      <c r="IF23" s="10">
        <f t="shared" si="110"/>
        <v>0</v>
      </c>
      <c r="IG23" s="10">
        <f t="shared" si="111"/>
        <v>0</v>
      </c>
      <c r="IH23" s="10">
        <f t="shared" si="112"/>
        <v>10.674418604651164</v>
      </c>
      <c r="II23" s="10">
        <f t="shared" si="113"/>
        <v>0</v>
      </c>
      <c r="IJ23" s="10">
        <f t="shared" si="114"/>
        <v>0</v>
      </c>
      <c r="IK23" s="10">
        <f t="shared" si="115"/>
        <v>0</v>
      </c>
      <c r="IL23" s="10">
        <f t="shared" si="116"/>
        <v>0</v>
      </c>
      <c r="IM23" s="10">
        <f t="shared" si="117"/>
        <v>0</v>
      </c>
      <c r="IN23" s="10">
        <f t="shared" si="118"/>
        <v>0</v>
      </c>
      <c r="IO23" s="10">
        <f t="shared" si="119"/>
        <v>0</v>
      </c>
      <c r="IP23" s="10">
        <f t="shared" si="120"/>
        <v>0</v>
      </c>
      <c r="IQ23" s="10">
        <f t="shared" si="121"/>
        <v>0</v>
      </c>
      <c r="IR23" s="10">
        <f t="shared" si="122"/>
        <v>15.41860465116279</v>
      </c>
      <c r="IS23" s="10">
        <f t="shared" si="123"/>
        <v>0</v>
      </c>
      <c r="IT23" s="10">
        <f t="shared" si="124"/>
        <v>0</v>
      </c>
      <c r="IU23" s="10">
        <f t="shared" si="125"/>
        <v>0</v>
      </c>
      <c r="IV23" s="10">
        <f t="shared" si="126"/>
        <v>0</v>
      </c>
      <c r="IW23" s="10">
        <f t="shared" si="127"/>
        <v>0</v>
      </c>
      <c r="IX23" s="10">
        <f t="shared" si="128"/>
        <v>0</v>
      </c>
      <c r="IY23" s="10">
        <f t="shared" si="129"/>
        <v>0</v>
      </c>
      <c r="IZ23" s="10">
        <f t="shared" si="130"/>
        <v>0</v>
      </c>
      <c r="JA23" s="10">
        <f t="shared" si="131"/>
        <v>0</v>
      </c>
      <c r="JB23" s="10">
        <f t="shared" si="132"/>
        <v>0</v>
      </c>
      <c r="JC23" s="10">
        <f t="shared" si="133"/>
        <v>0</v>
      </c>
      <c r="JD23" s="10">
        <f t="shared" si="134"/>
        <v>0</v>
      </c>
      <c r="JE23" s="10">
        <f t="shared" si="135"/>
        <v>1.1860465116279069</v>
      </c>
      <c r="JF23" s="10">
        <f t="shared" si="136"/>
        <v>0</v>
      </c>
      <c r="JG23" s="10">
        <v>0</v>
      </c>
      <c r="JH23" s="10">
        <f t="shared" si="137"/>
        <v>0</v>
      </c>
      <c r="JI23" s="10">
        <f t="shared" si="138"/>
        <v>0</v>
      </c>
      <c r="JJ23" s="10">
        <f t="shared" si="139"/>
        <v>0</v>
      </c>
      <c r="JK23" s="10">
        <f t="shared" si="140"/>
        <v>0</v>
      </c>
      <c r="JL23" s="10">
        <f t="shared" si="141"/>
        <v>0</v>
      </c>
      <c r="JM23" s="10">
        <f t="shared" si="142"/>
        <v>0</v>
      </c>
      <c r="JN23" s="10">
        <f t="shared" si="143"/>
        <v>0</v>
      </c>
      <c r="JO23" s="10">
        <f t="shared" si="144"/>
        <v>0</v>
      </c>
      <c r="JP23" s="10">
        <f t="shared" si="145"/>
        <v>0</v>
      </c>
      <c r="JQ23" s="10">
        <f t="shared" si="146"/>
        <v>0</v>
      </c>
      <c r="JR23" s="10">
        <f t="shared" si="147"/>
        <v>0</v>
      </c>
      <c r="JS23" s="10">
        <f t="shared" si="148"/>
        <v>0</v>
      </c>
      <c r="JT23" s="10">
        <f t="shared" si="149"/>
        <v>0</v>
      </c>
      <c r="JU23" s="10">
        <f t="shared" si="150"/>
        <v>0</v>
      </c>
      <c r="JV23" s="10">
        <f t="shared" si="151"/>
        <v>0</v>
      </c>
      <c r="JW23" s="10">
        <f t="shared" si="152"/>
        <v>0</v>
      </c>
      <c r="JX23" s="10">
        <f t="shared" si="153"/>
        <v>0</v>
      </c>
      <c r="JY23" s="10">
        <f t="shared" si="154"/>
        <v>0</v>
      </c>
      <c r="JZ23" s="10">
        <f t="shared" si="155"/>
        <v>0</v>
      </c>
      <c r="KA23" s="10">
        <f t="shared" si="156"/>
        <v>0</v>
      </c>
      <c r="KB23" s="10">
        <f t="shared" si="157"/>
        <v>0</v>
      </c>
      <c r="KC23" s="10">
        <f t="shared" si="158"/>
        <v>0</v>
      </c>
      <c r="KD23" s="10">
        <f t="shared" si="159"/>
        <v>0</v>
      </c>
      <c r="KE23" s="10">
        <f t="shared" si="160"/>
        <v>0</v>
      </c>
      <c r="KF23" s="10">
        <f t="shared" si="161"/>
        <v>0</v>
      </c>
      <c r="KG23" s="10">
        <f t="shared" si="162"/>
        <v>0</v>
      </c>
      <c r="KH23" s="10">
        <f t="shared" si="163"/>
        <v>0</v>
      </c>
      <c r="KI23" s="10">
        <f t="shared" si="164"/>
        <v>0</v>
      </c>
      <c r="KJ23" s="10">
        <f t="shared" si="165"/>
        <v>0</v>
      </c>
      <c r="KK23" s="10">
        <f t="shared" si="166"/>
        <v>1.1860465116279069</v>
      </c>
      <c r="KL23" s="10">
        <f t="shared" si="167"/>
        <v>0</v>
      </c>
      <c r="KM23" s="10">
        <f t="shared" si="168"/>
        <v>0</v>
      </c>
      <c r="KN23" s="10">
        <f t="shared" si="169"/>
        <v>0</v>
      </c>
      <c r="KO23" s="10">
        <f t="shared" si="170"/>
        <v>0</v>
      </c>
      <c r="KP23" s="10">
        <f t="shared" si="171"/>
        <v>0</v>
      </c>
      <c r="KQ23" s="11">
        <v>51</v>
      </c>
      <c r="KR23" s="16"/>
      <c r="KS23" s="12">
        <v>21.205750411731103</v>
      </c>
      <c r="KT23" s="26">
        <v>130</v>
      </c>
      <c r="KU23" s="26">
        <v>0.66153846153846152</v>
      </c>
      <c r="KV23" s="26">
        <v>0.98837209302325579</v>
      </c>
      <c r="KW23" s="26">
        <f>-13.88</f>
        <v>-13.88</v>
      </c>
      <c r="KX23" s="26">
        <v>10.7</v>
      </c>
      <c r="KY23" s="27">
        <v>2.7055948370727734</v>
      </c>
      <c r="KZ23" s="27">
        <v>3.1561518457443429</v>
      </c>
      <c r="LA23" s="17"/>
      <c r="LB23" s="2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28"/>
      <c r="ML23" t="s">
        <v>839</v>
      </c>
      <c r="MM23" t="s">
        <v>311</v>
      </c>
      <c r="MN23" t="s">
        <v>232</v>
      </c>
      <c r="MO23" t="s">
        <v>253</v>
      </c>
      <c r="MP23" t="s">
        <v>254</v>
      </c>
      <c r="MQ23" t="s">
        <v>255</v>
      </c>
      <c r="MR23">
        <v>1</v>
      </c>
      <c r="MS23" t="s">
        <v>312</v>
      </c>
      <c r="MT23" t="s">
        <v>313</v>
      </c>
      <c r="MU23" t="s">
        <v>314</v>
      </c>
      <c r="MV23">
        <v>87</v>
      </c>
      <c r="MW23" s="13">
        <v>442</v>
      </c>
      <c r="MX23" s="13" t="s">
        <v>315</v>
      </c>
      <c r="MY23" t="s">
        <v>240</v>
      </c>
      <c r="MZ23" t="s">
        <v>241</v>
      </c>
      <c r="NA23" t="s">
        <v>242</v>
      </c>
      <c r="NB23" t="s">
        <v>306</v>
      </c>
      <c r="ND23" s="18">
        <v>43281</v>
      </c>
      <c r="NE23" s="19">
        <v>0.17361111111111113</v>
      </c>
      <c r="NF23" t="s">
        <v>316</v>
      </c>
      <c r="NG23" t="s">
        <v>245</v>
      </c>
      <c r="NH23" t="s">
        <v>246</v>
      </c>
      <c r="NI23">
        <v>88</v>
      </c>
      <c r="NJ23" t="s">
        <v>244</v>
      </c>
      <c r="NK23">
        <v>5</v>
      </c>
      <c r="NL23" t="s">
        <v>247</v>
      </c>
      <c r="NM23">
        <v>29.6403</v>
      </c>
      <c r="NN23">
        <v>-84.906679999999994</v>
      </c>
      <c r="NO23" t="s">
        <v>248</v>
      </c>
      <c r="NP23" t="s">
        <v>249</v>
      </c>
      <c r="NQ23">
        <v>9</v>
      </c>
      <c r="NR23" t="s">
        <v>247</v>
      </c>
      <c r="NS23" t="s">
        <v>244</v>
      </c>
      <c r="NT23">
        <v>982000410605342</v>
      </c>
      <c r="NU23" t="s">
        <v>244</v>
      </c>
      <c r="NV23" t="s">
        <v>247</v>
      </c>
      <c r="NW23" t="s">
        <v>313</v>
      </c>
      <c r="NX23" t="s">
        <v>314</v>
      </c>
      <c r="NY23">
        <v>96</v>
      </c>
      <c r="NZ23">
        <v>94</v>
      </c>
      <c r="OA23">
        <v>92</v>
      </c>
      <c r="OB23" s="14">
        <v>21.205750411731103</v>
      </c>
      <c r="OC23" t="s">
        <v>248</v>
      </c>
      <c r="OD23" t="s">
        <v>247</v>
      </c>
      <c r="OE23" t="s">
        <v>248</v>
      </c>
      <c r="OF23" t="s">
        <v>317</v>
      </c>
      <c r="OG23" t="s">
        <v>247</v>
      </c>
      <c r="OH23">
        <v>84</v>
      </c>
      <c r="OI23" t="s">
        <v>313</v>
      </c>
      <c r="OJ23" t="s">
        <v>318</v>
      </c>
      <c r="OK23">
        <v>130</v>
      </c>
      <c r="OL23">
        <v>0.66153846153846152</v>
      </c>
      <c r="OM23">
        <v>0.98837209302325579</v>
      </c>
      <c r="ON23">
        <f>-13.88</f>
        <v>-13.88</v>
      </c>
      <c r="OO23">
        <v>10.7</v>
      </c>
      <c r="OP23" s="25">
        <v>2.7055948370727734</v>
      </c>
      <c r="OQ23" s="25">
        <v>3.1561518457443429</v>
      </c>
    </row>
    <row r="24" spans="1:409" x14ac:dyDescent="0.25">
      <c r="A24">
        <v>23</v>
      </c>
      <c r="B24" s="1">
        <v>112</v>
      </c>
      <c r="C24" s="1">
        <v>8</v>
      </c>
      <c r="D24" s="1">
        <v>12</v>
      </c>
      <c r="E24" s="1">
        <v>2</v>
      </c>
      <c r="F24" s="1">
        <v>76</v>
      </c>
      <c r="G24" s="1">
        <v>22</v>
      </c>
      <c r="H24" s="1">
        <v>0</v>
      </c>
      <c r="I24" s="1">
        <v>0</v>
      </c>
      <c r="J24" s="1">
        <v>8</v>
      </c>
      <c r="K24" s="1">
        <v>4</v>
      </c>
      <c r="L24" s="1">
        <v>0</v>
      </c>
      <c r="M24" s="1">
        <v>0</v>
      </c>
      <c r="N24" s="1">
        <v>6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2">
        <v>250</v>
      </c>
      <c r="Y24" s="3"/>
      <c r="Z24" s="15">
        <f t="shared" si="0"/>
        <v>2.6361067178781834</v>
      </c>
      <c r="AA24" s="15">
        <f t="shared" si="1"/>
        <v>0.18829333699129883</v>
      </c>
      <c r="AB24" s="15">
        <f t="shared" si="2"/>
        <v>0.28244000548694825</v>
      </c>
      <c r="AC24" s="15">
        <f t="shared" si="3"/>
        <v>4.7073334247824707E-2</v>
      </c>
      <c r="AD24" s="15">
        <f t="shared" si="4"/>
        <v>1.7887867014173386</v>
      </c>
      <c r="AE24" s="15">
        <f t="shared" si="5"/>
        <v>0.51780667672607184</v>
      </c>
      <c r="AF24" s="15">
        <f t="shared" si="6"/>
        <v>0</v>
      </c>
      <c r="AG24" s="15">
        <f t="shared" si="7"/>
        <v>0</v>
      </c>
      <c r="AH24" s="15">
        <f t="shared" si="8"/>
        <v>0.18829333699129883</v>
      </c>
      <c r="AI24" s="15">
        <f t="shared" si="9"/>
        <v>9.4146668495649413E-2</v>
      </c>
      <c r="AJ24" s="15">
        <f t="shared" si="10"/>
        <v>0</v>
      </c>
      <c r="AK24" s="15">
        <f t="shared" si="11"/>
        <v>0</v>
      </c>
      <c r="AL24" s="15">
        <f t="shared" si="12"/>
        <v>0.14122000274347413</v>
      </c>
      <c r="AM24" s="15">
        <f t="shared" si="13"/>
        <v>0</v>
      </c>
      <c r="AN24" s="15">
        <f t="shared" si="14"/>
        <v>0</v>
      </c>
      <c r="AO24" s="15">
        <f t="shared" si="15"/>
        <v>0</v>
      </c>
      <c r="AP24" s="15">
        <f t="shared" si="16"/>
        <v>0</v>
      </c>
      <c r="AQ24" s="15">
        <f t="shared" si="17"/>
        <v>0</v>
      </c>
      <c r="AR24" s="15">
        <f t="shared" si="18"/>
        <v>0</v>
      </c>
      <c r="AS24" s="15">
        <f t="shared" si="19"/>
        <v>0</v>
      </c>
      <c r="AT24" s="15">
        <f t="shared" si="20"/>
        <v>0</v>
      </c>
      <c r="AU24" s="15">
        <f t="shared" si="21"/>
        <v>0</v>
      </c>
      <c r="AV24" s="5">
        <f t="shared" si="22"/>
        <v>5.884166780978088</v>
      </c>
      <c r="AW24" s="16"/>
      <c r="AX24" s="6">
        <v>1599.9999999999998</v>
      </c>
      <c r="AY24" s="6">
        <v>114.28571428571428</v>
      </c>
      <c r="AZ24" s="6">
        <v>171.42857142857142</v>
      </c>
      <c r="BA24" s="6">
        <v>28.571428571428569</v>
      </c>
      <c r="BB24" s="6">
        <v>1085.7142857142856</v>
      </c>
      <c r="BC24" s="6">
        <v>314.28571428571428</v>
      </c>
      <c r="BD24" s="6">
        <v>0</v>
      </c>
      <c r="BE24" s="6">
        <v>0</v>
      </c>
      <c r="BF24" s="6">
        <v>114.28571428571428</v>
      </c>
      <c r="BG24" s="6">
        <v>57.142857142857139</v>
      </c>
      <c r="BH24" s="6">
        <v>0</v>
      </c>
      <c r="BI24" s="6">
        <v>0</v>
      </c>
      <c r="BJ24" s="6">
        <v>85.714285714285708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7">
        <v>3571.4285714285711</v>
      </c>
      <c r="BU24" s="16"/>
      <c r="BV24" s="8">
        <v>0</v>
      </c>
      <c r="BW24" s="8">
        <v>9.0000000000000018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6.9999999999999991</v>
      </c>
      <c r="CG24" s="8">
        <v>0</v>
      </c>
      <c r="CH24" s="8">
        <v>1</v>
      </c>
      <c r="CI24" s="8">
        <v>1</v>
      </c>
      <c r="CJ24" s="8">
        <v>1</v>
      </c>
      <c r="CK24" s="8">
        <v>0</v>
      </c>
      <c r="CL24" s="8">
        <v>0</v>
      </c>
      <c r="CM24" s="8">
        <v>0</v>
      </c>
      <c r="CN24" s="8">
        <v>2</v>
      </c>
      <c r="CO24" s="8">
        <v>0</v>
      </c>
      <c r="CP24" s="8">
        <v>0</v>
      </c>
      <c r="CQ24" s="8">
        <v>0</v>
      </c>
      <c r="CR24" s="8">
        <v>31</v>
      </c>
      <c r="CS24" s="8">
        <v>1</v>
      </c>
      <c r="CT24" s="8">
        <v>0</v>
      </c>
      <c r="CU24" s="8">
        <v>0</v>
      </c>
      <c r="CV24" s="8">
        <v>0</v>
      </c>
      <c r="CW24" s="8">
        <v>1</v>
      </c>
      <c r="CX24" s="8">
        <v>0</v>
      </c>
      <c r="CY24" s="8">
        <v>3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1</v>
      </c>
      <c r="DN24" s="8">
        <v>0</v>
      </c>
      <c r="DO24" s="8">
        <v>0</v>
      </c>
      <c r="DP24" s="8">
        <v>1</v>
      </c>
      <c r="DQ24" s="8">
        <v>0</v>
      </c>
      <c r="DR24" s="8">
        <v>0</v>
      </c>
      <c r="DS24" s="8">
        <v>4</v>
      </c>
      <c r="DT24" s="8">
        <v>0</v>
      </c>
      <c r="DU24" s="8">
        <v>0</v>
      </c>
      <c r="DV24" s="8">
        <v>1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1</v>
      </c>
      <c r="FD24" s="8">
        <v>0</v>
      </c>
      <c r="FE24" s="8">
        <v>0</v>
      </c>
      <c r="FF24" s="8">
        <v>0</v>
      </c>
      <c r="FG24" s="8">
        <v>1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12</v>
      </c>
      <c r="FN24" s="8">
        <v>0</v>
      </c>
      <c r="FO24" s="8">
        <v>0</v>
      </c>
      <c r="FP24" s="8">
        <v>0</v>
      </c>
      <c r="FQ24" s="8">
        <v>0</v>
      </c>
      <c r="FR24" s="8">
        <v>16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1</v>
      </c>
      <c r="GB24" s="8">
        <v>0</v>
      </c>
      <c r="GC24" s="8">
        <v>0</v>
      </c>
      <c r="GD24" s="8">
        <v>0</v>
      </c>
      <c r="GE24" s="8">
        <v>0</v>
      </c>
      <c r="GF24" s="9">
        <v>95</v>
      </c>
      <c r="GG24" s="3"/>
      <c r="GH24" s="10">
        <f t="shared" si="60"/>
        <v>0</v>
      </c>
      <c r="GI24" s="10">
        <f t="shared" si="61"/>
        <v>151.57894736842107</v>
      </c>
      <c r="GJ24" s="10">
        <f t="shared" si="62"/>
        <v>0</v>
      </c>
      <c r="GK24" s="10">
        <f t="shared" si="63"/>
        <v>0</v>
      </c>
      <c r="GL24" s="10">
        <f t="shared" si="64"/>
        <v>0</v>
      </c>
      <c r="GM24" s="10">
        <f t="shared" si="65"/>
        <v>0</v>
      </c>
      <c r="GN24" s="10">
        <f t="shared" si="66"/>
        <v>0</v>
      </c>
      <c r="GO24" s="10">
        <f t="shared" si="67"/>
        <v>0</v>
      </c>
      <c r="GP24" s="10">
        <f t="shared" si="68"/>
        <v>0</v>
      </c>
      <c r="GQ24" s="10">
        <f t="shared" si="69"/>
        <v>0</v>
      </c>
      <c r="GR24" s="10">
        <f t="shared" si="70"/>
        <v>117.89473684210523</v>
      </c>
      <c r="GS24" s="10">
        <f t="shared" si="71"/>
        <v>0</v>
      </c>
      <c r="GT24" s="10">
        <f t="shared" si="72"/>
        <v>16.84210526315789</v>
      </c>
      <c r="GU24" s="10">
        <f t="shared" si="73"/>
        <v>16.84210526315789</v>
      </c>
      <c r="GV24" s="10">
        <f t="shared" si="74"/>
        <v>16.84210526315789</v>
      </c>
      <c r="GW24" s="10">
        <f t="shared" si="75"/>
        <v>0</v>
      </c>
      <c r="GX24" s="10">
        <f t="shared" si="76"/>
        <v>0</v>
      </c>
      <c r="GY24" s="10">
        <f t="shared" si="77"/>
        <v>0</v>
      </c>
      <c r="GZ24" s="10">
        <f t="shared" si="78"/>
        <v>33.68421052631578</v>
      </c>
      <c r="HA24" s="10">
        <f t="shared" si="79"/>
        <v>0</v>
      </c>
      <c r="HB24" s="10">
        <f t="shared" si="80"/>
        <v>0</v>
      </c>
      <c r="HC24" s="10">
        <f t="shared" si="81"/>
        <v>0</v>
      </c>
      <c r="HD24" s="10">
        <f t="shared" si="82"/>
        <v>522.10526315789468</v>
      </c>
      <c r="HE24" s="10">
        <f t="shared" si="83"/>
        <v>16.84210526315789</v>
      </c>
      <c r="HF24" s="10">
        <f t="shared" si="84"/>
        <v>0</v>
      </c>
      <c r="HG24" s="10">
        <f t="shared" si="85"/>
        <v>0</v>
      </c>
      <c r="HH24" s="10">
        <f t="shared" si="86"/>
        <v>0</v>
      </c>
      <c r="HI24" s="10">
        <f t="shared" si="87"/>
        <v>16.84210526315789</v>
      </c>
      <c r="HJ24" s="10">
        <f t="shared" si="88"/>
        <v>0</v>
      </c>
      <c r="HK24" s="10">
        <f t="shared" si="89"/>
        <v>50.526315789473678</v>
      </c>
      <c r="HL24" s="10">
        <f t="shared" si="90"/>
        <v>0</v>
      </c>
      <c r="HM24" s="10">
        <f t="shared" si="91"/>
        <v>0</v>
      </c>
      <c r="HN24" s="10">
        <f t="shared" si="92"/>
        <v>0</v>
      </c>
      <c r="HO24" s="10">
        <f t="shared" si="93"/>
        <v>0</v>
      </c>
      <c r="HP24" s="10">
        <f t="shared" si="94"/>
        <v>0</v>
      </c>
      <c r="HQ24" s="10">
        <f t="shared" si="95"/>
        <v>0</v>
      </c>
      <c r="HR24" s="10">
        <f t="shared" si="96"/>
        <v>0</v>
      </c>
      <c r="HS24" s="10">
        <f t="shared" si="97"/>
        <v>0</v>
      </c>
      <c r="HT24" s="10">
        <f t="shared" si="98"/>
        <v>0</v>
      </c>
      <c r="HU24" s="10">
        <f t="shared" si="99"/>
        <v>0</v>
      </c>
      <c r="HV24" s="10">
        <f t="shared" si="100"/>
        <v>0</v>
      </c>
      <c r="HW24" s="10">
        <f t="shared" si="101"/>
        <v>0</v>
      </c>
      <c r="HX24" s="10">
        <f t="shared" si="102"/>
        <v>0</v>
      </c>
      <c r="HY24" s="10">
        <f t="shared" si="103"/>
        <v>16.84210526315789</v>
      </c>
      <c r="HZ24" s="10">
        <f t="shared" si="104"/>
        <v>0</v>
      </c>
      <c r="IA24" s="10">
        <f t="shared" si="105"/>
        <v>0</v>
      </c>
      <c r="IB24" s="10">
        <f t="shared" si="106"/>
        <v>16.84210526315789</v>
      </c>
      <c r="IC24" s="10">
        <f t="shared" si="107"/>
        <v>0</v>
      </c>
      <c r="ID24" s="10">
        <f t="shared" si="108"/>
        <v>0</v>
      </c>
      <c r="IE24" s="10">
        <f t="shared" si="109"/>
        <v>67.368421052631561</v>
      </c>
      <c r="IF24" s="10">
        <f t="shared" si="110"/>
        <v>0</v>
      </c>
      <c r="IG24" s="10">
        <f t="shared" si="111"/>
        <v>0</v>
      </c>
      <c r="IH24" s="10">
        <f t="shared" si="112"/>
        <v>16.84210526315789</v>
      </c>
      <c r="II24" s="10">
        <f t="shared" si="113"/>
        <v>0</v>
      </c>
      <c r="IJ24" s="10">
        <f t="shared" si="114"/>
        <v>0</v>
      </c>
      <c r="IK24" s="10">
        <f t="shared" si="115"/>
        <v>0</v>
      </c>
      <c r="IL24" s="10">
        <f t="shared" si="116"/>
        <v>0</v>
      </c>
      <c r="IM24" s="10">
        <f t="shared" si="117"/>
        <v>0</v>
      </c>
      <c r="IN24" s="10">
        <f t="shared" si="118"/>
        <v>0</v>
      </c>
      <c r="IO24" s="10">
        <f t="shared" si="119"/>
        <v>0</v>
      </c>
      <c r="IP24" s="10">
        <f t="shared" si="120"/>
        <v>0</v>
      </c>
      <c r="IQ24" s="10">
        <f t="shared" si="121"/>
        <v>0</v>
      </c>
      <c r="IR24" s="10">
        <f t="shared" si="122"/>
        <v>0</v>
      </c>
      <c r="IS24" s="10">
        <f t="shared" si="123"/>
        <v>0</v>
      </c>
      <c r="IT24" s="10">
        <f t="shared" si="124"/>
        <v>0</v>
      </c>
      <c r="IU24" s="10">
        <f t="shared" si="125"/>
        <v>0</v>
      </c>
      <c r="IV24" s="10">
        <f t="shared" si="126"/>
        <v>0</v>
      </c>
      <c r="IW24" s="10">
        <f t="shared" si="127"/>
        <v>0</v>
      </c>
      <c r="IX24" s="10">
        <f t="shared" si="128"/>
        <v>0</v>
      </c>
      <c r="IY24" s="10">
        <f t="shared" si="129"/>
        <v>0</v>
      </c>
      <c r="IZ24" s="10">
        <f t="shared" si="130"/>
        <v>0</v>
      </c>
      <c r="JA24" s="10">
        <f t="shared" si="131"/>
        <v>0</v>
      </c>
      <c r="JB24" s="10">
        <f t="shared" si="132"/>
        <v>0</v>
      </c>
      <c r="JC24" s="10">
        <f t="shared" si="133"/>
        <v>0</v>
      </c>
      <c r="JD24" s="10">
        <f t="shared" si="134"/>
        <v>0</v>
      </c>
      <c r="JE24" s="10">
        <f t="shared" si="135"/>
        <v>0</v>
      </c>
      <c r="JF24" s="10">
        <f t="shared" si="136"/>
        <v>0</v>
      </c>
      <c r="JG24" s="10">
        <v>0</v>
      </c>
      <c r="JH24" s="10">
        <f t="shared" si="137"/>
        <v>0</v>
      </c>
      <c r="JI24" s="10">
        <f t="shared" si="138"/>
        <v>0</v>
      </c>
      <c r="JJ24" s="10">
        <f t="shared" si="139"/>
        <v>0</v>
      </c>
      <c r="JK24" s="10">
        <f t="shared" si="140"/>
        <v>0</v>
      </c>
      <c r="JL24" s="10">
        <f t="shared" si="141"/>
        <v>0</v>
      </c>
      <c r="JM24" s="10">
        <f t="shared" si="142"/>
        <v>0</v>
      </c>
      <c r="JN24" s="10">
        <f t="shared" si="143"/>
        <v>16.84210526315789</v>
      </c>
      <c r="JO24" s="10">
        <f t="shared" si="144"/>
        <v>0</v>
      </c>
      <c r="JP24" s="10">
        <f t="shared" si="145"/>
        <v>0</v>
      </c>
      <c r="JQ24" s="10">
        <f t="shared" si="146"/>
        <v>0</v>
      </c>
      <c r="JR24" s="10">
        <f t="shared" si="147"/>
        <v>16.84210526315789</v>
      </c>
      <c r="JS24" s="10">
        <f t="shared" si="148"/>
        <v>0</v>
      </c>
      <c r="JT24" s="10">
        <f t="shared" si="149"/>
        <v>0</v>
      </c>
      <c r="JU24" s="10">
        <f t="shared" si="150"/>
        <v>0</v>
      </c>
      <c r="JV24" s="10">
        <f t="shared" si="151"/>
        <v>0</v>
      </c>
      <c r="JW24" s="10">
        <f t="shared" si="152"/>
        <v>0</v>
      </c>
      <c r="JX24" s="10">
        <f t="shared" si="153"/>
        <v>202.10526315789471</v>
      </c>
      <c r="JY24" s="10">
        <f t="shared" si="154"/>
        <v>0</v>
      </c>
      <c r="JZ24" s="10">
        <f t="shared" si="155"/>
        <v>0</v>
      </c>
      <c r="KA24" s="10">
        <f t="shared" si="156"/>
        <v>0</v>
      </c>
      <c r="KB24" s="10">
        <f t="shared" si="157"/>
        <v>0</v>
      </c>
      <c r="KC24" s="10">
        <f t="shared" si="158"/>
        <v>269.47368421052624</v>
      </c>
      <c r="KD24" s="10">
        <f t="shared" si="159"/>
        <v>0</v>
      </c>
      <c r="KE24" s="10">
        <f t="shared" si="160"/>
        <v>0</v>
      </c>
      <c r="KF24" s="10">
        <f t="shared" si="161"/>
        <v>0</v>
      </c>
      <c r="KG24" s="10">
        <f t="shared" si="162"/>
        <v>0</v>
      </c>
      <c r="KH24" s="10">
        <f t="shared" si="163"/>
        <v>0</v>
      </c>
      <c r="KI24" s="10">
        <f t="shared" si="164"/>
        <v>0</v>
      </c>
      <c r="KJ24" s="10">
        <f t="shared" si="165"/>
        <v>0</v>
      </c>
      <c r="KK24" s="10">
        <f t="shared" si="166"/>
        <v>0</v>
      </c>
      <c r="KL24" s="10">
        <f t="shared" si="167"/>
        <v>16.84210526315789</v>
      </c>
      <c r="KM24" s="10">
        <f t="shared" si="168"/>
        <v>0</v>
      </c>
      <c r="KN24" s="10">
        <f t="shared" si="169"/>
        <v>0</v>
      </c>
      <c r="KO24" s="10">
        <f t="shared" si="170"/>
        <v>0</v>
      </c>
      <c r="KP24" s="10">
        <f t="shared" si="171"/>
        <v>0</v>
      </c>
      <c r="KQ24" s="11">
        <v>1600</v>
      </c>
      <c r="KR24" s="16"/>
      <c r="KS24" s="12">
        <v>6069.5570067354802</v>
      </c>
      <c r="KT24" s="26"/>
      <c r="KU24" s="26"/>
      <c r="KV24" s="26"/>
      <c r="KW24" s="26">
        <v>-13.44</v>
      </c>
      <c r="KX24" s="26">
        <v>6.7</v>
      </c>
      <c r="KY24" s="27">
        <v>2.9122034652787505</v>
      </c>
      <c r="KZ24" s="27">
        <v>3.3971665735683012</v>
      </c>
      <c r="LA24" s="17"/>
      <c r="LB24" s="2">
        <v>318</v>
      </c>
      <c r="LC24" s="1">
        <v>0</v>
      </c>
      <c r="LD24" s="1">
        <v>0</v>
      </c>
      <c r="LE24" s="1">
        <v>0</v>
      </c>
      <c r="LF24" s="1">
        <v>0</v>
      </c>
      <c r="LG24" s="1">
        <v>16</v>
      </c>
      <c r="LH24" s="1">
        <v>0</v>
      </c>
      <c r="LI24" s="1">
        <v>11</v>
      </c>
      <c r="LJ24" s="1">
        <v>0</v>
      </c>
      <c r="LK24" s="1">
        <v>0</v>
      </c>
      <c r="LL24" s="1">
        <v>160</v>
      </c>
      <c r="LM24" s="1">
        <v>5</v>
      </c>
      <c r="LN24" s="1">
        <v>123</v>
      </c>
      <c r="LO24" s="1">
        <v>0</v>
      </c>
      <c r="LP24" s="1">
        <v>1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1</v>
      </c>
      <c r="ME24" s="1">
        <v>0</v>
      </c>
      <c r="MF24" s="1">
        <v>0</v>
      </c>
      <c r="MG24" s="1">
        <v>0</v>
      </c>
      <c r="MH24" s="1">
        <v>0</v>
      </c>
      <c r="MI24" s="1">
        <v>1</v>
      </c>
      <c r="MJ24" s="1">
        <v>0</v>
      </c>
      <c r="MK24" s="28"/>
      <c r="ML24" t="s">
        <v>840</v>
      </c>
      <c r="MM24" t="s">
        <v>319</v>
      </c>
      <c r="MN24" t="s">
        <v>320</v>
      </c>
      <c r="MO24" t="s">
        <v>321</v>
      </c>
      <c r="MP24" t="s">
        <v>322</v>
      </c>
      <c r="MQ24" t="s">
        <v>323</v>
      </c>
      <c r="MR24">
        <v>7.0000000000000007E-2</v>
      </c>
      <c r="MS24" t="s">
        <v>324</v>
      </c>
      <c r="MT24" t="s">
        <v>325</v>
      </c>
      <c r="MU24" t="s">
        <v>326</v>
      </c>
      <c r="MV24">
        <v>3571.4285714285711</v>
      </c>
      <c r="MW24" s="13">
        <v>377</v>
      </c>
      <c r="MX24" s="13" t="s">
        <v>327</v>
      </c>
      <c r="MY24" t="s">
        <v>240</v>
      </c>
      <c r="MZ24" t="s">
        <v>241</v>
      </c>
      <c r="NA24" t="s">
        <v>242</v>
      </c>
      <c r="NB24" t="s">
        <v>328</v>
      </c>
      <c r="ND24" s="18">
        <v>43270</v>
      </c>
      <c r="NE24" s="19">
        <v>3.125E-2</v>
      </c>
      <c r="NF24" t="s">
        <v>329</v>
      </c>
      <c r="NG24" t="s">
        <v>275</v>
      </c>
      <c r="NH24" t="s">
        <v>246</v>
      </c>
      <c r="NI24">
        <v>98.3</v>
      </c>
      <c r="NJ24" t="s">
        <v>244</v>
      </c>
      <c r="NK24">
        <v>2</v>
      </c>
      <c r="NL24" t="s">
        <v>248</v>
      </c>
      <c r="NM24">
        <v>29.64997</v>
      </c>
      <c r="NN24">
        <v>-84.888379999999998</v>
      </c>
      <c r="NO24" t="s">
        <v>248</v>
      </c>
      <c r="NP24" t="s">
        <v>330</v>
      </c>
      <c r="NQ24" t="s">
        <v>244</v>
      </c>
      <c r="NR24" t="s">
        <v>247</v>
      </c>
      <c r="NS24" t="s">
        <v>244</v>
      </c>
      <c r="NT24">
        <v>982000410609844</v>
      </c>
      <c r="NU24" t="s">
        <v>244</v>
      </c>
      <c r="NV24" t="s">
        <v>247</v>
      </c>
      <c r="NW24" t="s">
        <v>325</v>
      </c>
      <c r="NX24" t="s">
        <v>326</v>
      </c>
      <c r="NY24">
        <v>92</v>
      </c>
      <c r="NZ24">
        <v>91</v>
      </c>
      <c r="OA24">
        <v>84</v>
      </c>
      <c r="OB24" s="14">
        <v>6069.5570067354802</v>
      </c>
      <c r="OC24" t="s">
        <v>248</v>
      </c>
      <c r="OD24" t="s">
        <v>331</v>
      </c>
      <c r="OE24" t="s">
        <v>248</v>
      </c>
      <c r="OF24" t="s">
        <v>332</v>
      </c>
      <c r="OG24" t="s">
        <v>247</v>
      </c>
      <c r="ON24">
        <v>-13.44</v>
      </c>
      <c r="OO24">
        <v>6.7</v>
      </c>
      <c r="OP24" s="25">
        <v>2.9122034652787505</v>
      </c>
      <c r="OQ24" s="25">
        <v>3.3971665735683012</v>
      </c>
      <c r="OR24" t="s">
        <v>910</v>
      </c>
      <c r="OS24" t="s">
        <v>910</v>
      </c>
    </row>
    <row r="25" spans="1:409" x14ac:dyDescent="0.25">
      <c r="A25">
        <v>24</v>
      </c>
      <c r="B25" s="1">
        <v>100</v>
      </c>
      <c r="C25" s="1">
        <v>9</v>
      </c>
      <c r="D25" s="1">
        <v>5</v>
      </c>
      <c r="E25" s="1">
        <v>48</v>
      </c>
      <c r="F25" s="1">
        <v>343</v>
      </c>
      <c r="G25" s="1">
        <v>100</v>
      </c>
      <c r="H25" s="1">
        <v>2</v>
      </c>
      <c r="I25" s="1">
        <v>4</v>
      </c>
      <c r="J25" s="1">
        <v>0</v>
      </c>
      <c r="K25" s="1">
        <v>2</v>
      </c>
      <c r="L25" s="1">
        <v>5</v>
      </c>
      <c r="M25" s="1">
        <v>2</v>
      </c>
      <c r="N25" s="1">
        <v>56</v>
      </c>
      <c r="O25" s="1">
        <v>0</v>
      </c>
      <c r="P25" s="1">
        <v>0</v>
      </c>
      <c r="Q25" s="1">
        <v>0</v>
      </c>
      <c r="R25" s="1">
        <v>3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2">
        <v>679</v>
      </c>
      <c r="Y25" s="3"/>
      <c r="Z25" s="15">
        <f t="shared" si="0"/>
        <v>3.2951333973477297</v>
      </c>
      <c r="AA25" s="15">
        <f t="shared" si="1"/>
        <v>0.29656200576129566</v>
      </c>
      <c r="AB25" s="15">
        <f t="shared" si="2"/>
        <v>0.16475666986738649</v>
      </c>
      <c r="AC25" s="15">
        <f t="shared" si="3"/>
        <v>1.5816640307269103</v>
      </c>
      <c r="AD25" s="15">
        <f t="shared" si="4"/>
        <v>11.302307552902713</v>
      </c>
      <c r="AE25" s="15">
        <f t="shared" si="5"/>
        <v>3.2951333973477297</v>
      </c>
      <c r="AF25" s="15">
        <f t="shared" si="6"/>
        <v>6.5902667946954596E-2</v>
      </c>
      <c r="AG25" s="15">
        <f t="shared" si="7"/>
        <v>0.13180533589390919</v>
      </c>
      <c r="AH25" s="15">
        <f t="shared" si="8"/>
        <v>0</v>
      </c>
      <c r="AI25" s="15">
        <f t="shared" si="9"/>
        <v>6.5902667946954596E-2</v>
      </c>
      <c r="AJ25" s="15">
        <f t="shared" si="10"/>
        <v>0.16475666986738649</v>
      </c>
      <c r="AK25" s="15">
        <f t="shared" si="11"/>
        <v>6.5902667946954596E-2</v>
      </c>
      <c r="AL25" s="15">
        <f t="shared" si="12"/>
        <v>1.8452747025147287</v>
      </c>
      <c r="AM25" s="15">
        <f t="shared" si="13"/>
        <v>0</v>
      </c>
      <c r="AN25" s="15">
        <f t="shared" si="14"/>
        <v>0</v>
      </c>
      <c r="AO25" s="15">
        <f t="shared" si="15"/>
        <v>0</v>
      </c>
      <c r="AP25" s="15">
        <f t="shared" si="16"/>
        <v>9.8854001920431894E-2</v>
      </c>
      <c r="AQ25" s="15">
        <f t="shared" si="17"/>
        <v>0</v>
      </c>
      <c r="AR25" s="15">
        <f t="shared" si="18"/>
        <v>0</v>
      </c>
      <c r="AS25" s="15">
        <f t="shared" si="19"/>
        <v>0</v>
      </c>
      <c r="AT25" s="15">
        <f t="shared" si="20"/>
        <v>0</v>
      </c>
      <c r="AU25" s="15">
        <f t="shared" si="21"/>
        <v>0</v>
      </c>
      <c r="AV25" s="5">
        <f t="shared" si="22"/>
        <v>22.373955767991085</v>
      </c>
      <c r="AW25" s="16"/>
      <c r="AX25" s="6">
        <v>2000</v>
      </c>
      <c r="AY25" s="6">
        <v>180</v>
      </c>
      <c r="AZ25" s="6">
        <v>100</v>
      </c>
      <c r="BA25" s="6">
        <v>960</v>
      </c>
      <c r="BB25" s="6">
        <v>6860</v>
      </c>
      <c r="BC25" s="6">
        <v>2000</v>
      </c>
      <c r="BD25" s="6">
        <v>40</v>
      </c>
      <c r="BE25" s="6">
        <v>80</v>
      </c>
      <c r="BF25" s="6">
        <v>0</v>
      </c>
      <c r="BG25" s="6">
        <v>40</v>
      </c>
      <c r="BH25" s="6">
        <v>100</v>
      </c>
      <c r="BI25" s="6">
        <v>40</v>
      </c>
      <c r="BJ25" s="6">
        <v>1120</v>
      </c>
      <c r="BK25" s="6">
        <v>0</v>
      </c>
      <c r="BL25" s="6">
        <v>0</v>
      </c>
      <c r="BM25" s="6">
        <v>0</v>
      </c>
      <c r="BN25" s="6">
        <v>60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7">
        <v>13580</v>
      </c>
      <c r="BU25" s="16"/>
      <c r="BV25" s="8">
        <v>0</v>
      </c>
      <c r="BW25" s="8">
        <v>10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3</v>
      </c>
      <c r="CG25" s="8">
        <v>0</v>
      </c>
      <c r="CH25" s="8">
        <v>0</v>
      </c>
      <c r="CI25" s="8">
        <v>0</v>
      </c>
      <c r="CJ25" s="8">
        <v>2</v>
      </c>
      <c r="CK25" s="8">
        <v>0</v>
      </c>
      <c r="CL25" s="8">
        <v>1</v>
      </c>
      <c r="CM25" s="8">
        <v>0</v>
      </c>
      <c r="CN25" s="8">
        <v>14</v>
      </c>
      <c r="CO25" s="8">
        <v>0</v>
      </c>
      <c r="CP25" s="8">
        <v>0</v>
      </c>
      <c r="CQ25" s="8">
        <v>2</v>
      </c>
      <c r="CR25" s="8">
        <v>13</v>
      </c>
      <c r="CS25" s="8">
        <v>0</v>
      </c>
      <c r="CT25" s="8">
        <v>1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1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4</v>
      </c>
      <c r="DX25" s="8">
        <v>0</v>
      </c>
      <c r="DY25" s="8">
        <v>0</v>
      </c>
      <c r="DZ25" s="8">
        <v>0</v>
      </c>
      <c r="EA25" s="8">
        <v>1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1</v>
      </c>
      <c r="EL25" s="8">
        <v>0</v>
      </c>
      <c r="EM25" s="8">
        <v>0</v>
      </c>
      <c r="EN25" s="8">
        <v>0</v>
      </c>
      <c r="EO25" s="8">
        <v>0</v>
      </c>
      <c r="EP25" s="8">
        <v>1</v>
      </c>
      <c r="EQ25" s="8">
        <v>0</v>
      </c>
      <c r="ER25" s="8">
        <v>1</v>
      </c>
      <c r="ES25" s="8">
        <v>1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1</v>
      </c>
      <c r="FD25" s="8">
        <v>0</v>
      </c>
      <c r="FE25" s="8">
        <v>1</v>
      </c>
      <c r="FF25" s="8">
        <v>0</v>
      </c>
      <c r="FG25" s="8">
        <v>1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7</v>
      </c>
      <c r="FN25" s="8">
        <v>0</v>
      </c>
      <c r="FO25" s="8">
        <v>0</v>
      </c>
      <c r="FP25" s="8">
        <v>0</v>
      </c>
      <c r="FQ25" s="8">
        <v>0</v>
      </c>
      <c r="FR25" s="8">
        <v>41</v>
      </c>
      <c r="FS25" s="8">
        <v>0</v>
      </c>
      <c r="FT25" s="8">
        <v>0</v>
      </c>
      <c r="FU25" s="8">
        <v>1</v>
      </c>
      <c r="FV25" s="8">
        <v>0</v>
      </c>
      <c r="FW25" s="8">
        <v>1</v>
      </c>
      <c r="FX25" s="8">
        <v>0</v>
      </c>
      <c r="FY25" s="8">
        <v>0</v>
      </c>
      <c r="FZ25" s="8">
        <v>0</v>
      </c>
      <c r="GA25" s="8">
        <v>3</v>
      </c>
      <c r="GB25" s="8">
        <v>0</v>
      </c>
      <c r="GC25" s="8">
        <v>2</v>
      </c>
      <c r="GD25" s="8">
        <v>0</v>
      </c>
      <c r="GE25" s="8">
        <v>0</v>
      </c>
      <c r="GF25" s="9">
        <v>114</v>
      </c>
      <c r="GG25" s="3"/>
      <c r="GH25" s="10">
        <f t="shared" si="60"/>
        <v>0</v>
      </c>
      <c r="GI25" s="10">
        <f t="shared" si="61"/>
        <v>175.43859649122805</v>
      </c>
      <c r="GJ25" s="10">
        <f t="shared" si="62"/>
        <v>0</v>
      </c>
      <c r="GK25" s="10">
        <f t="shared" si="63"/>
        <v>0</v>
      </c>
      <c r="GL25" s="10">
        <f t="shared" si="64"/>
        <v>0</v>
      </c>
      <c r="GM25" s="10">
        <f t="shared" si="65"/>
        <v>0</v>
      </c>
      <c r="GN25" s="10">
        <f t="shared" si="66"/>
        <v>0</v>
      </c>
      <c r="GO25" s="10">
        <f t="shared" si="67"/>
        <v>0</v>
      </c>
      <c r="GP25" s="10">
        <f t="shared" si="68"/>
        <v>0</v>
      </c>
      <c r="GQ25" s="10">
        <f t="shared" si="69"/>
        <v>0</v>
      </c>
      <c r="GR25" s="10">
        <f t="shared" si="70"/>
        <v>52.631578947368418</v>
      </c>
      <c r="GS25" s="10">
        <f t="shared" si="71"/>
        <v>0</v>
      </c>
      <c r="GT25" s="10">
        <f t="shared" si="72"/>
        <v>0</v>
      </c>
      <c r="GU25" s="10">
        <f t="shared" si="73"/>
        <v>0</v>
      </c>
      <c r="GV25" s="10">
        <f t="shared" si="74"/>
        <v>35.087719298245609</v>
      </c>
      <c r="GW25" s="10">
        <f t="shared" si="75"/>
        <v>0</v>
      </c>
      <c r="GX25" s="10">
        <f t="shared" si="76"/>
        <v>17.543859649122805</v>
      </c>
      <c r="GY25" s="10">
        <f t="shared" si="77"/>
        <v>0</v>
      </c>
      <c r="GZ25" s="10">
        <f t="shared" si="78"/>
        <v>245.61403508771929</v>
      </c>
      <c r="HA25" s="10">
        <f t="shared" si="79"/>
        <v>0</v>
      </c>
      <c r="HB25" s="10">
        <f t="shared" si="80"/>
        <v>0</v>
      </c>
      <c r="HC25" s="10">
        <f t="shared" si="81"/>
        <v>35.087719298245609</v>
      </c>
      <c r="HD25" s="10">
        <f t="shared" si="82"/>
        <v>228.07017543859646</v>
      </c>
      <c r="HE25" s="10">
        <f t="shared" si="83"/>
        <v>0</v>
      </c>
      <c r="HF25" s="10">
        <f t="shared" si="84"/>
        <v>17.543859649122805</v>
      </c>
      <c r="HG25" s="10">
        <f t="shared" si="85"/>
        <v>0</v>
      </c>
      <c r="HH25" s="10">
        <f t="shared" si="86"/>
        <v>0</v>
      </c>
      <c r="HI25" s="10">
        <f t="shared" si="87"/>
        <v>0</v>
      </c>
      <c r="HJ25" s="10">
        <f t="shared" si="88"/>
        <v>0</v>
      </c>
      <c r="HK25" s="10">
        <f t="shared" si="89"/>
        <v>0</v>
      </c>
      <c r="HL25" s="10">
        <f t="shared" si="90"/>
        <v>0</v>
      </c>
      <c r="HM25" s="10">
        <f t="shared" si="91"/>
        <v>0</v>
      </c>
      <c r="HN25" s="10">
        <f t="shared" si="92"/>
        <v>17.543859649122805</v>
      </c>
      <c r="HO25" s="10">
        <f t="shared" si="93"/>
        <v>0</v>
      </c>
      <c r="HP25" s="10">
        <f t="shared" si="94"/>
        <v>0</v>
      </c>
      <c r="HQ25" s="10">
        <f t="shared" si="95"/>
        <v>0</v>
      </c>
      <c r="HR25" s="10">
        <f t="shared" si="96"/>
        <v>0</v>
      </c>
      <c r="HS25" s="10">
        <f t="shared" si="97"/>
        <v>0</v>
      </c>
      <c r="HT25" s="10">
        <f t="shared" si="98"/>
        <v>0</v>
      </c>
      <c r="HU25" s="10">
        <f t="shared" si="99"/>
        <v>0</v>
      </c>
      <c r="HV25" s="10">
        <f t="shared" si="100"/>
        <v>0</v>
      </c>
      <c r="HW25" s="10">
        <f t="shared" si="101"/>
        <v>0</v>
      </c>
      <c r="HX25" s="10">
        <f t="shared" si="102"/>
        <v>0</v>
      </c>
      <c r="HY25" s="10">
        <f t="shared" si="103"/>
        <v>0</v>
      </c>
      <c r="HZ25" s="10">
        <f t="shared" si="104"/>
        <v>0</v>
      </c>
      <c r="IA25" s="10">
        <f t="shared" si="105"/>
        <v>0</v>
      </c>
      <c r="IB25" s="10">
        <f t="shared" si="106"/>
        <v>0</v>
      </c>
      <c r="IC25" s="10">
        <f t="shared" si="107"/>
        <v>0</v>
      </c>
      <c r="ID25" s="10">
        <f t="shared" si="108"/>
        <v>0</v>
      </c>
      <c r="IE25" s="10">
        <f t="shared" si="109"/>
        <v>0</v>
      </c>
      <c r="IF25" s="10">
        <f t="shared" si="110"/>
        <v>0</v>
      </c>
      <c r="IG25" s="10">
        <f t="shared" si="111"/>
        <v>0</v>
      </c>
      <c r="IH25" s="10">
        <f t="shared" si="112"/>
        <v>0</v>
      </c>
      <c r="II25" s="10">
        <f t="shared" si="113"/>
        <v>70.175438596491219</v>
      </c>
      <c r="IJ25" s="10">
        <f t="shared" si="114"/>
        <v>0</v>
      </c>
      <c r="IK25" s="10">
        <f t="shared" si="115"/>
        <v>0</v>
      </c>
      <c r="IL25" s="10">
        <f t="shared" si="116"/>
        <v>0</v>
      </c>
      <c r="IM25" s="10">
        <f t="shared" si="117"/>
        <v>17.543859649122805</v>
      </c>
      <c r="IN25" s="10">
        <f t="shared" si="118"/>
        <v>0</v>
      </c>
      <c r="IO25" s="10">
        <f t="shared" si="119"/>
        <v>0</v>
      </c>
      <c r="IP25" s="10">
        <f t="shared" si="120"/>
        <v>0</v>
      </c>
      <c r="IQ25" s="10">
        <f t="shared" si="121"/>
        <v>0</v>
      </c>
      <c r="IR25" s="10">
        <f t="shared" si="122"/>
        <v>0</v>
      </c>
      <c r="IS25" s="10">
        <f t="shared" si="123"/>
        <v>0</v>
      </c>
      <c r="IT25" s="10">
        <f t="shared" si="124"/>
        <v>0</v>
      </c>
      <c r="IU25" s="10">
        <f t="shared" si="125"/>
        <v>0</v>
      </c>
      <c r="IV25" s="10">
        <f t="shared" si="126"/>
        <v>0</v>
      </c>
      <c r="IW25" s="10">
        <f t="shared" si="127"/>
        <v>17.543859649122805</v>
      </c>
      <c r="IX25" s="10">
        <f t="shared" si="128"/>
        <v>0</v>
      </c>
      <c r="IY25" s="10">
        <f t="shared" si="129"/>
        <v>0</v>
      </c>
      <c r="IZ25" s="10">
        <f t="shared" si="130"/>
        <v>0</v>
      </c>
      <c r="JA25" s="10">
        <f t="shared" si="131"/>
        <v>0</v>
      </c>
      <c r="JB25" s="10">
        <f t="shared" si="132"/>
        <v>17.543859649122805</v>
      </c>
      <c r="JC25" s="10">
        <f t="shared" si="133"/>
        <v>0</v>
      </c>
      <c r="JD25" s="10">
        <f t="shared" si="134"/>
        <v>17.543859649122805</v>
      </c>
      <c r="JE25" s="10">
        <f t="shared" si="135"/>
        <v>17.543859649122805</v>
      </c>
      <c r="JF25" s="10">
        <f t="shared" si="136"/>
        <v>0</v>
      </c>
      <c r="JG25" s="10">
        <v>0</v>
      </c>
      <c r="JH25" s="10">
        <f t="shared" si="137"/>
        <v>0</v>
      </c>
      <c r="JI25" s="10">
        <f t="shared" si="138"/>
        <v>0</v>
      </c>
      <c r="JJ25" s="10">
        <f t="shared" si="139"/>
        <v>0</v>
      </c>
      <c r="JK25" s="10">
        <f t="shared" si="140"/>
        <v>0</v>
      </c>
      <c r="JL25" s="10">
        <f t="shared" si="141"/>
        <v>0</v>
      </c>
      <c r="JM25" s="10">
        <f t="shared" si="142"/>
        <v>0</v>
      </c>
      <c r="JN25" s="10">
        <f t="shared" si="143"/>
        <v>17.543859649122805</v>
      </c>
      <c r="JO25" s="10">
        <f t="shared" si="144"/>
        <v>0</v>
      </c>
      <c r="JP25" s="10">
        <f t="shared" si="145"/>
        <v>17.543859649122805</v>
      </c>
      <c r="JQ25" s="10">
        <f t="shared" si="146"/>
        <v>0</v>
      </c>
      <c r="JR25" s="10">
        <f t="shared" si="147"/>
        <v>17.543859649122805</v>
      </c>
      <c r="JS25" s="10">
        <f t="shared" si="148"/>
        <v>0</v>
      </c>
      <c r="JT25" s="10">
        <f t="shared" si="149"/>
        <v>0</v>
      </c>
      <c r="JU25" s="10">
        <f t="shared" si="150"/>
        <v>0</v>
      </c>
      <c r="JV25" s="10">
        <f t="shared" si="151"/>
        <v>0</v>
      </c>
      <c r="JW25" s="10">
        <f t="shared" si="152"/>
        <v>0</v>
      </c>
      <c r="JX25" s="10">
        <f t="shared" si="153"/>
        <v>122.80701754385964</v>
      </c>
      <c r="JY25" s="10">
        <f t="shared" si="154"/>
        <v>0</v>
      </c>
      <c r="JZ25" s="10">
        <f t="shared" si="155"/>
        <v>0</v>
      </c>
      <c r="KA25" s="10">
        <f t="shared" si="156"/>
        <v>0</v>
      </c>
      <c r="KB25" s="10">
        <f t="shared" si="157"/>
        <v>0</v>
      </c>
      <c r="KC25" s="10">
        <f t="shared" si="158"/>
        <v>719.29824561403507</v>
      </c>
      <c r="KD25" s="10">
        <f t="shared" si="159"/>
        <v>0</v>
      </c>
      <c r="KE25" s="10">
        <f t="shared" si="160"/>
        <v>0</v>
      </c>
      <c r="KF25" s="10">
        <f t="shared" si="161"/>
        <v>17.543859649122805</v>
      </c>
      <c r="KG25" s="10">
        <f t="shared" si="162"/>
        <v>0</v>
      </c>
      <c r="KH25" s="10">
        <f t="shared" si="163"/>
        <v>17.543859649122805</v>
      </c>
      <c r="KI25" s="10">
        <f t="shared" si="164"/>
        <v>0</v>
      </c>
      <c r="KJ25" s="10">
        <f t="shared" si="165"/>
        <v>0</v>
      </c>
      <c r="KK25" s="10">
        <f t="shared" si="166"/>
        <v>0</v>
      </c>
      <c r="KL25" s="10">
        <f t="shared" si="167"/>
        <v>52.631578947368418</v>
      </c>
      <c r="KM25" s="10">
        <f t="shared" si="168"/>
        <v>0</v>
      </c>
      <c r="KN25" s="10">
        <f t="shared" si="169"/>
        <v>35.087719298245609</v>
      </c>
      <c r="KO25" s="10">
        <f t="shared" si="170"/>
        <v>0</v>
      </c>
      <c r="KP25" s="10">
        <f t="shared" si="171"/>
        <v>0</v>
      </c>
      <c r="KQ25" s="11">
        <v>2000.0000000000005</v>
      </c>
      <c r="KR25" s="16"/>
      <c r="KS25" s="12">
        <v>6069.5570067354802</v>
      </c>
      <c r="KT25" s="26"/>
      <c r="KU25" s="26"/>
      <c r="KV25" s="26"/>
      <c r="KW25" s="26">
        <v>-13.44</v>
      </c>
      <c r="KX25" s="26">
        <v>6.7</v>
      </c>
      <c r="KY25" s="27">
        <v>2.9122034652787505</v>
      </c>
      <c r="KZ25" s="27">
        <v>3.3971665735683012</v>
      </c>
      <c r="LA25" s="17"/>
      <c r="LB25" s="2">
        <v>589</v>
      </c>
      <c r="LC25" s="1">
        <v>0</v>
      </c>
      <c r="LD25" s="1">
        <v>0</v>
      </c>
      <c r="LE25" s="1">
        <v>0</v>
      </c>
      <c r="LF25" s="1">
        <v>0</v>
      </c>
      <c r="LG25" s="1">
        <v>7</v>
      </c>
      <c r="LH25" s="1">
        <v>0</v>
      </c>
      <c r="LI25" s="1">
        <v>45</v>
      </c>
      <c r="LJ25" s="1">
        <v>0</v>
      </c>
      <c r="LK25" s="1">
        <v>0</v>
      </c>
      <c r="LL25" s="1">
        <v>451</v>
      </c>
      <c r="LM25" s="1">
        <v>15</v>
      </c>
      <c r="LN25" s="1">
        <v>65</v>
      </c>
      <c r="LO25" s="1">
        <v>0</v>
      </c>
      <c r="LP25" s="1">
        <v>0</v>
      </c>
      <c r="LQ25" s="1">
        <v>1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1</v>
      </c>
      <c r="LZ25" s="1">
        <v>2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1</v>
      </c>
      <c r="MH25" s="1">
        <v>0</v>
      </c>
      <c r="MI25" s="1">
        <v>1</v>
      </c>
      <c r="MJ25" s="1">
        <v>0</v>
      </c>
      <c r="MK25" s="28"/>
      <c r="ML25" t="s">
        <v>841</v>
      </c>
      <c r="MM25" t="s">
        <v>333</v>
      </c>
      <c r="MN25" t="s">
        <v>320</v>
      </c>
      <c r="MO25" t="s">
        <v>334</v>
      </c>
      <c r="MP25" t="s">
        <v>335</v>
      </c>
      <c r="MQ25" t="s">
        <v>336</v>
      </c>
      <c r="MR25">
        <v>0.05</v>
      </c>
      <c r="MS25" t="s">
        <v>324</v>
      </c>
      <c r="MT25" t="s">
        <v>325</v>
      </c>
      <c r="MU25" t="s">
        <v>326</v>
      </c>
      <c r="MV25">
        <v>13580</v>
      </c>
      <c r="MW25" s="13">
        <v>377</v>
      </c>
      <c r="MX25" s="13" t="s">
        <v>327</v>
      </c>
      <c r="MY25" t="s">
        <v>240</v>
      </c>
      <c r="MZ25" t="s">
        <v>241</v>
      </c>
      <c r="NA25" t="s">
        <v>242</v>
      </c>
      <c r="NB25" t="s">
        <v>328</v>
      </c>
      <c r="ND25" s="18">
        <v>43270</v>
      </c>
      <c r="NE25" s="19">
        <v>3.125E-2</v>
      </c>
      <c r="NF25" t="s">
        <v>329</v>
      </c>
      <c r="NG25" t="s">
        <v>275</v>
      </c>
      <c r="NH25" t="s">
        <v>246</v>
      </c>
      <c r="NI25">
        <v>98.3</v>
      </c>
      <c r="NJ25" t="s">
        <v>244</v>
      </c>
      <c r="NK25">
        <v>2</v>
      </c>
      <c r="NL25" t="s">
        <v>248</v>
      </c>
      <c r="NM25">
        <v>29.64997</v>
      </c>
      <c r="NN25">
        <v>-84.888379999999998</v>
      </c>
      <c r="NO25" t="s">
        <v>248</v>
      </c>
      <c r="NP25" t="s">
        <v>330</v>
      </c>
      <c r="NQ25" t="s">
        <v>244</v>
      </c>
      <c r="NR25" t="s">
        <v>247</v>
      </c>
      <c r="NS25" t="s">
        <v>244</v>
      </c>
      <c r="NT25">
        <v>982000410609844</v>
      </c>
      <c r="NU25" t="s">
        <v>244</v>
      </c>
      <c r="NV25" t="s">
        <v>247</v>
      </c>
      <c r="NW25" t="s">
        <v>325</v>
      </c>
      <c r="NX25" t="s">
        <v>326</v>
      </c>
      <c r="NY25">
        <v>92</v>
      </c>
      <c r="NZ25">
        <v>91</v>
      </c>
      <c r="OA25">
        <v>84</v>
      </c>
      <c r="OB25" s="14">
        <v>6069.5570067354802</v>
      </c>
      <c r="OC25" t="s">
        <v>248</v>
      </c>
      <c r="OD25" t="s">
        <v>331</v>
      </c>
      <c r="OE25" t="s">
        <v>248</v>
      </c>
      <c r="OF25" t="s">
        <v>332</v>
      </c>
      <c r="OG25" t="s">
        <v>247</v>
      </c>
      <c r="ON25">
        <v>-13.44</v>
      </c>
      <c r="OO25">
        <v>6.7</v>
      </c>
      <c r="OP25" s="25">
        <v>2.9122034652787505</v>
      </c>
      <c r="OQ25" s="25">
        <v>3.3971665735683012</v>
      </c>
      <c r="OR25" t="s">
        <v>910</v>
      </c>
      <c r="OS25" t="s">
        <v>910</v>
      </c>
    </row>
    <row r="26" spans="1:409" x14ac:dyDescent="0.25">
      <c r="A26">
        <v>25</v>
      </c>
      <c r="B26" s="1">
        <v>72</v>
      </c>
      <c r="C26" s="1">
        <v>3</v>
      </c>
      <c r="D26" s="1">
        <v>4</v>
      </c>
      <c r="E26" s="1">
        <v>16</v>
      </c>
      <c r="F26" s="1">
        <v>104</v>
      </c>
      <c r="G26" s="1">
        <v>15</v>
      </c>
      <c r="H26" s="1">
        <v>0</v>
      </c>
      <c r="I26" s="1">
        <v>3</v>
      </c>
      <c r="J26" s="1">
        <v>18</v>
      </c>
      <c r="K26" s="1">
        <v>7</v>
      </c>
      <c r="L26" s="1">
        <v>0</v>
      </c>
      <c r="M26" s="1">
        <v>0</v>
      </c>
      <c r="N26" s="1">
        <v>18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2">
        <v>260</v>
      </c>
      <c r="Y26" s="3"/>
      <c r="Z26" s="15">
        <f t="shared" si="0"/>
        <v>2.3724960460903652</v>
      </c>
      <c r="AA26" s="15">
        <f t="shared" si="1"/>
        <v>9.8854001920431894E-2</v>
      </c>
      <c r="AB26" s="15">
        <f t="shared" si="2"/>
        <v>0.13180533589390919</v>
      </c>
      <c r="AC26" s="15">
        <f t="shared" si="3"/>
        <v>0.52722134357563677</v>
      </c>
      <c r="AD26" s="15">
        <f t="shared" si="4"/>
        <v>3.4269387332416388</v>
      </c>
      <c r="AE26" s="15">
        <f t="shared" si="5"/>
        <v>0.4942700096021595</v>
      </c>
      <c r="AF26" s="15">
        <f t="shared" si="6"/>
        <v>0</v>
      </c>
      <c r="AG26" s="15">
        <f t="shared" si="7"/>
        <v>9.8854001920431894E-2</v>
      </c>
      <c r="AH26" s="15">
        <f t="shared" si="8"/>
        <v>0.59312401152259131</v>
      </c>
      <c r="AI26" s="15">
        <f t="shared" si="9"/>
        <v>0.23065933781434109</v>
      </c>
      <c r="AJ26" s="15">
        <f t="shared" si="10"/>
        <v>0</v>
      </c>
      <c r="AK26" s="15">
        <f t="shared" si="11"/>
        <v>0</v>
      </c>
      <c r="AL26" s="15">
        <f t="shared" si="12"/>
        <v>0.59312401152259131</v>
      </c>
      <c r="AM26" s="15">
        <f t="shared" si="13"/>
        <v>0</v>
      </c>
      <c r="AN26" s="15">
        <f t="shared" si="14"/>
        <v>0</v>
      </c>
      <c r="AO26" s="15">
        <f t="shared" si="15"/>
        <v>0</v>
      </c>
      <c r="AP26" s="15">
        <f t="shared" si="16"/>
        <v>0</v>
      </c>
      <c r="AQ26" s="15">
        <f t="shared" si="17"/>
        <v>0</v>
      </c>
      <c r="AR26" s="15">
        <f t="shared" si="18"/>
        <v>0</v>
      </c>
      <c r="AS26" s="15">
        <f t="shared" si="19"/>
        <v>0</v>
      </c>
      <c r="AT26" s="15">
        <f t="shared" si="20"/>
        <v>0</v>
      </c>
      <c r="AU26" s="15">
        <f t="shared" si="21"/>
        <v>0</v>
      </c>
      <c r="AV26" s="5">
        <f t="shared" si="22"/>
        <v>8.5673468331040965</v>
      </c>
      <c r="AW26" s="16"/>
      <c r="AX26" s="6">
        <v>1440</v>
      </c>
      <c r="AY26" s="6">
        <v>60</v>
      </c>
      <c r="AZ26" s="6">
        <v>80</v>
      </c>
      <c r="BA26" s="6">
        <v>320</v>
      </c>
      <c r="BB26" s="6">
        <v>2080</v>
      </c>
      <c r="BC26" s="6">
        <v>300</v>
      </c>
      <c r="BD26" s="6">
        <v>0</v>
      </c>
      <c r="BE26" s="6">
        <v>60</v>
      </c>
      <c r="BF26" s="6">
        <v>360</v>
      </c>
      <c r="BG26" s="6">
        <v>140</v>
      </c>
      <c r="BH26" s="6">
        <v>0</v>
      </c>
      <c r="BI26" s="6">
        <v>0</v>
      </c>
      <c r="BJ26" s="6">
        <v>360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7">
        <v>5200</v>
      </c>
      <c r="BU26" s="16"/>
      <c r="BV26" s="8">
        <v>0</v>
      </c>
      <c r="BW26" s="8">
        <v>8</v>
      </c>
      <c r="BX26" s="8">
        <v>10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2</v>
      </c>
      <c r="CG26" s="8">
        <v>2</v>
      </c>
      <c r="CH26" s="8">
        <v>0</v>
      </c>
      <c r="CI26" s="8">
        <v>0</v>
      </c>
      <c r="CJ26" s="8">
        <v>8</v>
      </c>
      <c r="CK26" s="8">
        <v>0</v>
      </c>
      <c r="CL26" s="8">
        <v>0</v>
      </c>
      <c r="CM26" s="8">
        <v>1</v>
      </c>
      <c r="CN26" s="8">
        <v>3</v>
      </c>
      <c r="CO26" s="8">
        <v>0</v>
      </c>
      <c r="CP26" s="8">
        <v>0</v>
      </c>
      <c r="CQ26" s="8">
        <v>0</v>
      </c>
      <c r="CR26" s="8">
        <v>2</v>
      </c>
      <c r="CS26" s="8">
        <v>2</v>
      </c>
      <c r="CT26" s="8">
        <v>0</v>
      </c>
      <c r="CU26" s="8">
        <v>2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4</v>
      </c>
      <c r="DD26" s="8">
        <v>1</v>
      </c>
      <c r="DE26" s="8">
        <v>0</v>
      </c>
      <c r="DF26" s="8">
        <v>0</v>
      </c>
      <c r="DG26" s="8">
        <v>0</v>
      </c>
      <c r="DH26" s="8">
        <v>1</v>
      </c>
      <c r="DI26" s="8">
        <v>0</v>
      </c>
      <c r="DJ26" s="8">
        <v>3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1</v>
      </c>
      <c r="DT26" s="8">
        <v>0</v>
      </c>
      <c r="DU26" s="8">
        <v>0</v>
      </c>
      <c r="DV26" s="8">
        <v>0</v>
      </c>
      <c r="DW26" s="8">
        <v>0</v>
      </c>
      <c r="DX26" s="8">
        <v>1</v>
      </c>
      <c r="DY26" s="8">
        <v>0</v>
      </c>
      <c r="DZ26" s="8">
        <v>0</v>
      </c>
      <c r="EA26" s="8">
        <v>0</v>
      </c>
      <c r="EB26" s="8">
        <v>1</v>
      </c>
      <c r="EC26" s="8">
        <v>0</v>
      </c>
      <c r="ED26" s="8">
        <v>0</v>
      </c>
      <c r="EE26" s="8">
        <v>0</v>
      </c>
      <c r="EF26" s="8">
        <v>2</v>
      </c>
      <c r="EG26" s="8">
        <v>0</v>
      </c>
      <c r="EH26" s="8">
        <v>0</v>
      </c>
      <c r="EI26" s="8">
        <v>0</v>
      </c>
      <c r="EJ26" s="8">
        <v>0</v>
      </c>
      <c r="EK26" s="8">
        <v>5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2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6</v>
      </c>
      <c r="FD26" s="8">
        <v>0</v>
      </c>
      <c r="FE26" s="8">
        <v>4</v>
      </c>
      <c r="FF26" s="8">
        <v>0</v>
      </c>
      <c r="FG26" s="8">
        <v>2</v>
      </c>
      <c r="FH26" s="8">
        <v>0</v>
      </c>
      <c r="FI26" s="8">
        <v>1</v>
      </c>
      <c r="FJ26" s="8">
        <v>0</v>
      </c>
      <c r="FK26" s="8">
        <v>0</v>
      </c>
      <c r="FL26" s="8">
        <v>0</v>
      </c>
      <c r="FM26" s="8">
        <v>19</v>
      </c>
      <c r="FN26" s="8">
        <v>0</v>
      </c>
      <c r="FO26" s="8">
        <v>0</v>
      </c>
      <c r="FP26" s="8">
        <v>1</v>
      </c>
      <c r="FQ26" s="8">
        <v>4</v>
      </c>
      <c r="FR26" s="8">
        <v>1</v>
      </c>
      <c r="FS26" s="8">
        <v>4</v>
      </c>
      <c r="FT26" s="8">
        <v>0</v>
      </c>
      <c r="FU26" s="8">
        <v>1</v>
      </c>
      <c r="FV26" s="8">
        <v>0</v>
      </c>
      <c r="FW26" s="8">
        <v>2</v>
      </c>
      <c r="FX26" s="8">
        <v>1</v>
      </c>
      <c r="FY26" s="8">
        <v>0</v>
      </c>
      <c r="FZ26" s="8">
        <v>0</v>
      </c>
      <c r="GA26" s="8">
        <v>1</v>
      </c>
      <c r="GB26" s="8">
        <v>0</v>
      </c>
      <c r="GC26" s="8">
        <v>4</v>
      </c>
      <c r="GD26" s="8">
        <v>2</v>
      </c>
      <c r="GE26" s="8">
        <v>0</v>
      </c>
      <c r="GF26" s="9">
        <v>114</v>
      </c>
      <c r="GG26" s="3"/>
      <c r="GH26" s="10">
        <f t="shared" si="60"/>
        <v>0</v>
      </c>
      <c r="GI26" s="10">
        <f t="shared" si="61"/>
        <v>101.05263157894737</v>
      </c>
      <c r="GJ26" s="10">
        <f t="shared" si="62"/>
        <v>126.31578947368421</v>
      </c>
      <c r="GK26" s="10">
        <f t="shared" si="63"/>
        <v>0</v>
      </c>
      <c r="GL26" s="10">
        <f t="shared" si="64"/>
        <v>0</v>
      </c>
      <c r="GM26" s="10">
        <f t="shared" si="65"/>
        <v>0</v>
      </c>
      <c r="GN26" s="10">
        <f t="shared" si="66"/>
        <v>0</v>
      </c>
      <c r="GO26" s="10">
        <f t="shared" si="67"/>
        <v>0</v>
      </c>
      <c r="GP26" s="10">
        <f t="shared" si="68"/>
        <v>0</v>
      </c>
      <c r="GQ26" s="10">
        <f t="shared" si="69"/>
        <v>0</v>
      </c>
      <c r="GR26" s="10">
        <f t="shared" si="70"/>
        <v>25.263157894736842</v>
      </c>
      <c r="GS26" s="10">
        <f t="shared" si="71"/>
        <v>25.263157894736842</v>
      </c>
      <c r="GT26" s="10">
        <f t="shared" si="72"/>
        <v>0</v>
      </c>
      <c r="GU26" s="10">
        <f t="shared" si="73"/>
        <v>0</v>
      </c>
      <c r="GV26" s="10">
        <f t="shared" si="74"/>
        <v>101.05263157894737</v>
      </c>
      <c r="GW26" s="10">
        <f t="shared" si="75"/>
        <v>0</v>
      </c>
      <c r="GX26" s="10">
        <f t="shared" si="76"/>
        <v>0</v>
      </c>
      <c r="GY26" s="10">
        <f t="shared" si="77"/>
        <v>12.631578947368421</v>
      </c>
      <c r="GZ26" s="10">
        <f t="shared" si="78"/>
        <v>37.89473684210526</v>
      </c>
      <c r="HA26" s="10">
        <f t="shared" si="79"/>
        <v>0</v>
      </c>
      <c r="HB26" s="10">
        <f t="shared" si="80"/>
        <v>0</v>
      </c>
      <c r="HC26" s="10">
        <f t="shared" si="81"/>
        <v>0</v>
      </c>
      <c r="HD26" s="10">
        <f t="shared" si="82"/>
        <v>25.263157894736842</v>
      </c>
      <c r="HE26" s="10">
        <f t="shared" si="83"/>
        <v>25.263157894736842</v>
      </c>
      <c r="HF26" s="10">
        <f t="shared" si="84"/>
        <v>0</v>
      </c>
      <c r="HG26" s="10">
        <f t="shared" si="85"/>
        <v>25.263157894736842</v>
      </c>
      <c r="HH26" s="10">
        <f t="shared" si="86"/>
        <v>0</v>
      </c>
      <c r="HI26" s="10">
        <f t="shared" si="87"/>
        <v>0</v>
      </c>
      <c r="HJ26" s="10">
        <f t="shared" si="88"/>
        <v>0</v>
      </c>
      <c r="HK26" s="10">
        <f t="shared" si="89"/>
        <v>0</v>
      </c>
      <c r="HL26" s="10">
        <f t="shared" si="90"/>
        <v>0</v>
      </c>
      <c r="HM26" s="10">
        <f t="shared" si="91"/>
        <v>0</v>
      </c>
      <c r="HN26" s="10">
        <f t="shared" si="92"/>
        <v>0</v>
      </c>
      <c r="HO26" s="10">
        <f t="shared" si="93"/>
        <v>50.526315789473685</v>
      </c>
      <c r="HP26" s="10">
        <f t="shared" si="94"/>
        <v>12.631578947368421</v>
      </c>
      <c r="HQ26" s="10">
        <f t="shared" si="95"/>
        <v>0</v>
      </c>
      <c r="HR26" s="10">
        <f t="shared" si="96"/>
        <v>0</v>
      </c>
      <c r="HS26" s="10">
        <f t="shared" si="97"/>
        <v>0</v>
      </c>
      <c r="HT26" s="10">
        <f t="shared" si="98"/>
        <v>12.631578947368421</v>
      </c>
      <c r="HU26" s="10">
        <f t="shared" si="99"/>
        <v>0</v>
      </c>
      <c r="HV26" s="10">
        <f t="shared" si="100"/>
        <v>37.89473684210526</v>
      </c>
      <c r="HW26" s="10">
        <f t="shared" si="101"/>
        <v>0</v>
      </c>
      <c r="HX26" s="10">
        <f t="shared" si="102"/>
        <v>0</v>
      </c>
      <c r="HY26" s="10">
        <f t="shared" si="103"/>
        <v>0</v>
      </c>
      <c r="HZ26" s="10">
        <f t="shared" si="104"/>
        <v>0</v>
      </c>
      <c r="IA26" s="10">
        <f t="shared" si="105"/>
        <v>0</v>
      </c>
      <c r="IB26" s="10">
        <f t="shared" si="106"/>
        <v>0</v>
      </c>
      <c r="IC26" s="10">
        <f t="shared" si="107"/>
        <v>0</v>
      </c>
      <c r="ID26" s="10">
        <f t="shared" si="108"/>
        <v>0</v>
      </c>
      <c r="IE26" s="10">
        <f t="shared" si="109"/>
        <v>12.631578947368421</v>
      </c>
      <c r="IF26" s="10">
        <f t="shared" si="110"/>
        <v>0</v>
      </c>
      <c r="IG26" s="10">
        <f t="shared" si="111"/>
        <v>0</v>
      </c>
      <c r="IH26" s="10">
        <f t="shared" si="112"/>
        <v>0</v>
      </c>
      <c r="II26" s="10">
        <f t="shared" si="113"/>
        <v>0</v>
      </c>
      <c r="IJ26" s="10">
        <f t="shared" si="114"/>
        <v>12.631578947368421</v>
      </c>
      <c r="IK26" s="10">
        <f t="shared" si="115"/>
        <v>0</v>
      </c>
      <c r="IL26" s="10">
        <f t="shared" si="116"/>
        <v>0</v>
      </c>
      <c r="IM26" s="10">
        <f t="shared" si="117"/>
        <v>0</v>
      </c>
      <c r="IN26" s="10">
        <f t="shared" si="118"/>
        <v>12.631578947368421</v>
      </c>
      <c r="IO26" s="10">
        <f t="shared" si="119"/>
        <v>0</v>
      </c>
      <c r="IP26" s="10">
        <f t="shared" si="120"/>
        <v>0</v>
      </c>
      <c r="IQ26" s="10">
        <f t="shared" si="121"/>
        <v>0</v>
      </c>
      <c r="IR26" s="10">
        <f t="shared" si="122"/>
        <v>25.263157894736842</v>
      </c>
      <c r="IS26" s="10">
        <f t="shared" si="123"/>
        <v>0</v>
      </c>
      <c r="IT26" s="10">
        <f t="shared" si="124"/>
        <v>0</v>
      </c>
      <c r="IU26" s="10">
        <f t="shared" si="125"/>
        <v>0</v>
      </c>
      <c r="IV26" s="10">
        <f t="shared" si="126"/>
        <v>0</v>
      </c>
      <c r="IW26" s="10">
        <f t="shared" si="127"/>
        <v>63.157894736842103</v>
      </c>
      <c r="IX26" s="10">
        <f t="shared" si="128"/>
        <v>0</v>
      </c>
      <c r="IY26" s="10">
        <f t="shared" si="129"/>
        <v>0</v>
      </c>
      <c r="IZ26" s="10">
        <f t="shared" si="130"/>
        <v>0</v>
      </c>
      <c r="JA26" s="10">
        <f t="shared" si="131"/>
        <v>0</v>
      </c>
      <c r="JB26" s="10">
        <f t="shared" si="132"/>
        <v>0</v>
      </c>
      <c r="JC26" s="10">
        <f t="shared" si="133"/>
        <v>0</v>
      </c>
      <c r="JD26" s="10">
        <f t="shared" si="134"/>
        <v>0</v>
      </c>
      <c r="JE26" s="10">
        <f t="shared" si="135"/>
        <v>25.263157894736842</v>
      </c>
      <c r="JF26" s="10">
        <f t="shared" si="136"/>
        <v>0</v>
      </c>
      <c r="JG26" s="10">
        <v>0</v>
      </c>
      <c r="JH26" s="10">
        <f t="shared" si="137"/>
        <v>0</v>
      </c>
      <c r="JI26" s="10">
        <f t="shared" si="138"/>
        <v>0</v>
      </c>
      <c r="JJ26" s="10">
        <f t="shared" si="139"/>
        <v>0</v>
      </c>
      <c r="JK26" s="10">
        <f t="shared" si="140"/>
        <v>0</v>
      </c>
      <c r="JL26" s="10">
        <f t="shared" si="141"/>
        <v>0</v>
      </c>
      <c r="JM26" s="10">
        <f t="shared" si="142"/>
        <v>0</v>
      </c>
      <c r="JN26" s="10">
        <f t="shared" si="143"/>
        <v>75.78947368421052</v>
      </c>
      <c r="JO26" s="10">
        <f t="shared" si="144"/>
        <v>0</v>
      </c>
      <c r="JP26" s="10">
        <f t="shared" si="145"/>
        <v>50.526315789473685</v>
      </c>
      <c r="JQ26" s="10">
        <f t="shared" si="146"/>
        <v>0</v>
      </c>
      <c r="JR26" s="10">
        <f t="shared" si="147"/>
        <v>25.263157894736842</v>
      </c>
      <c r="JS26" s="10">
        <f t="shared" si="148"/>
        <v>0</v>
      </c>
      <c r="JT26" s="10">
        <f t="shared" si="149"/>
        <v>12.631578947368421</v>
      </c>
      <c r="JU26" s="10">
        <f t="shared" si="150"/>
        <v>0</v>
      </c>
      <c r="JV26" s="10">
        <f t="shared" si="151"/>
        <v>0</v>
      </c>
      <c r="JW26" s="10">
        <f t="shared" si="152"/>
        <v>0</v>
      </c>
      <c r="JX26" s="10">
        <f t="shared" si="153"/>
        <v>240</v>
      </c>
      <c r="JY26" s="10">
        <f t="shared" si="154"/>
        <v>0</v>
      </c>
      <c r="JZ26" s="10">
        <f t="shared" si="155"/>
        <v>0</v>
      </c>
      <c r="KA26" s="10">
        <f t="shared" si="156"/>
        <v>12.631578947368421</v>
      </c>
      <c r="KB26" s="10">
        <f t="shared" si="157"/>
        <v>50.526315789473685</v>
      </c>
      <c r="KC26" s="10">
        <f t="shared" si="158"/>
        <v>12.631578947368421</v>
      </c>
      <c r="KD26" s="10">
        <f t="shared" si="159"/>
        <v>50.526315789473685</v>
      </c>
      <c r="KE26" s="10">
        <f t="shared" si="160"/>
        <v>0</v>
      </c>
      <c r="KF26" s="10">
        <f t="shared" si="161"/>
        <v>12.631578947368421</v>
      </c>
      <c r="KG26" s="10">
        <f t="shared" si="162"/>
        <v>0</v>
      </c>
      <c r="KH26" s="10">
        <f t="shared" si="163"/>
        <v>25.263157894736842</v>
      </c>
      <c r="KI26" s="10">
        <f t="shared" si="164"/>
        <v>12.631578947368421</v>
      </c>
      <c r="KJ26" s="10">
        <f t="shared" si="165"/>
        <v>0</v>
      </c>
      <c r="KK26" s="10">
        <f t="shared" si="166"/>
        <v>0</v>
      </c>
      <c r="KL26" s="10">
        <f t="shared" si="167"/>
        <v>12.631578947368421</v>
      </c>
      <c r="KM26" s="10">
        <f t="shared" si="168"/>
        <v>0</v>
      </c>
      <c r="KN26" s="10">
        <f t="shared" si="169"/>
        <v>50.526315789473685</v>
      </c>
      <c r="KO26" s="10">
        <f t="shared" si="170"/>
        <v>25.263157894736842</v>
      </c>
      <c r="KP26" s="10">
        <f t="shared" si="171"/>
        <v>0</v>
      </c>
      <c r="KQ26" s="11">
        <v>1439.9999999999998</v>
      </c>
      <c r="KR26" s="16"/>
      <c r="KS26" s="12">
        <v>6069.5570067354802</v>
      </c>
      <c r="KT26" s="26"/>
      <c r="KU26" s="26"/>
      <c r="KV26" s="26"/>
      <c r="KW26" s="26">
        <v>-13.44</v>
      </c>
      <c r="KX26" s="26">
        <v>6.7</v>
      </c>
      <c r="KY26" s="27">
        <v>2.9122034652787505</v>
      </c>
      <c r="KZ26" s="27">
        <v>3.3971665735683012</v>
      </c>
      <c r="LA26" s="17"/>
      <c r="LB26" s="2">
        <v>1076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8</v>
      </c>
      <c r="LJ26" s="1">
        <v>0</v>
      </c>
      <c r="LK26" s="1">
        <v>0</v>
      </c>
      <c r="LL26" s="1">
        <v>1055</v>
      </c>
      <c r="LM26" s="1">
        <v>1</v>
      </c>
      <c r="LN26" s="1">
        <v>1</v>
      </c>
      <c r="LO26" s="1">
        <v>0</v>
      </c>
      <c r="LP26" s="1">
        <v>1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8</v>
      </c>
      <c r="LZ26" s="1">
        <v>0</v>
      </c>
      <c r="MA26" s="1">
        <v>0</v>
      </c>
      <c r="MB26" s="1">
        <v>0</v>
      </c>
      <c r="MC26" s="1">
        <v>0</v>
      </c>
      <c r="MD26" s="1">
        <v>2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28"/>
      <c r="ML26" t="s">
        <v>842</v>
      </c>
      <c r="MM26" t="s">
        <v>319</v>
      </c>
      <c r="MN26" t="s">
        <v>320</v>
      </c>
      <c r="MO26" t="s">
        <v>337</v>
      </c>
      <c r="MP26" t="s">
        <v>338</v>
      </c>
      <c r="MQ26" t="s">
        <v>339</v>
      </c>
      <c r="MR26">
        <v>0.05</v>
      </c>
      <c r="MS26" t="s">
        <v>324</v>
      </c>
      <c r="MT26" t="s">
        <v>325</v>
      </c>
      <c r="MU26" t="s">
        <v>326</v>
      </c>
      <c r="MV26">
        <v>5200</v>
      </c>
      <c r="MW26" s="13">
        <v>377</v>
      </c>
      <c r="MX26" s="13" t="s">
        <v>327</v>
      </c>
      <c r="MY26" t="s">
        <v>240</v>
      </c>
      <c r="MZ26" t="s">
        <v>241</v>
      </c>
      <c r="NA26" t="s">
        <v>242</v>
      </c>
      <c r="NB26" t="s">
        <v>328</v>
      </c>
      <c r="ND26" s="18">
        <v>43270</v>
      </c>
      <c r="NE26" s="19">
        <v>3.125E-2</v>
      </c>
      <c r="NF26" t="s">
        <v>329</v>
      </c>
      <c r="NG26" t="s">
        <v>275</v>
      </c>
      <c r="NH26" t="s">
        <v>246</v>
      </c>
      <c r="NI26">
        <v>98.3</v>
      </c>
      <c r="NJ26" t="s">
        <v>244</v>
      </c>
      <c r="NK26">
        <v>2</v>
      </c>
      <c r="NL26" t="s">
        <v>248</v>
      </c>
      <c r="NM26">
        <v>29.64997</v>
      </c>
      <c r="NN26">
        <v>-84.888379999999998</v>
      </c>
      <c r="NO26" t="s">
        <v>248</v>
      </c>
      <c r="NP26" t="s">
        <v>330</v>
      </c>
      <c r="NQ26" t="s">
        <v>244</v>
      </c>
      <c r="NR26" t="s">
        <v>247</v>
      </c>
      <c r="NS26" t="s">
        <v>244</v>
      </c>
      <c r="NT26">
        <v>982000410609844</v>
      </c>
      <c r="NU26" t="s">
        <v>244</v>
      </c>
      <c r="NV26" t="s">
        <v>247</v>
      </c>
      <c r="NW26" t="s">
        <v>325</v>
      </c>
      <c r="NX26" t="s">
        <v>326</v>
      </c>
      <c r="NY26">
        <v>92</v>
      </c>
      <c r="NZ26">
        <v>91</v>
      </c>
      <c r="OA26">
        <v>84</v>
      </c>
      <c r="OB26" s="14">
        <v>6069.5570067354802</v>
      </c>
      <c r="OC26" t="s">
        <v>248</v>
      </c>
      <c r="OD26" t="s">
        <v>331</v>
      </c>
      <c r="OE26" t="s">
        <v>248</v>
      </c>
      <c r="OF26" t="s">
        <v>332</v>
      </c>
      <c r="OG26" t="s">
        <v>247</v>
      </c>
      <c r="ON26">
        <v>-13.44</v>
      </c>
      <c r="OO26">
        <v>6.7</v>
      </c>
      <c r="OP26" s="25">
        <v>2.9122034652787505</v>
      </c>
      <c r="OQ26" s="25">
        <v>3.3971665735683012</v>
      </c>
      <c r="OR26" t="s">
        <v>910</v>
      </c>
      <c r="OS26" t="s">
        <v>910</v>
      </c>
    </row>
    <row r="27" spans="1:409" x14ac:dyDescent="0.25">
      <c r="A27">
        <v>26</v>
      </c>
      <c r="B27" s="1">
        <v>75</v>
      </c>
      <c r="C27" s="1">
        <v>78</v>
      </c>
      <c r="D27" s="1">
        <v>9</v>
      </c>
      <c r="E27" s="1">
        <v>0</v>
      </c>
      <c r="F27" s="1">
        <v>106</v>
      </c>
      <c r="G27" s="1">
        <v>2</v>
      </c>
      <c r="H27" s="1">
        <v>0</v>
      </c>
      <c r="I27" s="1">
        <v>1</v>
      </c>
      <c r="J27" s="1">
        <v>152</v>
      </c>
      <c r="K27" s="1">
        <v>3</v>
      </c>
      <c r="L27" s="1">
        <v>1</v>
      </c>
      <c r="M27" s="1">
        <v>0</v>
      </c>
      <c r="N27" s="1">
        <v>11</v>
      </c>
      <c r="O27" s="1">
        <v>0</v>
      </c>
      <c r="P27" s="1">
        <v>0</v>
      </c>
      <c r="Q27" s="1">
        <v>50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2">
        <v>488</v>
      </c>
      <c r="Y27" s="3"/>
      <c r="Z27" s="15">
        <f t="shared" si="0"/>
        <v>0.57287071878156848</v>
      </c>
      <c r="AA27" s="15">
        <f t="shared" si="1"/>
        <v>0.59578554753283119</v>
      </c>
      <c r="AB27" s="15">
        <f t="shared" si="2"/>
        <v>6.874448625378822E-2</v>
      </c>
      <c r="AC27" s="15">
        <f t="shared" si="3"/>
        <v>0</v>
      </c>
      <c r="AD27" s="15">
        <f t="shared" si="4"/>
        <v>0.80965728254461677</v>
      </c>
      <c r="AE27" s="15">
        <f t="shared" si="5"/>
        <v>1.5276552500841827E-2</v>
      </c>
      <c r="AF27" s="15">
        <f t="shared" si="6"/>
        <v>0</v>
      </c>
      <c r="AG27" s="15">
        <f t="shared" si="7"/>
        <v>7.6382762504209134E-3</v>
      </c>
      <c r="AH27" s="15">
        <f t="shared" si="8"/>
        <v>1.161017990063979</v>
      </c>
      <c r="AI27" s="15">
        <f t="shared" si="9"/>
        <v>2.2914828751262741E-2</v>
      </c>
      <c r="AJ27" s="15">
        <f t="shared" si="10"/>
        <v>7.6382762504209134E-3</v>
      </c>
      <c r="AK27" s="15">
        <f t="shared" si="11"/>
        <v>0</v>
      </c>
      <c r="AL27" s="15">
        <f t="shared" si="12"/>
        <v>8.4021038754630045E-2</v>
      </c>
      <c r="AM27" s="15">
        <f t="shared" si="13"/>
        <v>0</v>
      </c>
      <c r="AN27" s="15">
        <f t="shared" si="14"/>
        <v>0</v>
      </c>
      <c r="AO27" s="15">
        <f t="shared" si="15"/>
        <v>0.38191381252104561</v>
      </c>
      <c r="AP27" s="15">
        <f t="shared" si="16"/>
        <v>0</v>
      </c>
      <c r="AQ27" s="15">
        <f t="shared" si="17"/>
        <v>0</v>
      </c>
      <c r="AR27" s="15">
        <f t="shared" si="18"/>
        <v>0</v>
      </c>
      <c r="AS27" s="15">
        <f t="shared" si="19"/>
        <v>0</v>
      </c>
      <c r="AT27" s="15">
        <f t="shared" si="20"/>
        <v>0</v>
      </c>
      <c r="AU27" s="15">
        <f t="shared" si="21"/>
        <v>0</v>
      </c>
      <c r="AV27" s="5">
        <f t="shared" si="22"/>
        <v>3.7274788102054055</v>
      </c>
      <c r="AW27" s="16"/>
      <c r="AX27" s="6">
        <v>375</v>
      </c>
      <c r="AY27" s="6">
        <v>390</v>
      </c>
      <c r="AZ27" s="6">
        <v>45</v>
      </c>
      <c r="BA27" s="6">
        <v>0</v>
      </c>
      <c r="BB27" s="6">
        <v>530</v>
      </c>
      <c r="BC27" s="6">
        <v>10</v>
      </c>
      <c r="BD27" s="6">
        <v>0</v>
      </c>
      <c r="BE27" s="6">
        <v>5</v>
      </c>
      <c r="BF27" s="6">
        <v>760</v>
      </c>
      <c r="BG27" s="6">
        <v>15</v>
      </c>
      <c r="BH27" s="6">
        <v>5</v>
      </c>
      <c r="BI27" s="6">
        <v>0</v>
      </c>
      <c r="BJ27" s="6">
        <v>55</v>
      </c>
      <c r="BK27" s="6">
        <v>0</v>
      </c>
      <c r="BL27" s="6">
        <v>0</v>
      </c>
      <c r="BM27" s="6">
        <v>250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7">
        <v>2440</v>
      </c>
      <c r="BU27" s="16"/>
      <c r="BV27" s="8">
        <v>0</v>
      </c>
      <c r="BW27" s="8">
        <v>4.9999999999999991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1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66.000000000000014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1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6</v>
      </c>
      <c r="FR27" s="8">
        <v>0</v>
      </c>
      <c r="FS27" s="8">
        <v>0</v>
      </c>
      <c r="FT27" s="8">
        <v>0</v>
      </c>
      <c r="FU27" s="8">
        <v>3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1</v>
      </c>
      <c r="GD27" s="8">
        <v>0</v>
      </c>
      <c r="GE27" s="8">
        <v>0</v>
      </c>
      <c r="GF27" s="9">
        <v>83.000000000000014</v>
      </c>
      <c r="GG27" s="3"/>
      <c r="GH27" s="10">
        <f t="shared" si="60"/>
        <v>0</v>
      </c>
      <c r="GI27" s="10">
        <f t="shared" si="61"/>
        <v>22.590361445783124</v>
      </c>
      <c r="GJ27" s="10">
        <f t="shared" si="62"/>
        <v>0</v>
      </c>
      <c r="GK27" s="10">
        <f t="shared" si="63"/>
        <v>0</v>
      </c>
      <c r="GL27" s="10">
        <f t="shared" si="64"/>
        <v>0</v>
      </c>
      <c r="GM27" s="10">
        <f t="shared" si="65"/>
        <v>0</v>
      </c>
      <c r="GN27" s="10">
        <f t="shared" si="66"/>
        <v>0</v>
      </c>
      <c r="GO27" s="10">
        <f t="shared" si="67"/>
        <v>0</v>
      </c>
      <c r="GP27" s="10">
        <f t="shared" si="68"/>
        <v>0</v>
      </c>
      <c r="GQ27" s="10">
        <f t="shared" si="69"/>
        <v>0</v>
      </c>
      <c r="GR27" s="10">
        <f t="shared" si="70"/>
        <v>4.5180722891566258</v>
      </c>
      <c r="GS27" s="10">
        <f t="shared" si="71"/>
        <v>0</v>
      </c>
      <c r="GT27" s="10">
        <f t="shared" si="72"/>
        <v>0</v>
      </c>
      <c r="GU27" s="10">
        <f t="shared" si="73"/>
        <v>0</v>
      </c>
      <c r="GV27" s="10">
        <f t="shared" si="74"/>
        <v>0</v>
      </c>
      <c r="GW27" s="10">
        <f t="shared" si="75"/>
        <v>0</v>
      </c>
      <c r="GX27" s="10">
        <f t="shared" si="76"/>
        <v>0</v>
      </c>
      <c r="GY27" s="10">
        <f t="shared" si="77"/>
        <v>0</v>
      </c>
      <c r="GZ27" s="10">
        <f t="shared" si="78"/>
        <v>298.19277108433738</v>
      </c>
      <c r="HA27" s="10">
        <f t="shared" si="79"/>
        <v>0</v>
      </c>
      <c r="HB27" s="10">
        <f t="shared" si="80"/>
        <v>0</v>
      </c>
      <c r="HC27" s="10">
        <f t="shared" si="81"/>
        <v>0</v>
      </c>
      <c r="HD27" s="10">
        <f t="shared" si="82"/>
        <v>0</v>
      </c>
      <c r="HE27" s="10">
        <f t="shared" si="83"/>
        <v>0</v>
      </c>
      <c r="HF27" s="10">
        <f t="shared" si="84"/>
        <v>0</v>
      </c>
      <c r="HG27" s="10">
        <f t="shared" si="85"/>
        <v>0</v>
      </c>
      <c r="HH27" s="10">
        <f t="shared" si="86"/>
        <v>0</v>
      </c>
      <c r="HI27" s="10">
        <f t="shared" si="87"/>
        <v>0</v>
      </c>
      <c r="HJ27" s="10">
        <f t="shared" si="88"/>
        <v>0</v>
      </c>
      <c r="HK27" s="10">
        <f t="shared" si="89"/>
        <v>0</v>
      </c>
      <c r="HL27" s="10">
        <f t="shared" si="90"/>
        <v>0</v>
      </c>
      <c r="HM27" s="10">
        <f t="shared" si="91"/>
        <v>0</v>
      </c>
      <c r="HN27" s="10">
        <f t="shared" si="92"/>
        <v>0</v>
      </c>
      <c r="HO27" s="10">
        <f t="shared" si="93"/>
        <v>0</v>
      </c>
      <c r="HP27" s="10">
        <f t="shared" si="94"/>
        <v>0</v>
      </c>
      <c r="HQ27" s="10">
        <f t="shared" si="95"/>
        <v>0</v>
      </c>
      <c r="HR27" s="10">
        <f t="shared" si="96"/>
        <v>0</v>
      </c>
      <c r="HS27" s="10">
        <f t="shared" si="97"/>
        <v>0</v>
      </c>
      <c r="HT27" s="10">
        <f t="shared" si="98"/>
        <v>0</v>
      </c>
      <c r="HU27" s="10">
        <f t="shared" si="99"/>
        <v>0</v>
      </c>
      <c r="HV27" s="10">
        <f t="shared" si="100"/>
        <v>0</v>
      </c>
      <c r="HW27" s="10">
        <f t="shared" si="101"/>
        <v>0</v>
      </c>
      <c r="HX27" s="10">
        <f t="shared" si="102"/>
        <v>0</v>
      </c>
      <c r="HY27" s="10">
        <f t="shared" si="103"/>
        <v>0</v>
      </c>
      <c r="HZ27" s="10">
        <f t="shared" si="104"/>
        <v>0</v>
      </c>
      <c r="IA27" s="10">
        <f t="shared" si="105"/>
        <v>0</v>
      </c>
      <c r="IB27" s="10">
        <f t="shared" si="106"/>
        <v>0</v>
      </c>
      <c r="IC27" s="10">
        <f t="shared" si="107"/>
        <v>0</v>
      </c>
      <c r="ID27" s="10">
        <f t="shared" si="108"/>
        <v>0</v>
      </c>
      <c r="IE27" s="10">
        <f t="shared" si="109"/>
        <v>0</v>
      </c>
      <c r="IF27" s="10">
        <f t="shared" si="110"/>
        <v>0</v>
      </c>
      <c r="IG27" s="10">
        <f t="shared" si="111"/>
        <v>0</v>
      </c>
      <c r="IH27" s="10">
        <f t="shared" si="112"/>
        <v>0</v>
      </c>
      <c r="II27" s="10">
        <f t="shared" si="113"/>
        <v>0</v>
      </c>
      <c r="IJ27" s="10">
        <f t="shared" si="114"/>
        <v>0</v>
      </c>
      <c r="IK27" s="10">
        <f t="shared" si="115"/>
        <v>0</v>
      </c>
      <c r="IL27" s="10">
        <f t="shared" si="116"/>
        <v>0</v>
      </c>
      <c r="IM27" s="10">
        <f t="shared" si="117"/>
        <v>0</v>
      </c>
      <c r="IN27" s="10">
        <f t="shared" si="118"/>
        <v>0</v>
      </c>
      <c r="IO27" s="10">
        <f t="shared" si="119"/>
        <v>0</v>
      </c>
      <c r="IP27" s="10">
        <f t="shared" si="120"/>
        <v>0</v>
      </c>
      <c r="IQ27" s="10">
        <f t="shared" si="121"/>
        <v>0</v>
      </c>
      <c r="IR27" s="10">
        <f t="shared" si="122"/>
        <v>0</v>
      </c>
      <c r="IS27" s="10">
        <f t="shared" si="123"/>
        <v>0</v>
      </c>
      <c r="IT27" s="10">
        <f t="shared" si="124"/>
        <v>0</v>
      </c>
      <c r="IU27" s="10">
        <f t="shared" si="125"/>
        <v>0</v>
      </c>
      <c r="IV27" s="10">
        <f t="shared" si="126"/>
        <v>0</v>
      </c>
      <c r="IW27" s="10">
        <f t="shared" si="127"/>
        <v>4.5180722891566258</v>
      </c>
      <c r="IX27" s="10">
        <f t="shared" si="128"/>
        <v>0</v>
      </c>
      <c r="IY27" s="10">
        <f t="shared" si="129"/>
        <v>0</v>
      </c>
      <c r="IZ27" s="10">
        <f t="shared" si="130"/>
        <v>0</v>
      </c>
      <c r="JA27" s="10">
        <f t="shared" si="131"/>
        <v>0</v>
      </c>
      <c r="JB27" s="10">
        <f t="shared" si="132"/>
        <v>0</v>
      </c>
      <c r="JC27" s="10">
        <f t="shared" si="133"/>
        <v>0</v>
      </c>
      <c r="JD27" s="10">
        <f t="shared" si="134"/>
        <v>0</v>
      </c>
      <c r="JE27" s="10">
        <f t="shared" si="135"/>
        <v>0</v>
      </c>
      <c r="JF27" s="10">
        <f t="shared" si="136"/>
        <v>0</v>
      </c>
      <c r="JG27" s="10">
        <v>0</v>
      </c>
      <c r="JH27" s="10">
        <f t="shared" si="137"/>
        <v>0</v>
      </c>
      <c r="JI27" s="10">
        <f t="shared" si="138"/>
        <v>0</v>
      </c>
      <c r="JJ27" s="10">
        <f t="shared" si="139"/>
        <v>0</v>
      </c>
      <c r="JK27" s="10">
        <f t="shared" si="140"/>
        <v>0</v>
      </c>
      <c r="JL27" s="10">
        <f t="shared" si="141"/>
        <v>0</v>
      </c>
      <c r="JM27" s="10">
        <f t="shared" si="142"/>
        <v>0</v>
      </c>
      <c r="JN27" s="10">
        <f t="shared" si="143"/>
        <v>0</v>
      </c>
      <c r="JO27" s="10">
        <f t="shared" si="144"/>
        <v>0</v>
      </c>
      <c r="JP27" s="10">
        <f t="shared" si="145"/>
        <v>0</v>
      </c>
      <c r="JQ27" s="10">
        <f t="shared" si="146"/>
        <v>0</v>
      </c>
      <c r="JR27" s="10">
        <f t="shared" si="147"/>
        <v>0</v>
      </c>
      <c r="JS27" s="10">
        <f t="shared" si="148"/>
        <v>0</v>
      </c>
      <c r="JT27" s="10">
        <f t="shared" si="149"/>
        <v>0</v>
      </c>
      <c r="JU27" s="10">
        <f t="shared" si="150"/>
        <v>0</v>
      </c>
      <c r="JV27" s="10">
        <f t="shared" si="151"/>
        <v>0</v>
      </c>
      <c r="JW27" s="10">
        <f t="shared" si="152"/>
        <v>0</v>
      </c>
      <c r="JX27" s="10">
        <f t="shared" si="153"/>
        <v>0</v>
      </c>
      <c r="JY27" s="10">
        <f t="shared" si="154"/>
        <v>0</v>
      </c>
      <c r="JZ27" s="10">
        <f t="shared" si="155"/>
        <v>0</v>
      </c>
      <c r="KA27" s="10">
        <f t="shared" si="156"/>
        <v>0</v>
      </c>
      <c r="KB27" s="10">
        <f t="shared" si="157"/>
        <v>27.108433734939752</v>
      </c>
      <c r="KC27" s="10">
        <f t="shared" si="158"/>
        <v>0</v>
      </c>
      <c r="KD27" s="10">
        <f t="shared" si="159"/>
        <v>0</v>
      </c>
      <c r="KE27" s="10">
        <f t="shared" si="160"/>
        <v>0</v>
      </c>
      <c r="KF27" s="10">
        <f t="shared" si="161"/>
        <v>13.554216867469876</v>
      </c>
      <c r="KG27" s="10">
        <f t="shared" si="162"/>
        <v>0</v>
      </c>
      <c r="KH27" s="10">
        <f t="shared" si="163"/>
        <v>0</v>
      </c>
      <c r="KI27" s="10">
        <f t="shared" si="164"/>
        <v>0</v>
      </c>
      <c r="KJ27" s="10">
        <f t="shared" si="165"/>
        <v>0</v>
      </c>
      <c r="KK27" s="10">
        <f t="shared" si="166"/>
        <v>0</v>
      </c>
      <c r="KL27" s="10">
        <f t="shared" si="167"/>
        <v>0</v>
      </c>
      <c r="KM27" s="10">
        <f t="shared" si="168"/>
        <v>0</v>
      </c>
      <c r="KN27" s="10">
        <f t="shared" si="169"/>
        <v>4.5180722891566258</v>
      </c>
      <c r="KO27" s="10">
        <f t="shared" si="170"/>
        <v>0</v>
      </c>
      <c r="KP27" s="10">
        <f t="shared" si="171"/>
        <v>0</v>
      </c>
      <c r="KQ27" s="11">
        <v>375</v>
      </c>
      <c r="KR27" s="16"/>
      <c r="KS27" s="12">
        <v>6545.9795326523717</v>
      </c>
      <c r="KT27" s="26">
        <v>87</v>
      </c>
      <c r="KU27" s="26">
        <v>0.95402298850574707</v>
      </c>
      <c r="KV27" s="26">
        <v>1</v>
      </c>
      <c r="KW27" s="26">
        <v>-15.39</v>
      </c>
      <c r="KX27" s="26">
        <v>10.97</v>
      </c>
      <c r="KY27" s="26">
        <v>2.92</v>
      </c>
      <c r="KZ27" s="26">
        <v>3.4</v>
      </c>
      <c r="LA27" s="17"/>
      <c r="LB27" s="2">
        <v>1993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871</v>
      </c>
      <c r="LM27" s="1">
        <v>21</v>
      </c>
      <c r="LN27" s="1">
        <v>9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198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894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28"/>
      <c r="ML27" t="s">
        <v>843</v>
      </c>
      <c r="MM27" t="s">
        <v>340</v>
      </c>
      <c r="MN27" t="s">
        <v>320</v>
      </c>
      <c r="MO27" t="s">
        <v>321</v>
      </c>
      <c r="MP27" t="s">
        <v>322</v>
      </c>
      <c r="MQ27" t="s">
        <v>323</v>
      </c>
      <c r="MR27">
        <v>0.2</v>
      </c>
      <c r="MS27" t="s">
        <v>236</v>
      </c>
      <c r="MT27" t="s">
        <v>237</v>
      </c>
      <c r="MU27" t="s">
        <v>238</v>
      </c>
      <c r="MV27">
        <v>2440</v>
      </c>
      <c r="MW27" s="13">
        <v>420</v>
      </c>
      <c r="MX27" s="13" t="s">
        <v>239</v>
      </c>
      <c r="MY27" t="s">
        <v>240</v>
      </c>
      <c r="MZ27" t="s">
        <v>241</v>
      </c>
      <c r="NA27" t="s">
        <v>242</v>
      </c>
      <c r="NB27" t="s">
        <v>243</v>
      </c>
      <c r="ND27" s="18">
        <v>43278</v>
      </c>
      <c r="NE27" s="19">
        <v>2.0833333333333333E-3</v>
      </c>
      <c r="NF27" t="s">
        <v>244</v>
      </c>
      <c r="NG27" t="s">
        <v>245</v>
      </c>
      <c r="NH27" t="s">
        <v>246</v>
      </c>
      <c r="NI27">
        <v>91</v>
      </c>
      <c r="NJ27" t="s">
        <v>244</v>
      </c>
      <c r="NK27">
        <v>2</v>
      </c>
      <c r="NL27" t="s">
        <v>247</v>
      </c>
      <c r="NM27">
        <v>29.614260000000002</v>
      </c>
      <c r="NN27">
        <v>-84.956339999999997</v>
      </c>
      <c r="NO27" t="s">
        <v>248</v>
      </c>
      <c r="NP27" t="s">
        <v>249</v>
      </c>
      <c r="NQ27">
        <v>12</v>
      </c>
      <c r="NR27" t="s">
        <v>247</v>
      </c>
      <c r="NS27">
        <v>982000410601498</v>
      </c>
      <c r="NT27" t="s">
        <v>244</v>
      </c>
      <c r="NU27" t="s">
        <v>244</v>
      </c>
      <c r="NV27" t="s">
        <v>248</v>
      </c>
      <c r="NW27" t="s">
        <v>237</v>
      </c>
      <c r="NX27" t="s">
        <v>238</v>
      </c>
      <c r="NY27">
        <v>95.8</v>
      </c>
      <c r="NZ27">
        <v>94.1</v>
      </c>
      <c r="OA27">
        <v>87</v>
      </c>
      <c r="OB27" s="14">
        <v>6545.9795326523717</v>
      </c>
      <c r="OC27" t="s">
        <v>248</v>
      </c>
      <c r="OD27" t="s">
        <v>247</v>
      </c>
      <c r="OE27" t="s">
        <v>248</v>
      </c>
      <c r="OF27" t="s">
        <v>250</v>
      </c>
      <c r="OG27" t="s">
        <v>247</v>
      </c>
      <c r="OH27">
        <v>6</v>
      </c>
      <c r="OI27" t="s">
        <v>237</v>
      </c>
      <c r="OJ27" t="s">
        <v>251</v>
      </c>
      <c r="OK27">
        <v>87</v>
      </c>
      <c r="OL27">
        <v>0.95402298850574707</v>
      </c>
      <c r="OM27">
        <v>1</v>
      </c>
      <c r="ON27">
        <v>-15.39</v>
      </c>
      <c r="OO27">
        <v>10.97</v>
      </c>
      <c r="OP27">
        <v>2.92</v>
      </c>
      <c r="OQ27">
        <v>3.4</v>
      </c>
      <c r="OR27" t="s">
        <v>911</v>
      </c>
      <c r="OS27" t="s">
        <v>911</v>
      </c>
    </row>
    <row r="28" spans="1:409" x14ac:dyDescent="0.25">
      <c r="A28">
        <v>27</v>
      </c>
      <c r="B28" s="1">
        <v>129</v>
      </c>
      <c r="C28" s="1">
        <v>133</v>
      </c>
      <c r="D28" s="1">
        <v>6</v>
      </c>
      <c r="E28" s="1">
        <v>7</v>
      </c>
      <c r="F28" s="1">
        <v>81</v>
      </c>
      <c r="G28" s="1">
        <v>2</v>
      </c>
      <c r="H28" s="1">
        <v>2</v>
      </c>
      <c r="I28" s="1">
        <v>0</v>
      </c>
      <c r="J28" s="1">
        <v>24</v>
      </c>
      <c r="K28" s="1">
        <v>4</v>
      </c>
      <c r="L28" s="1">
        <v>237</v>
      </c>
      <c r="M28" s="1">
        <v>2</v>
      </c>
      <c r="N28" s="1">
        <v>58</v>
      </c>
      <c r="O28" s="1">
        <v>0</v>
      </c>
      <c r="P28" s="1">
        <v>0</v>
      </c>
      <c r="Q28" s="1">
        <v>22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2">
        <v>707</v>
      </c>
      <c r="Y28" s="3"/>
      <c r="Z28" s="15">
        <f t="shared" si="0"/>
        <v>3.9413505452171909</v>
      </c>
      <c r="AA28" s="15">
        <f t="shared" si="1"/>
        <v>4.0635629652239258</v>
      </c>
      <c r="AB28" s="15">
        <f t="shared" si="2"/>
        <v>0.18331863001010193</v>
      </c>
      <c r="AC28" s="15">
        <f t="shared" si="3"/>
        <v>0.21387173501178555</v>
      </c>
      <c r="AD28" s="15">
        <f t="shared" si="4"/>
        <v>2.4748015051363756</v>
      </c>
      <c r="AE28" s="15">
        <f t="shared" si="5"/>
        <v>6.1106210003367308E-2</v>
      </c>
      <c r="AF28" s="15">
        <f t="shared" si="6"/>
        <v>6.1106210003367308E-2</v>
      </c>
      <c r="AG28" s="15">
        <f t="shared" si="7"/>
        <v>0</v>
      </c>
      <c r="AH28" s="15">
        <f t="shared" si="8"/>
        <v>0.73327452004040772</v>
      </c>
      <c r="AI28" s="15">
        <f t="shared" si="9"/>
        <v>0.12221242000673462</v>
      </c>
      <c r="AJ28" s="15">
        <f t="shared" si="10"/>
        <v>7.2410858853990252</v>
      </c>
      <c r="AK28" s="15">
        <f t="shared" si="11"/>
        <v>6.1106210003367308E-2</v>
      </c>
      <c r="AL28" s="15">
        <f t="shared" si="12"/>
        <v>1.7720800900976519</v>
      </c>
      <c r="AM28" s="15">
        <f t="shared" si="13"/>
        <v>0</v>
      </c>
      <c r="AN28" s="15">
        <f t="shared" si="14"/>
        <v>0</v>
      </c>
      <c r="AO28" s="15">
        <f t="shared" si="15"/>
        <v>0.67216831003704036</v>
      </c>
      <c r="AP28" s="15">
        <f t="shared" si="16"/>
        <v>0</v>
      </c>
      <c r="AQ28" s="15">
        <f t="shared" si="17"/>
        <v>0</v>
      </c>
      <c r="AR28" s="15">
        <f t="shared" si="18"/>
        <v>0</v>
      </c>
      <c r="AS28" s="15">
        <f t="shared" si="19"/>
        <v>0</v>
      </c>
      <c r="AT28" s="15">
        <f t="shared" si="20"/>
        <v>0</v>
      </c>
      <c r="AU28" s="15">
        <f t="shared" si="21"/>
        <v>0</v>
      </c>
      <c r="AV28" s="5">
        <f t="shared" si="22"/>
        <v>21.601045236190345</v>
      </c>
      <c r="AW28" s="16"/>
      <c r="AX28" s="6">
        <v>2580</v>
      </c>
      <c r="AY28" s="6">
        <v>2660</v>
      </c>
      <c r="AZ28" s="6">
        <v>120</v>
      </c>
      <c r="BA28" s="6">
        <v>140</v>
      </c>
      <c r="BB28" s="6">
        <v>1620</v>
      </c>
      <c r="BC28" s="6">
        <v>40</v>
      </c>
      <c r="BD28" s="6">
        <v>40</v>
      </c>
      <c r="BE28" s="6">
        <v>0</v>
      </c>
      <c r="BF28" s="6">
        <v>480</v>
      </c>
      <c r="BG28" s="6">
        <v>80</v>
      </c>
      <c r="BH28" s="6">
        <v>4740</v>
      </c>
      <c r="BI28" s="6">
        <v>40</v>
      </c>
      <c r="BJ28" s="6">
        <v>1160</v>
      </c>
      <c r="BK28" s="6">
        <v>0</v>
      </c>
      <c r="BL28" s="6">
        <v>0</v>
      </c>
      <c r="BM28" s="6">
        <v>440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7">
        <v>14140</v>
      </c>
      <c r="BU28" s="16"/>
      <c r="BV28" s="8">
        <v>0</v>
      </c>
      <c r="BW28" s="8">
        <v>3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5</v>
      </c>
      <c r="CG28" s="8">
        <v>0</v>
      </c>
      <c r="CH28" s="8">
        <v>0</v>
      </c>
      <c r="CI28" s="8">
        <v>0</v>
      </c>
      <c r="CJ28" s="8">
        <v>1</v>
      </c>
      <c r="CK28" s="8">
        <v>0</v>
      </c>
      <c r="CL28" s="8">
        <v>0</v>
      </c>
      <c r="CM28" s="8">
        <v>0</v>
      </c>
      <c r="CN28" s="8">
        <v>61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1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1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1</v>
      </c>
      <c r="FD28" s="8">
        <v>0</v>
      </c>
      <c r="FE28" s="8">
        <v>0</v>
      </c>
      <c r="FF28" s="8">
        <v>0</v>
      </c>
      <c r="FG28" s="8">
        <v>1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6</v>
      </c>
      <c r="FR28" s="8">
        <v>4</v>
      </c>
      <c r="FS28" s="8">
        <v>0</v>
      </c>
      <c r="FT28" s="8">
        <v>0</v>
      </c>
      <c r="FU28" s="8">
        <v>8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2</v>
      </c>
      <c r="GB28" s="8">
        <v>0</v>
      </c>
      <c r="GC28" s="8">
        <v>7.0000000000000009</v>
      </c>
      <c r="GD28" s="8">
        <v>0</v>
      </c>
      <c r="GE28" s="8">
        <v>0</v>
      </c>
      <c r="GF28" s="9">
        <v>101</v>
      </c>
      <c r="GG28" s="3"/>
      <c r="GH28" s="10">
        <f t="shared" si="60"/>
        <v>0</v>
      </c>
      <c r="GI28" s="10">
        <f t="shared" si="61"/>
        <v>76.633663366336634</v>
      </c>
      <c r="GJ28" s="10">
        <f t="shared" si="62"/>
        <v>0</v>
      </c>
      <c r="GK28" s="10">
        <f t="shared" si="63"/>
        <v>0</v>
      </c>
      <c r="GL28" s="10">
        <f t="shared" si="64"/>
        <v>0</v>
      </c>
      <c r="GM28" s="10">
        <f t="shared" si="65"/>
        <v>0</v>
      </c>
      <c r="GN28" s="10">
        <f t="shared" si="66"/>
        <v>0</v>
      </c>
      <c r="GO28" s="10">
        <f t="shared" si="67"/>
        <v>0</v>
      </c>
      <c r="GP28" s="10">
        <f t="shared" si="68"/>
        <v>0</v>
      </c>
      <c r="GQ28" s="10">
        <f t="shared" si="69"/>
        <v>0</v>
      </c>
      <c r="GR28" s="10">
        <f t="shared" si="70"/>
        <v>127.72277227722773</v>
      </c>
      <c r="GS28" s="10">
        <f t="shared" si="71"/>
        <v>0</v>
      </c>
      <c r="GT28" s="10">
        <f t="shared" si="72"/>
        <v>0</v>
      </c>
      <c r="GU28" s="10">
        <f t="shared" si="73"/>
        <v>0</v>
      </c>
      <c r="GV28" s="10">
        <f t="shared" si="74"/>
        <v>25.544554455445546</v>
      </c>
      <c r="GW28" s="10">
        <f t="shared" si="75"/>
        <v>0</v>
      </c>
      <c r="GX28" s="10">
        <f t="shared" si="76"/>
        <v>0</v>
      </c>
      <c r="GY28" s="10">
        <f t="shared" si="77"/>
        <v>0</v>
      </c>
      <c r="GZ28" s="10">
        <f t="shared" si="78"/>
        <v>1558.2178217821781</v>
      </c>
      <c r="HA28" s="10">
        <f t="shared" si="79"/>
        <v>0</v>
      </c>
      <c r="HB28" s="10">
        <f t="shared" si="80"/>
        <v>0</v>
      </c>
      <c r="HC28" s="10">
        <f t="shared" si="81"/>
        <v>0</v>
      </c>
      <c r="HD28" s="10">
        <f t="shared" si="82"/>
        <v>0</v>
      </c>
      <c r="HE28" s="10">
        <f t="shared" si="83"/>
        <v>0</v>
      </c>
      <c r="HF28" s="10">
        <f t="shared" si="84"/>
        <v>0</v>
      </c>
      <c r="HG28" s="10">
        <f t="shared" si="85"/>
        <v>0</v>
      </c>
      <c r="HH28" s="10">
        <f t="shared" si="86"/>
        <v>0</v>
      </c>
      <c r="HI28" s="10">
        <f t="shared" si="87"/>
        <v>0</v>
      </c>
      <c r="HJ28" s="10">
        <f t="shared" si="88"/>
        <v>0</v>
      </c>
      <c r="HK28" s="10">
        <f t="shared" si="89"/>
        <v>0</v>
      </c>
      <c r="HL28" s="10">
        <f t="shared" si="90"/>
        <v>0</v>
      </c>
      <c r="HM28" s="10">
        <f t="shared" si="91"/>
        <v>0</v>
      </c>
      <c r="HN28" s="10">
        <f t="shared" si="92"/>
        <v>0</v>
      </c>
      <c r="HO28" s="10">
        <f t="shared" si="93"/>
        <v>0</v>
      </c>
      <c r="HP28" s="10">
        <f t="shared" si="94"/>
        <v>0</v>
      </c>
      <c r="HQ28" s="10">
        <f t="shared" si="95"/>
        <v>0</v>
      </c>
      <c r="HR28" s="10">
        <f t="shared" si="96"/>
        <v>0</v>
      </c>
      <c r="HS28" s="10">
        <f t="shared" si="97"/>
        <v>0</v>
      </c>
      <c r="HT28" s="10">
        <f t="shared" si="98"/>
        <v>0</v>
      </c>
      <c r="HU28" s="10">
        <f t="shared" si="99"/>
        <v>0</v>
      </c>
      <c r="HV28" s="10">
        <f t="shared" si="100"/>
        <v>0</v>
      </c>
      <c r="HW28" s="10">
        <f t="shared" si="101"/>
        <v>0</v>
      </c>
      <c r="HX28" s="10">
        <f t="shared" si="102"/>
        <v>0</v>
      </c>
      <c r="HY28" s="10">
        <f t="shared" si="103"/>
        <v>0</v>
      </c>
      <c r="HZ28" s="10">
        <f t="shared" si="104"/>
        <v>0</v>
      </c>
      <c r="IA28" s="10">
        <f t="shared" si="105"/>
        <v>0</v>
      </c>
      <c r="IB28" s="10">
        <f t="shared" si="106"/>
        <v>0</v>
      </c>
      <c r="IC28" s="10">
        <f t="shared" si="107"/>
        <v>0</v>
      </c>
      <c r="ID28" s="10">
        <f t="shared" si="108"/>
        <v>0</v>
      </c>
      <c r="IE28" s="10">
        <f t="shared" si="109"/>
        <v>0</v>
      </c>
      <c r="IF28" s="10">
        <f t="shared" si="110"/>
        <v>0</v>
      </c>
      <c r="IG28" s="10">
        <f t="shared" si="111"/>
        <v>0</v>
      </c>
      <c r="IH28" s="10">
        <f t="shared" si="112"/>
        <v>0</v>
      </c>
      <c r="II28" s="10">
        <f t="shared" si="113"/>
        <v>0</v>
      </c>
      <c r="IJ28" s="10">
        <f t="shared" si="114"/>
        <v>0</v>
      </c>
      <c r="IK28" s="10">
        <f t="shared" si="115"/>
        <v>0</v>
      </c>
      <c r="IL28" s="10">
        <f t="shared" si="116"/>
        <v>0</v>
      </c>
      <c r="IM28" s="10">
        <f t="shared" si="117"/>
        <v>0</v>
      </c>
      <c r="IN28" s="10">
        <f t="shared" si="118"/>
        <v>0</v>
      </c>
      <c r="IO28" s="10">
        <f t="shared" si="119"/>
        <v>25.544554455445546</v>
      </c>
      <c r="IP28" s="10">
        <f t="shared" si="120"/>
        <v>0</v>
      </c>
      <c r="IQ28" s="10">
        <f t="shared" si="121"/>
        <v>0</v>
      </c>
      <c r="IR28" s="10">
        <f t="shared" si="122"/>
        <v>0</v>
      </c>
      <c r="IS28" s="10">
        <f t="shared" si="123"/>
        <v>0</v>
      </c>
      <c r="IT28" s="10">
        <f t="shared" si="124"/>
        <v>0</v>
      </c>
      <c r="IU28" s="10">
        <f t="shared" si="125"/>
        <v>0</v>
      </c>
      <c r="IV28" s="10">
        <f t="shared" si="126"/>
        <v>0</v>
      </c>
      <c r="IW28" s="10">
        <f t="shared" si="127"/>
        <v>0</v>
      </c>
      <c r="IX28" s="10">
        <f t="shared" si="128"/>
        <v>0</v>
      </c>
      <c r="IY28" s="10">
        <f t="shared" si="129"/>
        <v>0</v>
      </c>
      <c r="IZ28" s="10">
        <f t="shared" si="130"/>
        <v>0</v>
      </c>
      <c r="JA28" s="10">
        <f t="shared" si="131"/>
        <v>0</v>
      </c>
      <c r="JB28" s="10">
        <f t="shared" si="132"/>
        <v>0</v>
      </c>
      <c r="JC28" s="10">
        <f t="shared" si="133"/>
        <v>0</v>
      </c>
      <c r="JD28" s="10">
        <f t="shared" si="134"/>
        <v>0</v>
      </c>
      <c r="JE28" s="10">
        <f t="shared" si="135"/>
        <v>0</v>
      </c>
      <c r="JF28" s="10">
        <f t="shared" si="136"/>
        <v>0</v>
      </c>
      <c r="JG28" s="10">
        <v>0</v>
      </c>
      <c r="JH28" s="10">
        <f t="shared" si="137"/>
        <v>25.544554455445546</v>
      </c>
      <c r="JI28" s="10">
        <f t="shared" si="138"/>
        <v>0</v>
      </c>
      <c r="JJ28" s="10">
        <f t="shared" si="139"/>
        <v>0</v>
      </c>
      <c r="JK28" s="10">
        <f t="shared" si="140"/>
        <v>0</v>
      </c>
      <c r="JL28" s="10">
        <f t="shared" si="141"/>
        <v>0</v>
      </c>
      <c r="JM28" s="10">
        <f t="shared" si="142"/>
        <v>0</v>
      </c>
      <c r="JN28" s="10">
        <f t="shared" si="143"/>
        <v>25.544554455445546</v>
      </c>
      <c r="JO28" s="10">
        <f t="shared" si="144"/>
        <v>0</v>
      </c>
      <c r="JP28" s="10">
        <f t="shared" si="145"/>
        <v>0</v>
      </c>
      <c r="JQ28" s="10">
        <f t="shared" si="146"/>
        <v>0</v>
      </c>
      <c r="JR28" s="10">
        <f t="shared" si="147"/>
        <v>25.544554455445546</v>
      </c>
      <c r="JS28" s="10">
        <f t="shared" si="148"/>
        <v>0</v>
      </c>
      <c r="JT28" s="10">
        <f t="shared" si="149"/>
        <v>0</v>
      </c>
      <c r="JU28" s="10">
        <f t="shared" si="150"/>
        <v>0</v>
      </c>
      <c r="JV28" s="10">
        <f t="shared" si="151"/>
        <v>0</v>
      </c>
      <c r="JW28" s="10">
        <f t="shared" si="152"/>
        <v>0</v>
      </c>
      <c r="JX28" s="10">
        <f t="shared" si="153"/>
        <v>0</v>
      </c>
      <c r="JY28" s="10">
        <f t="shared" si="154"/>
        <v>0</v>
      </c>
      <c r="JZ28" s="10">
        <f t="shared" si="155"/>
        <v>0</v>
      </c>
      <c r="KA28" s="10">
        <f t="shared" si="156"/>
        <v>0</v>
      </c>
      <c r="KB28" s="10">
        <f t="shared" si="157"/>
        <v>153.26732673267327</v>
      </c>
      <c r="KC28" s="10">
        <f t="shared" si="158"/>
        <v>102.17821782178218</v>
      </c>
      <c r="KD28" s="10">
        <f t="shared" si="159"/>
        <v>0</v>
      </c>
      <c r="KE28" s="10">
        <f t="shared" si="160"/>
        <v>0</v>
      </c>
      <c r="KF28" s="10">
        <f t="shared" si="161"/>
        <v>204.35643564356437</v>
      </c>
      <c r="KG28" s="10">
        <f t="shared" si="162"/>
        <v>0</v>
      </c>
      <c r="KH28" s="10">
        <f t="shared" si="163"/>
        <v>0</v>
      </c>
      <c r="KI28" s="10">
        <f t="shared" si="164"/>
        <v>0</v>
      </c>
      <c r="KJ28" s="10">
        <f t="shared" si="165"/>
        <v>0</v>
      </c>
      <c r="KK28" s="10">
        <f t="shared" si="166"/>
        <v>0</v>
      </c>
      <c r="KL28" s="10">
        <f t="shared" si="167"/>
        <v>51.089108910891092</v>
      </c>
      <c r="KM28" s="10">
        <f t="shared" si="168"/>
        <v>0</v>
      </c>
      <c r="KN28" s="10">
        <f t="shared" si="169"/>
        <v>178.81188118811883</v>
      </c>
      <c r="KO28" s="10">
        <f t="shared" si="170"/>
        <v>0</v>
      </c>
      <c r="KP28" s="10">
        <f t="shared" si="171"/>
        <v>0</v>
      </c>
      <c r="KQ28" s="11">
        <v>2580</v>
      </c>
      <c r="KR28" s="16"/>
      <c r="KS28" s="12">
        <v>6545.9795326523717</v>
      </c>
      <c r="KT28" s="26">
        <v>87</v>
      </c>
      <c r="KU28" s="26">
        <v>0.95402298850574707</v>
      </c>
      <c r="KV28" s="26">
        <v>1</v>
      </c>
      <c r="KW28" s="26">
        <v>-15.39</v>
      </c>
      <c r="KX28" s="26">
        <v>10.97</v>
      </c>
      <c r="KY28" s="26">
        <v>2.92</v>
      </c>
      <c r="KZ28" s="26">
        <v>3.4</v>
      </c>
      <c r="LA28" s="17"/>
      <c r="LB28" s="2">
        <v>6260</v>
      </c>
      <c r="LC28" s="1">
        <v>0</v>
      </c>
      <c r="LD28" s="1">
        <v>0</v>
      </c>
      <c r="LE28" s="1">
        <v>16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3692</v>
      </c>
      <c r="LM28" s="1">
        <v>120</v>
      </c>
      <c r="LN28" s="1">
        <v>120</v>
      </c>
      <c r="LO28" s="1">
        <v>0</v>
      </c>
      <c r="LP28" s="1">
        <v>0</v>
      </c>
      <c r="LQ28" s="1">
        <v>0</v>
      </c>
      <c r="LR28" s="1">
        <v>0</v>
      </c>
      <c r="LS28" s="1">
        <v>4</v>
      </c>
      <c r="LT28" s="1">
        <v>632</v>
      </c>
      <c r="LU28" s="1">
        <v>0</v>
      </c>
      <c r="LV28" s="1">
        <v>0</v>
      </c>
      <c r="LW28" s="1">
        <v>12</v>
      </c>
      <c r="LX28" s="1">
        <v>0</v>
      </c>
      <c r="LY28" s="1">
        <v>4</v>
      </c>
      <c r="LZ28" s="1">
        <v>0</v>
      </c>
      <c r="MA28" s="1">
        <v>20</v>
      </c>
      <c r="MB28" s="1">
        <v>0</v>
      </c>
      <c r="MC28" s="1">
        <v>0</v>
      </c>
      <c r="MD28" s="1">
        <v>1640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28"/>
      <c r="ML28" t="s">
        <v>844</v>
      </c>
      <c r="MM28" t="s">
        <v>236</v>
      </c>
      <c r="MN28" t="s">
        <v>320</v>
      </c>
      <c r="MO28" t="s">
        <v>334</v>
      </c>
      <c r="MP28" t="s">
        <v>335</v>
      </c>
      <c r="MQ28" t="s">
        <v>336</v>
      </c>
      <c r="MR28">
        <v>0.05</v>
      </c>
      <c r="MS28" t="s">
        <v>236</v>
      </c>
      <c r="MT28" t="s">
        <v>237</v>
      </c>
      <c r="MU28" t="s">
        <v>238</v>
      </c>
      <c r="MV28">
        <v>14140</v>
      </c>
      <c r="MW28" s="13">
        <v>420</v>
      </c>
      <c r="MX28" s="13" t="s">
        <v>239</v>
      </c>
      <c r="MY28" t="s">
        <v>240</v>
      </c>
      <c r="MZ28" t="s">
        <v>241</v>
      </c>
      <c r="NA28" t="s">
        <v>242</v>
      </c>
      <c r="NB28" t="s">
        <v>243</v>
      </c>
      <c r="ND28" s="18">
        <v>43278</v>
      </c>
      <c r="NE28" s="19">
        <v>2.0833333333333333E-3</v>
      </c>
      <c r="NF28" t="s">
        <v>244</v>
      </c>
      <c r="NG28" t="s">
        <v>245</v>
      </c>
      <c r="NH28" t="s">
        <v>246</v>
      </c>
      <c r="NI28">
        <v>91</v>
      </c>
      <c r="NJ28" t="s">
        <v>244</v>
      </c>
      <c r="NK28">
        <v>2</v>
      </c>
      <c r="NL28" t="s">
        <v>247</v>
      </c>
      <c r="NM28">
        <v>29.614260000000002</v>
      </c>
      <c r="NN28">
        <v>-84.956339999999997</v>
      </c>
      <c r="NO28" t="s">
        <v>248</v>
      </c>
      <c r="NP28" t="s">
        <v>249</v>
      </c>
      <c r="NQ28">
        <v>12</v>
      </c>
      <c r="NR28" t="s">
        <v>247</v>
      </c>
      <c r="NS28">
        <v>982000410601498</v>
      </c>
      <c r="NT28" t="s">
        <v>244</v>
      </c>
      <c r="NU28" t="s">
        <v>244</v>
      </c>
      <c r="NV28" t="s">
        <v>248</v>
      </c>
      <c r="NW28" t="s">
        <v>237</v>
      </c>
      <c r="NX28" t="s">
        <v>238</v>
      </c>
      <c r="NY28">
        <v>95.8</v>
      </c>
      <c r="NZ28">
        <v>94.1</v>
      </c>
      <c r="OA28">
        <v>87</v>
      </c>
      <c r="OB28" s="14">
        <v>6545.9795326523717</v>
      </c>
      <c r="OC28" t="s">
        <v>248</v>
      </c>
      <c r="OD28" t="s">
        <v>247</v>
      </c>
      <c r="OE28" t="s">
        <v>248</v>
      </c>
      <c r="OF28" t="s">
        <v>250</v>
      </c>
      <c r="OG28" t="s">
        <v>247</v>
      </c>
      <c r="OH28">
        <v>5</v>
      </c>
      <c r="OI28" t="s">
        <v>237</v>
      </c>
      <c r="OJ28" t="s">
        <v>251</v>
      </c>
      <c r="OK28">
        <v>87</v>
      </c>
      <c r="OL28">
        <v>0.95402298850574707</v>
      </c>
      <c r="OM28">
        <v>1</v>
      </c>
      <c r="ON28">
        <v>-15.39</v>
      </c>
      <c r="OO28">
        <v>10.97</v>
      </c>
      <c r="OP28">
        <v>2.92</v>
      </c>
      <c r="OQ28">
        <v>3.4</v>
      </c>
      <c r="OR28" t="s">
        <v>911</v>
      </c>
      <c r="OS28" t="s">
        <v>911</v>
      </c>
    </row>
    <row r="29" spans="1:409" x14ac:dyDescent="0.25">
      <c r="A29">
        <v>28</v>
      </c>
      <c r="B29" s="1">
        <v>130</v>
      </c>
      <c r="C29" s="1">
        <v>0</v>
      </c>
      <c r="D29" s="1">
        <v>2</v>
      </c>
      <c r="E29" s="1">
        <v>0</v>
      </c>
      <c r="F29" s="1">
        <v>14</v>
      </c>
      <c r="G29" s="1">
        <v>3</v>
      </c>
      <c r="H29" s="1">
        <v>0</v>
      </c>
      <c r="I29" s="1">
        <v>11</v>
      </c>
      <c r="J29" s="1">
        <v>26</v>
      </c>
      <c r="K29" s="1">
        <v>12</v>
      </c>
      <c r="L29" s="1">
        <v>0</v>
      </c>
      <c r="M29" s="1">
        <v>0</v>
      </c>
      <c r="N29" s="1">
        <v>11</v>
      </c>
      <c r="O29" s="1">
        <v>0</v>
      </c>
      <c r="P29" s="1">
        <v>0</v>
      </c>
      <c r="Q29" s="1">
        <v>8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2">
        <v>217</v>
      </c>
      <c r="Y29" s="3"/>
      <c r="Z29" s="15">
        <f t="shared" si="0"/>
        <v>1.9859518251094375</v>
      </c>
      <c r="AA29" s="15">
        <f t="shared" si="1"/>
        <v>0</v>
      </c>
      <c r="AB29" s="15">
        <f t="shared" si="2"/>
        <v>3.0553105001683654E-2</v>
      </c>
      <c r="AC29" s="15">
        <f t="shared" si="3"/>
        <v>0</v>
      </c>
      <c r="AD29" s="15">
        <f t="shared" si="4"/>
        <v>0.21387173501178555</v>
      </c>
      <c r="AE29" s="15">
        <f t="shared" si="5"/>
        <v>4.5829657502525482E-2</v>
      </c>
      <c r="AF29" s="15">
        <f t="shared" si="6"/>
        <v>0</v>
      </c>
      <c r="AG29" s="15">
        <f t="shared" si="7"/>
        <v>0.16804207750926009</v>
      </c>
      <c r="AH29" s="15">
        <f t="shared" si="8"/>
        <v>0.39719036502188748</v>
      </c>
      <c r="AI29" s="15">
        <f t="shared" si="9"/>
        <v>0.18331863001010193</v>
      </c>
      <c r="AJ29" s="15">
        <f t="shared" si="10"/>
        <v>0</v>
      </c>
      <c r="AK29" s="15">
        <f t="shared" si="11"/>
        <v>0</v>
      </c>
      <c r="AL29" s="15">
        <f t="shared" si="12"/>
        <v>0.16804207750926009</v>
      </c>
      <c r="AM29" s="15">
        <f t="shared" si="13"/>
        <v>0</v>
      </c>
      <c r="AN29" s="15">
        <f t="shared" si="14"/>
        <v>0</v>
      </c>
      <c r="AO29" s="15">
        <f t="shared" si="15"/>
        <v>0.12221242000673462</v>
      </c>
      <c r="AP29" s="15">
        <f t="shared" si="16"/>
        <v>0</v>
      </c>
      <c r="AQ29" s="15">
        <f t="shared" si="17"/>
        <v>0</v>
      </c>
      <c r="AR29" s="15">
        <f t="shared" si="18"/>
        <v>0</v>
      </c>
      <c r="AS29" s="15">
        <f t="shared" si="19"/>
        <v>0</v>
      </c>
      <c r="AT29" s="15">
        <f t="shared" si="20"/>
        <v>0</v>
      </c>
      <c r="AU29" s="15">
        <f t="shared" si="21"/>
        <v>0</v>
      </c>
      <c r="AV29" s="5">
        <f t="shared" si="22"/>
        <v>3.3150118926826764</v>
      </c>
      <c r="AW29" s="16"/>
      <c r="AX29" s="6">
        <v>1300</v>
      </c>
      <c r="AY29" s="6">
        <v>0</v>
      </c>
      <c r="AZ29" s="6">
        <v>20</v>
      </c>
      <c r="BA29" s="6">
        <v>0</v>
      </c>
      <c r="BB29" s="6">
        <v>140</v>
      </c>
      <c r="BC29" s="6">
        <v>30</v>
      </c>
      <c r="BD29" s="6">
        <v>0</v>
      </c>
      <c r="BE29" s="6">
        <v>110</v>
      </c>
      <c r="BF29" s="6">
        <v>260</v>
      </c>
      <c r="BG29" s="6">
        <v>120</v>
      </c>
      <c r="BH29" s="6">
        <v>0</v>
      </c>
      <c r="BI29" s="6">
        <v>0</v>
      </c>
      <c r="BJ29" s="6">
        <v>110</v>
      </c>
      <c r="BK29" s="6">
        <v>0</v>
      </c>
      <c r="BL29" s="6">
        <v>0</v>
      </c>
      <c r="BM29" s="6">
        <v>80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7">
        <v>2170</v>
      </c>
      <c r="BU29" s="16"/>
      <c r="BV29" s="8">
        <v>0</v>
      </c>
      <c r="BW29" s="8">
        <v>2</v>
      </c>
      <c r="BX29" s="8">
        <v>0</v>
      </c>
      <c r="BY29" s="8">
        <v>0</v>
      </c>
      <c r="BZ29" s="8">
        <v>1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1</v>
      </c>
      <c r="CG29" s="8">
        <v>0</v>
      </c>
      <c r="CH29" s="8">
        <v>0</v>
      </c>
      <c r="CI29" s="8">
        <v>0</v>
      </c>
      <c r="CJ29" s="8">
        <v>1</v>
      </c>
      <c r="CK29" s="8">
        <v>0</v>
      </c>
      <c r="CL29" s="8">
        <v>0</v>
      </c>
      <c r="CM29" s="8">
        <v>0</v>
      </c>
      <c r="CN29" s="8">
        <v>57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1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10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1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1</v>
      </c>
      <c r="DP29" s="8">
        <v>0</v>
      </c>
      <c r="DQ29" s="8">
        <v>1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1</v>
      </c>
      <c r="EC29" s="8">
        <v>3</v>
      </c>
      <c r="ED29" s="8">
        <v>0</v>
      </c>
      <c r="EE29" s="8">
        <v>0</v>
      </c>
      <c r="EF29" s="8">
        <v>1</v>
      </c>
      <c r="EG29" s="8">
        <v>0</v>
      </c>
      <c r="EH29" s="8">
        <v>0</v>
      </c>
      <c r="EI29" s="8">
        <v>0</v>
      </c>
      <c r="EJ29" s="8">
        <v>0</v>
      </c>
      <c r="EK29" s="8">
        <v>1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1</v>
      </c>
      <c r="FH29" s="8">
        <v>0</v>
      </c>
      <c r="FI29" s="8">
        <v>1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20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1</v>
      </c>
      <c r="FX29" s="8">
        <v>0</v>
      </c>
      <c r="FY29" s="8">
        <v>0</v>
      </c>
      <c r="FZ29" s="8">
        <v>0</v>
      </c>
      <c r="GA29" s="8">
        <v>1</v>
      </c>
      <c r="GB29" s="8">
        <v>0</v>
      </c>
      <c r="GC29" s="8">
        <v>8</v>
      </c>
      <c r="GD29" s="8">
        <v>0</v>
      </c>
      <c r="GE29" s="8">
        <v>0</v>
      </c>
      <c r="GF29" s="9">
        <v>114</v>
      </c>
      <c r="GG29" s="3"/>
      <c r="GH29" s="10">
        <f t="shared" si="60"/>
        <v>0</v>
      </c>
      <c r="GI29" s="10">
        <f t="shared" si="61"/>
        <v>22.807017543859647</v>
      </c>
      <c r="GJ29" s="10">
        <f t="shared" si="62"/>
        <v>0</v>
      </c>
      <c r="GK29" s="10">
        <f t="shared" si="63"/>
        <v>0</v>
      </c>
      <c r="GL29" s="10">
        <f t="shared" si="64"/>
        <v>11.403508771929824</v>
      </c>
      <c r="GM29" s="10">
        <f t="shared" si="65"/>
        <v>0</v>
      </c>
      <c r="GN29" s="10">
        <f t="shared" si="66"/>
        <v>0</v>
      </c>
      <c r="GO29" s="10">
        <f t="shared" si="67"/>
        <v>0</v>
      </c>
      <c r="GP29" s="10">
        <f t="shared" si="68"/>
        <v>0</v>
      </c>
      <c r="GQ29" s="10">
        <f t="shared" si="69"/>
        <v>0</v>
      </c>
      <c r="GR29" s="10">
        <f t="shared" si="70"/>
        <v>11.403508771929824</v>
      </c>
      <c r="GS29" s="10">
        <f t="shared" si="71"/>
        <v>0</v>
      </c>
      <c r="GT29" s="10">
        <f t="shared" si="72"/>
        <v>0</v>
      </c>
      <c r="GU29" s="10">
        <f t="shared" si="73"/>
        <v>0</v>
      </c>
      <c r="GV29" s="10">
        <f t="shared" si="74"/>
        <v>11.403508771929824</v>
      </c>
      <c r="GW29" s="10">
        <f t="shared" si="75"/>
        <v>0</v>
      </c>
      <c r="GX29" s="10">
        <f t="shared" si="76"/>
        <v>0</v>
      </c>
      <c r="GY29" s="10">
        <f t="shared" si="77"/>
        <v>0</v>
      </c>
      <c r="GZ29" s="10">
        <f t="shared" si="78"/>
        <v>650</v>
      </c>
      <c r="HA29" s="10">
        <f t="shared" si="79"/>
        <v>0</v>
      </c>
      <c r="HB29" s="10">
        <f t="shared" si="80"/>
        <v>0</v>
      </c>
      <c r="HC29" s="10">
        <f t="shared" si="81"/>
        <v>0</v>
      </c>
      <c r="HD29" s="10">
        <f t="shared" si="82"/>
        <v>0</v>
      </c>
      <c r="HE29" s="10">
        <f t="shared" si="83"/>
        <v>0</v>
      </c>
      <c r="HF29" s="10">
        <f t="shared" si="84"/>
        <v>0</v>
      </c>
      <c r="HG29" s="10">
        <f t="shared" si="85"/>
        <v>11.403508771929824</v>
      </c>
      <c r="HH29" s="10">
        <f t="shared" si="86"/>
        <v>0</v>
      </c>
      <c r="HI29" s="10">
        <f t="shared" si="87"/>
        <v>0</v>
      </c>
      <c r="HJ29" s="10">
        <f t="shared" si="88"/>
        <v>0</v>
      </c>
      <c r="HK29" s="10">
        <f t="shared" si="89"/>
        <v>0</v>
      </c>
      <c r="HL29" s="10">
        <f t="shared" si="90"/>
        <v>0</v>
      </c>
      <c r="HM29" s="10">
        <f t="shared" si="91"/>
        <v>0</v>
      </c>
      <c r="HN29" s="10">
        <f t="shared" si="92"/>
        <v>0</v>
      </c>
      <c r="HO29" s="10">
        <f t="shared" si="93"/>
        <v>114.03508771929823</v>
      </c>
      <c r="HP29" s="10">
        <f t="shared" si="94"/>
        <v>0</v>
      </c>
      <c r="HQ29" s="10">
        <f t="shared" si="95"/>
        <v>0</v>
      </c>
      <c r="HR29" s="10">
        <f t="shared" si="96"/>
        <v>0</v>
      </c>
      <c r="HS29" s="10">
        <f t="shared" si="97"/>
        <v>0</v>
      </c>
      <c r="HT29" s="10">
        <f t="shared" si="98"/>
        <v>0</v>
      </c>
      <c r="HU29" s="10">
        <f t="shared" si="99"/>
        <v>11.403508771929824</v>
      </c>
      <c r="HV29" s="10">
        <f t="shared" si="100"/>
        <v>0</v>
      </c>
      <c r="HW29" s="10">
        <f t="shared" si="101"/>
        <v>0</v>
      </c>
      <c r="HX29" s="10">
        <f t="shared" si="102"/>
        <v>0</v>
      </c>
      <c r="HY29" s="10">
        <f t="shared" si="103"/>
        <v>0</v>
      </c>
      <c r="HZ29" s="10">
        <f t="shared" si="104"/>
        <v>0</v>
      </c>
      <c r="IA29" s="10">
        <f t="shared" si="105"/>
        <v>11.403508771929824</v>
      </c>
      <c r="IB29" s="10">
        <f t="shared" si="106"/>
        <v>0</v>
      </c>
      <c r="IC29" s="10">
        <f t="shared" si="107"/>
        <v>11.403508771929824</v>
      </c>
      <c r="ID29" s="10">
        <f t="shared" si="108"/>
        <v>0</v>
      </c>
      <c r="IE29" s="10">
        <f t="shared" si="109"/>
        <v>0</v>
      </c>
      <c r="IF29" s="10">
        <f t="shared" si="110"/>
        <v>0</v>
      </c>
      <c r="IG29" s="10">
        <f t="shared" si="111"/>
        <v>0</v>
      </c>
      <c r="IH29" s="10">
        <f t="shared" si="112"/>
        <v>0</v>
      </c>
      <c r="II29" s="10">
        <f t="shared" si="113"/>
        <v>0</v>
      </c>
      <c r="IJ29" s="10">
        <f t="shared" si="114"/>
        <v>0</v>
      </c>
      <c r="IK29" s="10">
        <f t="shared" si="115"/>
        <v>0</v>
      </c>
      <c r="IL29" s="10">
        <f t="shared" si="116"/>
        <v>0</v>
      </c>
      <c r="IM29" s="10">
        <f t="shared" si="117"/>
        <v>0</v>
      </c>
      <c r="IN29" s="10">
        <f t="shared" si="118"/>
        <v>11.403508771929824</v>
      </c>
      <c r="IO29" s="10">
        <f t="shared" si="119"/>
        <v>34.210526315789473</v>
      </c>
      <c r="IP29" s="10">
        <f t="shared" si="120"/>
        <v>0</v>
      </c>
      <c r="IQ29" s="10">
        <f t="shared" si="121"/>
        <v>0</v>
      </c>
      <c r="IR29" s="10">
        <f t="shared" si="122"/>
        <v>11.403508771929824</v>
      </c>
      <c r="IS29" s="10">
        <f t="shared" si="123"/>
        <v>0</v>
      </c>
      <c r="IT29" s="10">
        <f t="shared" si="124"/>
        <v>0</v>
      </c>
      <c r="IU29" s="10">
        <f t="shared" si="125"/>
        <v>0</v>
      </c>
      <c r="IV29" s="10">
        <f t="shared" si="126"/>
        <v>0</v>
      </c>
      <c r="IW29" s="10">
        <f t="shared" si="127"/>
        <v>11.403508771929824</v>
      </c>
      <c r="IX29" s="10">
        <f t="shared" si="128"/>
        <v>0</v>
      </c>
      <c r="IY29" s="10">
        <f t="shared" si="129"/>
        <v>0</v>
      </c>
      <c r="IZ29" s="10">
        <f t="shared" si="130"/>
        <v>0</v>
      </c>
      <c r="JA29" s="10">
        <f t="shared" si="131"/>
        <v>0</v>
      </c>
      <c r="JB29" s="10">
        <f t="shared" si="132"/>
        <v>0</v>
      </c>
      <c r="JC29" s="10">
        <f t="shared" si="133"/>
        <v>0</v>
      </c>
      <c r="JD29" s="10">
        <f t="shared" si="134"/>
        <v>0</v>
      </c>
      <c r="JE29" s="10">
        <f t="shared" si="135"/>
        <v>0</v>
      </c>
      <c r="JF29" s="10">
        <f t="shared" si="136"/>
        <v>0</v>
      </c>
      <c r="JG29" s="10">
        <v>0</v>
      </c>
      <c r="JH29" s="10">
        <f t="shared" si="137"/>
        <v>0</v>
      </c>
      <c r="JI29" s="10">
        <f t="shared" si="138"/>
        <v>0</v>
      </c>
      <c r="JJ29" s="10">
        <f t="shared" si="139"/>
        <v>0</v>
      </c>
      <c r="JK29" s="10">
        <f t="shared" si="140"/>
        <v>0</v>
      </c>
      <c r="JL29" s="10">
        <f t="shared" si="141"/>
        <v>0</v>
      </c>
      <c r="JM29" s="10">
        <f t="shared" si="142"/>
        <v>0</v>
      </c>
      <c r="JN29" s="10">
        <f t="shared" si="143"/>
        <v>0</v>
      </c>
      <c r="JO29" s="10">
        <f t="shared" si="144"/>
        <v>0</v>
      </c>
      <c r="JP29" s="10">
        <f t="shared" si="145"/>
        <v>0</v>
      </c>
      <c r="JQ29" s="10">
        <f t="shared" si="146"/>
        <v>0</v>
      </c>
      <c r="JR29" s="10">
        <f t="shared" si="147"/>
        <v>11.403508771929824</v>
      </c>
      <c r="JS29" s="10">
        <f t="shared" si="148"/>
        <v>0</v>
      </c>
      <c r="JT29" s="10">
        <f t="shared" si="149"/>
        <v>11.403508771929824</v>
      </c>
      <c r="JU29" s="10">
        <f t="shared" si="150"/>
        <v>0</v>
      </c>
      <c r="JV29" s="10">
        <f t="shared" si="151"/>
        <v>0</v>
      </c>
      <c r="JW29" s="10">
        <f t="shared" si="152"/>
        <v>0</v>
      </c>
      <c r="JX29" s="10">
        <f t="shared" si="153"/>
        <v>0</v>
      </c>
      <c r="JY29" s="10">
        <f t="shared" si="154"/>
        <v>0</v>
      </c>
      <c r="JZ29" s="10">
        <f t="shared" si="155"/>
        <v>0</v>
      </c>
      <c r="KA29" s="10">
        <f t="shared" si="156"/>
        <v>0</v>
      </c>
      <c r="KB29" s="10">
        <f t="shared" si="157"/>
        <v>228.07017543859646</v>
      </c>
      <c r="KC29" s="10">
        <f t="shared" si="158"/>
        <v>0</v>
      </c>
      <c r="KD29" s="10">
        <f t="shared" si="159"/>
        <v>0</v>
      </c>
      <c r="KE29" s="10">
        <f t="shared" si="160"/>
        <v>0</v>
      </c>
      <c r="KF29" s="10">
        <f t="shared" si="161"/>
        <v>0</v>
      </c>
      <c r="KG29" s="10">
        <f t="shared" si="162"/>
        <v>0</v>
      </c>
      <c r="KH29" s="10">
        <f t="shared" si="163"/>
        <v>11.403508771929824</v>
      </c>
      <c r="KI29" s="10">
        <f t="shared" si="164"/>
        <v>0</v>
      </c>
      <c r="KJ29" s="10">
        <f t="shared" si="165"/>
        <v>0</v>
      </c>
      <c r="KK29" s="10">
        <f t="shared" si="166"/>
        <v>0</v>
      </c>
      <c r="KL29" s="10">
        <f t="shared" si="167"/>
        <v>11.403508771929824</v>
      </c>
      <c r="KM29" s="10">
        <f t="shared" si="168"/>
        <v>0</v>
      </c>
      <c r="KN29" s="10">
        <f t="shared" si="169"/>
        <v>91.228070175438589</v>
      </c>
      <c r="KO29" s="10">
        <f t="shared" si="170"/>
        <v>0</v>
      </c>
      <c r="KP29" s="10">
        <f t="shared" si="171"/>
        <v>0</v>
      </c>
      <c r="KQ29" s="11">
        <v>1300.0000000000005</v>
      </c>
      <c r="KR29" s="16"/>
      <c r="KS29" s="12">
        <v>6545.9795326523717</v>
      </c>
      <c r="KT29" s="26">
        <v>87</v>
      </c>
      <c r="KU29" s="26">
        <v>0.95402298850574707</v>
      </c>
      <c r="KV29" s="26">
        <v>1</v>
      </c>
      <c r="KW29" s="26">
        <v>-15.39</v>
      </c>
      <c r="KX29" s="26">
        <v>10.97</v>
      </c>
      <c r="KY29" s="26">
        <v>2.92</v>
      </c>
      <c r="KZ29" s="26">
        <v>3.4</v>
      </c>
      <c r="LA29" s="17"/>
      <c r="LB29" s="2">
        <v>3316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2232</v>
      </c>
      <c r="LM29" s="1">
        <v>72</v>
      </c>
      <c r="LN29" s="1">
        <v>136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40</v>
      </c>
      <c r="LU29" s="1">
        <v>0</v>
      </c>
      <c r="LV29" s="1">
        <v>0</v>
      </c>
      <c r="LW29" s="1">
        <v>120</v>
      </c>
      <c r="LX29" s="1">
        <v>0</v>
      </c>
      <c r="LY29" s="1">
        <v>0</v>
      </c>
      <c r="LZ29" s="1">
        <v>4</v>
      </c>
      <c r="MA29" s="1">
        <v>8</v>
      </c>
      <c r="MB29" s="1">
        <v>0</v>
      </c>
      <c r="MC29" s="1">
        <v>0</v>
      </c>
      <c r="MD29" s="1">
        <v>704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28"/>
      <c r="ML29" t="s">
        <v>845</v>
      </c>
      <c r="MM29" t="s">
        <v>236</v>
      </c>
      <c r="MN29" t="s">
        <v>320</v>
      </c>
      <c r="MO29" t="s">
        <v>337</v>
      </c>
      <c r="MP29" t="s">
        <v>338</v>
      </c>
      <c r="MQ29" t="s">
        <v>339</v>
      </c>
      <c r="MR29">
        <v>0.1</v>
      </c>
      <c r="MS29" t="s">
        <v>236</v>
      </c>
      <c r="MT29" t="s">
        <v>237</v>
      </c>
      <c r="MU29" t="s">
        <v>238</v>
      </c>
      <c r="MV29">
        <v>2170</v>
      </c>
      <c r="MW29" s="13">
        <v>420</v>
      </c>
      <c r="MX29" s="13" t="s">
        <v>239</v>
      </c>
      <c r="MY29" t="s">
        <v>240</v>
      </c>
      <c r="MZ29" t="s">
        <v>241</v>
      </c>
      <c r="NA29" t="s">
        <v>242</v>
      </c>
      <c r="NB29" t="s">
        <v>243</v>
      </c>
      <c r="ND29" s="18">
        <v>43278</v>
      </c>
      <c r="NE29" s="19">
        <v>2.0833333333333333E-3</v>
      </c>
      <c r="NF29" t="s">
        <v>244</v>
      </c>
      <c r="NG29" t="s">
        <v>245</v>
      </c>
      <c r="NH29" t="s">
        <v>246</v>
      </c>
      <c r="NI29">
        <v>91</v>
      </c>
      <c r="NJ29" t="s">
        <v>244</v>
      </c>
      <c r="NK29">
        <v>2</v>
      </c>
      <c r="NL29" t="s">
        <v>247</v>
      </c>
      <c r="NM29">
        <v>29.614260000000002</v>
      </c>
      <c r="NN29">
        <v>-84.956339999999997</v>
      </c>
      <c r="NO29" t="s">
        <v>248</v>
      </c>
      <c r="NP29" t="s">
        <v>249</v>
      </c>
      <c r="NQ29">
        <v>12</v>
      </c>
      <c r="NR29" t="s">
        <v>247</v>
      </c>
      <c r="NS29">
        <v>982000410601498</v>
      </c>
      <c r="NT29" t="s">
        <v>244</v>
      </c>
      <c r="NU29" t="s">
        <v>244</v>
      </c>
      <c r="NV29" t="s">
        <v>248</v>
      </c>
      <c r="NW29" t="s">
        <v>237</v>
      </c>
      <c r="NX29" t="s">
        <v>238</v>
      </c>
      <c r="NY29">
        <v>95.8</v>
      </c>
      <c r="NZ29">
        <v>94.1</v>
      </c>
      <c r="OA29">
        <v>87</v>
      </c>
      <c r="OB29" s="14">
        <v>6545.9795326523717</v>
      </c>
      <c r="OC29" t="s">
        <v>248</v>
      </c>
      <c r="OD29" t="s">
        <v>247</v>
      </c>
      <c r="OE29" t="s">
        <v>248</v>
      </c>
      <c r="OF29" t="s">
        <v>250</v>
      </c>
      <c r="OG29" t="s">
        <v>247</v>
      </c>
      <c r="OH29">
        <v>4</v>
      </c>
      <c r="OI29" t="s">
        <v>237</v>
      </c>
      <c r="OJ29" t="s">
        <v>251</v>
      </c>
      <c r="OK29">
        <v>87</v>
      </c>
      <c r="OL29">
        <v>0.95402298850574707</v>
      </c>
      <c r="OM29">
        <v>1</v>
      </c>
      <c r="ON29">
        <v>-15.39</v>
      </c>
      <c r="OO29">
        <v>10.97</v>
      </c>
      <c r="OP29">
        <v>2.92</v>
      </c>
      <c r="OQ29">
        <v>3.4</v>
      </c>
      <c r="OR29" t="s">
        <v>909</v>
      </c>
      <c r="OS29" t="s">
        <v>909</v>
      </c>
    </row>
    <row r="30" spans="1:409" x14ac:dyDescent="0.25">
      <c r="A30">
        <v>29</v>
      </c>
      <c r="B30" s="1">
        <v>170</v>
      </c>
      <c r="C30" s="1">
        <v>53</v>
      </c>
      <c r="D30" s="1">
        <v>38</v>
      </c>
      <c r="E30" s="1">
        <v>2</v>
      </c>
      <c r="F30" s="1">
        <v>75</v>
      </c>
      <c r="G30" s="1">
        <v>31</v>
      </c>
      <c r="H30" s="1">
        <v>2</v>
      </c>
      <c r="I30" s="1">
        <v>3</v>
      </c>
      <c r="J30" s="1">
        <v>9</v>
      </c>
      <c r="K30" s="1">
        <v>2</v>
      </c>
      <c r="L30" s="1">
        <v>0</v>
      </c>
      <c r="M30" s="1">
        <v>0</v>
      </c>
      <c r="N30" s="1">
        <v>16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2">
        <v>401</v>
      </c>
      <c r="Y30" s="3"/>
      <c r="Z30" s="15">
        <f t="shared" si="0"/>
        <v>12.394393057844752</v>
      </c>
      <c r="AA30" s="15">
        <f t="shared" si="1"/>
        <v>3.8641343062692468</v>
      </c>
      <c r="AB30" s="15">
        <f t="shared" si="2"/>
        <v>2.7705113894005917</v>
      </c>
      <c r="AC30" s="15">
        <f t="shared" si="3"/>
        <v>0.14581638891582063</v>
      </c>
      <c r="AD30" s="15">
        <f t="shared" si="4"/>
        <v>5.4681145843432732</v>
      </c>
      <c r="AE30" s="15">
        <f t="shared" si="5"/>
        <v>2.2601540281952199</v>
      </c>
      <c r="AF30" s="15">
        <f t="shared" si="6"/>
        <v>0.14581638891582063</v>
      </c>
      <c r="AG30" s="15">
        <f t="shared" si="7"/>
        <v>0.21872458337373096</v>
      </c>
      <c r="AH30" s="15">
        <f t="shared" si="8"/>
        <v>0.65617375012119283</v>
      </c>
      <c r="AI30" s="15">
        <f t="shared" si="9"/>
        <v>0.14581638891582063</v>
      </c>
      <c r="AJ30" s="15">
        <f t="shared" si="10"/>
        <v>0</v>
      </c>
      <c r="AK30" s="15">
        <f t="shared" si="11"/>
        <v>0</v>
      </c>
      <c r="AL30" s="15">
        <f t="shared" si="12"/>
        <v>1.1665311113265651</v>
      </c>
      <c r="AM30" s="15">
        <f t="shared" si="13"/>
        <v>0</v>
      </c>
      <c r="AN30" s="15">
        <f t="shared" si="14"/>
        <v>0</v>
      </c>
      <c r="AO30" s="15">
        <f t="shared" si="15"/>
        <v>0</v>
      </c>
      <c r="AP30" s="15">
        <f t="shared" si="16"/>
        <v>0</v>
      </c>
      <c r="AQ30" s="15">
        <f t="shared" si="17"/>
        <v>0</v>
      </c>
      <c r="AR30" s="15">
        <f t="shared" si="18"/>
        <v>0</v>
      </c>
      <c r="AS30" s="15">
        <f t="shared" si="19"/>
        <v>0</v>
      </c>
      <c r="AT30" s="15">
        <f t="shared" si="20"/>
        <v>0</v>
      </c>
      <c r="AU30" s="15">
        <f t="shared" si="21"/>
        <v>0</v>
      </c>
      <c r="AV30" s="5">
        <f t="shared" si="22"/>
        <v>29.236185977622036</v>
      </c>
      <c r="AW30" s="16"/>
      <c r="AX30" s="6">
        <v>8500</v>
      </c>
      <c r="AY30" s="6">
        <v>2650</v>
      </c>
      <c r="AZ30" s="6">
        <v>1900</v>
      </c>
      <c r="BA30" s="6">
        <v>100</v>
      </c>
      <c r="BB30" s="6">
        <v>3750</v>
      </c>
      <c r="BC30" s="6">
        <v>1550</v>
      </c>
      <c r="BD30" s="6">
        <v>100</v>
      </c>
      <c r="BE30" s="6">
        <v>150</v>
      </c>
      <c r="BF30" s="6">
        <v>450</v>
      </c>
      <c r="BG30" s="6">
        <v>100</v>
      </c>
      <c r="BH30" s="6">
        <v>0</v>
      </c>
      <c r="BI30" s="6">
        <v>0</v>
      </c>
      <c r="BJ30" s="6">
        <v>800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7">
        <v>20050</v>
      </c>
      <c r="BU30" s="16"/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7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3</v>
      </c>
      <c r="CY30" s="8">
        <v>1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1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5</v>
      </c>
      <c r="EL30" s="8">
        <v>0</v>
      </c>
      <c r="EM30" s="8">
        <v>0</v>
      </c>
      <c r="EN30" s="8">
        <v>0</v>
      </c>
      <c r="EO30" s="8">
        <v>0</v>
      </c>
      <c r="EP30" s="8">
        <v>1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5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11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2</v>
      </c>
      <c r="FT30" s="8">
        <v>0</v>
      </c>
      <c r="FU30" s="8">
        <v>86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2</v>
      </c>
      <c r="GB30" s="8">
        <v>1</v>
      </c>
      <c r="GC30" s="8">
        <v>0</v>
      </c>
      <c r="GD30" s="8">
        <v>0</v>
      </c>
      <c r="GE30" s="8">
        <v>0</v>
      </c>
      <c r="GF30" s="9">
        <v>125</v>
      </c>
      <c r="GG30" s="3"/>
      <c r="GH30" s="10">
        <f t="shared" si="60"/>
        <v>0</v>
      </c>
      <c r="GI30" s="10">
        <f t="shared" si="61"/>
        <v>0</v>
      </c>
      <c r="GJ30" s="10">
        <f t="shared" si="62"/>
        <v>0</v>
      </c>
      <c r="GK30" s="10">
        <f t="shared" si="63"/>
        <v>0</v>
      </c>
      <c r="GL30" s="10">
        <f t="shared" si="64"/>
        <v>0</v>
      </c>
      <c r="GM30" s="10">
        <f t="shared" si="65"/>
        <v>0</v>
      </c>
      <c r="GN30" s="10">
        <f t="shared" si="66"/>
        <v>0</v>
      </c>
      <c r="GO30" s="10">
        <f t="shared" si="67"/>
        <v>0</v>
      </c>
      <c r="GP30" s="10">
        <f t="shared" si="68"/>
        <v>0</v>
      </c>
      <c r="GQ30" s="10">
        <f t="shared" si="69"/>
        <v>0</v>
      </c>
      <c r="GR30" s="10">
        <f t="shared" si="70"/>
        <v>0</v>
      </c>
      <c r="GS30" s="10">
        <f t="shared" si="71"/>
        <v>0</v>
      </c>
      <c r="GT30" s="10">
        <f t="shared" si="72"/>
        <v>0</v>
      </c>
      <c r="GU30" s="10">
        <f t="shared" si="73"/>
        <v>0</v>
      </c>
      <c r="GV30" s="10">
        <f t="shared" si="74"/>
        <v>0</v>
      </c>
      <c r="GW30" s="10">
        <f t="shared" si="75"/>
        <v>0</v>
      </c>
      <c r="GX30" s="10">
        <f t="shared" si="76"/>
        <v>0</v>
      </c>
      <c r="GY30" s="10">
        <f t="shared" si="77"/>
        <v>0</v>
      </c>
      <c r="GZ30" s="10">
        <f t="shared" si="78"/>
        <v>0</v>
      </c>
      <c r="HA30" s="10">
        <f t="shared" si="79"/>
        <v>0</v>
      </c>
      <c r="HB30" s="10">
        <f t="shared" si="80"/>
        <v>0</v>
      </c>
      <c r="HC30" s="10">
        <f t="shared" si="81"/>
        <v>0</v>
      </c>
      <c r="HD30" s="10">
        <f t="shared" si="82"/>
        <v>476</v>
      </c>
      <c r="HE30" s="10">
        <f t="shared" si="83"/>
        <v>0</v>
      </c>
      <c r="HF30" s="10">
        <f t="shared" si="84"/>
        <v>0</v>
      </c>
      <c r="HG30" s="10">
        <f t="shared" si="85"/>
        <v>0</v>
      </c>
      <c r="HH30" s="10">
        <f t="shared" si="86"/>
        <v>0</v>
      </c>
      <c r="HI30" s="10">
        <f t="shared" si="87"/>
        <v>0</v>
      </c>
      <c r="HJ30" s="10">
        <f t="shared" si="88"/>
        <v>204</v>
      </c>
      <c r="HK30" s="10">
        <f t="shared" si="89"/>
        <v>68</v>
      </c>
      <c r="HL30" s="10">
        <f t="shared" si="90"/>
        <v>0</v>
      </c>
      <c r="HM30" s="10">
        <f t="shared" si="91"/>
        <v>0</v>
      </c>
      <c r="HN30" s="10">
        <f t="shared" si="92"/>
        <v>0</v>
      </c>
      <c r="HO30" s="10">
        <f t="shared" si="93"/>
        <v>0</v>
      </c>
      <c r="HP30" s="10">
        <f t="shared" si="94"/>
        <v>0</v>
      </c>
      <c r="HQ30" s="10">
        <f t="shared" si="95"/>
        <v>0</v>
      </c>
      <c r="HR30" s="10">
        <f t="shared" si="96"/>
        <v>0</v>
      </c>
      <c r="HS30" s="10">
        <f t="shared" si="97"/>
        <v>0</v>
      </c>
      <c r="HT30" s="10">
        <f t="shared" si="98"/>
        <v>0</v>
      </c>
      <c r="HU30" s="10">
        <f t="shared" si="99"/>
        <v>0</v>
      </c>
      <c r="HV30" s="10">
        <f t="shared" si="100"/>
        <v>0</v>
      </c>
      <c r="HW30" s="10">
        <f t="shared" si="101"/>
        <v>0</v>
      </c>
      <c r="HX30" s="10">
        <f t="shared" si="102"/>
        <v>0</v>
      </c>
      <c r="HY30" s="10">
        <f t="shared" si="103"/>
        <v>0</v>
      </c>
      <c r="HZ30" s="10">
        <f t="shared" si="104"/>
        <v>0</v>
      </c>
      <c r="IA30" s="10">
        <f t="shared" si="105"/>
        <v>0</v>
      </c>
      <c r="IB30" s="10">
        <f t="shared" si="106"/>
        <v>0</v>
      </c>
      <c r="IC30" s="10">
        <f t="shared" si="107"/>
        <v>0</v>
      </c>
      <c r="ID30" s="10">
        <f t="shared" si="108"/>
        <v>68</v>
      </c>
      <c r="IE30" s="10">
        <f t="shared" si="109"/>
        <v>0</v>
      </c>
      <c r="IF30" s="10">
        <f t="shared" si="110"/>
        <v>0</v>
      </c>
      <c r="IG30" s="10">
        <f t="shared" si="111"/>
        <v>0</v>
      </c>
      <c r="IH30" s="10">
        <f t="shared" si="112"/>
        <v>0</v>
      </c>
      <c r="II30" s="10">
        <f t="shared" si="113"/>
        <v>0</v>
      </c>
      <c r="IJ30" s="10">
        <f t="shared" si="114"/>
        <v>0</v>
      </c>
      <c r="IK30" s="10">
        <f t="shared" si="115"/>
        <v>0</v>
      </c>
      <c r="IL30" s="10">
        <f t="shared" si="116"/>
        <v>0</v>
      </c>
      <c r="IM30" s="10">
        <f t="shared" si="117"/>
        <v>0</v>
      </c>
      <c r="IN30" s="10">
        <f t="shared" si="118"/>
        <v>0</v>
      </c>
      <c r="IO30" s="10">
        <f t="shared" si="119"/>
        <v>0</v>
      </c>
      <c r="IP30" s="10">
        <f t="shared" si="120"/>
        <v>0</v>
      </c>
      <c r="IQ30" s="10">
        <f t="shared" si="121"/>
        <v>0</v>
      </c>
      <c r="IR30" s="10">
        <f t="shared" si="122"/>
        <v>0</v>
      </c>
      <c r="IS30" s="10">
        <f t="shared" si="123"/>
        <v>0</v>
      </c>
      <c r="IT30" s="10">
        <f t="shared" si="124"/>
        <v>0</v>
      </c>
      <c r="IU30" s="10">
        <f t="shared" si="125"/>
        <v>0</v>
      </c>
      <c r="IV30" s="10">
        <f t="shared" si="126"/>
        <v>0</v>
      </c>
      <c r="IW30" s="10">
        <f t="shared" si="127"/>
        <v>340</v>
      </c>
      <c r="IX30" s="10">
        <f t="shared" si="128"/>
        <v>0</v>
      </c>
      <c r="IY30" s="10">
        <f t="shared" si="129"/>
        <v>0</v>
      </c>
      <c r="IZ30" s="10">
        <f t="shared" si="130"/>
        <v>0</v>
      </c>
      <c r="JA30" s="10">
        <f t="shared" si="131"/>
        <v>0</v>
      </c>
      <c r="JB30" s="10">
        <f t="shared" si="132"/>
        <v>68</v>
      </c>
      <c r="JC30" s="10">
        <f t="shared" si="133"/>
        <v>0</v>
      </c>
      <c r="JD30" s="10">
        <f t="shared" si="134"/>
        <v>0</v>
      </c>
      <c r="JE30" s="10">
        <f t="shared" si="135"/>
        <v>0</v>
      </c>
      <c r="JF30" s="10">
        <f t="shared" si="136"/>
        <v>0</v>
      </c>
      <c r="JG30" s="10">
        <v>0</v>
      </c>
      <c r="JH30" s="10">
        <f t="shared" si="137"/>
        <v>0</v>
      </c>
      <c r="JI30" s="10">
        <f t="shared" si="138"/>
        <v>0</v>
      </c>
      <c r="JJ30" s="10">
        <f t="shared" si="139"/>
        <v>0</v>
      </c>
      <c r="JK30" s="10">
        <f t="shared" si="140"/>
        <v>0</v>
      </c>
      <c r="JL30" s="10">
        <f t="shared" si="141"/>
        <v>0</v>
      </c>
      <c r="JM30" s="10">
        <f t="shared" si="142"/>
        <v>0</v>
      </c>
      <c r="JN30" s="10">
        <f t="shared" si="143"/>
        <v>340</v>
      </c>
      <c r="JO30" s="10">
        <f t="shared" si="144"/>
        <v>0</v>
      </c>
      <c r="JP30" s="10">
        <f t="shared" si="145"/>
        <v>0</v>
      </c>
      <c r="JQ30" s="10">
        <f t="shared" si="146"/>
        <v>0</v>
      </c>
      <c r="JR30" s="10">
        <f t="shared" si="147"/>
        <v>0</v>
      </c>
      <c r="JS30" s="10">
        <f t="shared" si="148"/>
        <v>0</v>
      </c>
      <c r="JT30" s="10">
        <f t="shared" si="149"/>
        <v>0</v>
      </c>
      <c r="JU30" s="10">
        <f t="shared" si="150"/>
        <v>0</v>
      </c>
      <c r="JV30" s="10">
        <f t="shared" si="151"/>
        <v>0</v>
      </c>
      <c r="JW30" s="10">
        <f t="shared" si="152"/>
        <v>0</v>
      </c>
      <c r="JX30" s="10">
        <f t="shared" si="153"/>
        <v>748</v>
      </c>
      <c r="JY30" s="10">
        <f t="shared" si="154"/>
        <v>0</v>
      </c>
      <c r="JZ30" s="10">
        <f t="shared" si="155"/>
        <v>0</v>
      </c>
      <c r="KA30" s="10">
        <f t="shared" si="156"/>
        <v>0</v>
      </c>
      <c r="KB30" s="10">
        <f t="shared" si="157"/>
        <v>0</v>
      </c>
      <c r="KC30" s="10">
        <f t="shared" si="158"/>
        <v>0</v>
      </c>
      <c r="KD30" s="10">
        <f t="shared" si="159"/>
        <v>136</v>
      </c>
      <c r="KE30" s="10">
        <f t="shared" si="160"/>
        <v>0</v>
      </c>
      <c r="KF30" s="10">
        <f t="shared" si="161"/>
        <v>5847.9999999999991</v>
      </c>
      <c r="KG30" s="10">
        <f t="shared" si="162"/>
        <v>0</v>
      </c>
      <c r="KH30" s="10">
        <f t="shared" si="163"/>
        <v>0</v>
      </c>
      <c r="KI30" s="10">
        <f t="shared" si="164"/>
        <v>0</v>
      </c>
      <c r="KJ30" s="10">
        <f t="shared" si="165"/>
        <v>0</v>
      </c>
      <c r="KK30" s="10">
        <f t="shared" si="166"/>
        <v>0</v>
      </c>
      <c r="KL30" s="10">
        <f t="shared" si="167"/>
        <v>136</v>
      </c>
      <c r="KM30" s="10">
        <f t="shared" si="168"/>
        <v>68</v>
      </c>
      <c r="KN30" s="10">
        <f t="shared" si="169"/>
        <v>0</v>
      </c>
      <c r="KO30" s="10">
        <f t="shared" si="170"/>
        <v>0</v>
      </c>
      <c r="KP30" s="10">
        <f t="shared" si="171"/>
        <v>0</v>
      </c>
      <c r="KQ30" s="11">
        <v>8500</v>
      </c>
      <c r="KR30" s="16"/>
      <c r="KS30" s="12">
        <v>6857.9396831538397</v>
      </c>
      <c r="KT30" s="26">
        <v>150</v>
      </c>
      <c r="KU30" s="26">
        <v>0.89333333333333331</v>
      </c>
      <c r="KV30" s="26">
        <v>0.96268656716417911</v>
      </c>
      <c r="KW30" s="26">
        <v>-17.100000000000001</v>
      </c>
      <c r="KX30" s="26">
        <v>15.45</v>
      </c>
      <c r="KY30" s="27">
        <v>2.9505341978261703</v>
      </c>
      <c r="KZ30" s="27">
        <v>3.4418804422601701</v>
      </c>
      <c r="LA30" s="17"/>
      <c r="LB30" s="2">
        <v>528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366</v>
      </c>
      <c r="LM30" s="1">
        <v>6</v>
      </c>
      <c r="LN30" s="1">
        <v>92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64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28"/>
      <c r="ML30" t="s">
        <v>846</v>
      </c>
      <c r="MM30" t="s">
        <v>341</v>
      </c>
      <c r="MN30" t="s">
        <v>320</v>
      </c>
      <c r="MO30" t="s">
        <v>321</v>
      </c>
      <c r="MP30" t="s">
        <v>322</v>
      </c>
      <c r="MQ30" t="s">
        <v>323</v>
      </c>
      <c r="MR30">
        <v>0.02</v>
      </c>
      <c r="MS30" t="s">
        <v>342</v>
      </c>
      <c r="MT30" t="s">
        <v>343</v>
      </c>
      <c r="MU30" t="s">
        <v>344</v>
      </c>
      <c r="MV30">
        <v>20050</v>
      </c>
      <c r="MW30" s="13">
        <v>358</v>
      </c>
      <c r="MX30" s="13" t="s">
        <v>345</v>
      </c>
      <c r="MY30" t="s">
        <v>240</v>
      </c>
      <c r="MZ30" t="s">
        <v>241</v>
      </c>
      <c r="NA30" t="s">
        <v>242</v>
      </c>
      <c r="NB30" t="s">
        <v>297</v>
      </c>
      <c r="NC30" t="s">
        <v>346</v>
      </c>
      <c r="ND30" s="18">
        <v>43269</v>
      </c>
      <c r="NE30" s="19">
        <v>0.96597222222222223</v>
      </c>
      <c r="NF30" t="s">
        <v>244</v>
      </c>
      <c r="NG30" t="s">
        <v>245</v>
      </c>
      <c r="NH30" t="s">
        <v>246</v>
      </c>
      <c r="NI30">
        <v>84.5</v>
      </c>
      <c r="NJ30" t="s">
        <v>244</v>
      </c>
      <c r="NK30">
        <v>4</v>
      </c>
      <c r="NL30" t="s">
        <v>247</v>
      </c>
      <c r="NM30">
        <v>29.63006</v>
      </c>
      <c r="NN30">
        <v>-84.925740000000005</v>
      </c>
      <c r="NO30" t="s">
        <v>248</v>
      </c>
      <c r="NP30" t="s">
        <v>249</v>
      </c>
      <c r="NQ30" t="s">
        <v>244</v>
      </c>
      <c r="NR30" t="s">
        <v>247</v>
      </c>
      <c r="NS30">
        <v>982000410604668</v>
      </c>
      <c r="NT30" t="s">
        <v>248</v>
      </c>
      <c r="NU30" t="s">
        <v>248</v>
      </c>
      <c r="NV30" t="s">
        <v>248</v>
      </c>
      <c r="NW30" t="s">
        <v>343</v>
      </c>
      <c r="NX30" t="s">
        <v>344</v>
      </c>
      <c r="NY30">
        <v>99</v>
      </c>
      <c r="NZ30">
        <v>98.4</v>
      </c>
      <c r="OA30">
        <v>88.2</v>
      </c>
      <c r="OB30" s="14">
        <v>6857.9396831538397</v>
      </c>
      <c r="OC30" t="s">
        <v>248</v>
      </c>
      <c r="OD30" t="s">
        <v>247</v>
      </c>
      <c r="OE30" t="s">
        <v>248</v>
      </c>
      <c r="OF30" t="s">
        <v>244</v>
      </c>
      <c r="OG30" t="s">
        <v>247</v>
      </c>
      <c r="OH30">
        <v>11</v>
      </c>
      <c r="OI30" t="s">
        <v>343</v>
      </c>
      <c r="OJ30" t="s">
        <v>346</v>
      </c>
      <c r="OK30">
        <v>150</v>
      </c>
      <c r="OL30">
        <v>0.89333333333333331</v>
      </c>
      <c r="OM30">
        <v>0.96268656716417911</v>
      </c>
      <c r="ON30">
        <v>-17.100000000000001</v>
      </c>
      <c r="OO30">
        <v>15.45</v>
      </c>
      <c r="OP30" s="25">
        <v>2.9505341978261703</v>
      </c>
      <c r="OQ30" s="25">
        <v>3.4418804422601701</v>
      </c>
      <c r="OR30" t="s">
        <v>909</v>
      </c>
      <c r="OS30" t="s">
        <v>909</v>
      </c>
    </row>
    <row r="31" spans="1:409" x14ac:dyDescent="0.25">
      <c r="A31">
        <v>30</v>
      </c>
      <c r="B31" s="1">
        <v>104</v>
      </c>
      <c r="C31" s="1">
        <v>42</v>
      </c>
      <c r="D31" s="1">
        <v>25</v>
      </c>
      <c r="E31" s="1">
        <v>6</v>
      </c>
      <c r="F31" s="1">
        <v>28</v>
      </c>
      <c r="G31" s="1">
        <v>45</v>
      </c>
      <c r="H31" s="1">
        <v>0</v>
      </c>
      <c r="I31" s="1">
        <v>19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2">
        <v>271</v>
      </c>
      <c r="Y31" s="3"/>
      <c r="Z31" s="15">
        <f t="shared" si="0"/>
        <v>7.5824522236226732</v>
      </c>
      <c r="AA31" s="15">
        <f t="shared" si="1"/>
        <v>3.0621441672322329</v>
      </c>
      <c r="AB31" s="15">
        <f t="shared" si="2"/>
        <v>1.8227048614477579</v>
      </c>
      <c r="AC31" s="15">
        <f t="shared" si="3"/>
        <v>0.43744916674746193</v>
      </c>
      <c r="AD31" s="15">
        <f t="shared" si="4"/>
        <v>2.0414294448214889</v>
      </c>
      <c r="AE31" s="15">
        <f t="shared" si="5"/>
        <v>3.2808687506059639</v>
      </c>
      <c r="AF31" s="15">
        <f t="shared" si="6"/>
        <v>0</v>
      </c>
      <c r="AG31" s="15">
        <f t="shared" si="7"/>
        <v>1.3852556947002959</v>
      </c>
      <c r="AH31" s="15">
        <f t="shared" si="8"/>
        <v>0</v>
      </c>
      <c r="AI31" s="15">
        <f t="shared" si="9"/>
        <v>7.2908194457910316E-2</v>
      </c>
      <c r="AJ31" s="15">
        <f t="shared" si="10"/>
        <v>7.2908194457910316E-2</v>
      </c>
      <c r="AK31" s="15">
        <f t="shared" si="11"/>
        <v>0</v>
      </c>
      <c r="AL31" s="15">
        <f t="shared" si="12"/>
        <v>0</v>
      </c>
      <c r="AM31" s="15">
        <f t="shared" si="13"/>
        <v>0</v>
      </c>
      <c r="AN31" s="15">
        <f t="shared" si="14"/>
        <v>0</v>
      </c>
      <c r="AO31" s="15">
        <f t="shared" si="15"/>
        <v>0</v>
      </c>
      <c r="AP31" s="15">
        <f t="shared" si="16"/>
        <v>0</v>
      </c>
      <c r="AQ31" s="15">
        <f t="shared" si="17"/>
        <v>0</v>
      </c>
      <c r="AR31" s="15">
        <f t="shared" si="18"/>
        <v>0</v>
      </c>
      <c r="AS31" s="15">
        <f t="shared" si="19"/>
        <v>0</v>
      </c>
      <c r="AT31" s="15">
        <f t="shared" si="20"/>
        <v>0</v>
      </c>
      <c r="AU31" s="15">
        <f t="shared" si="21"/>
        <v>0</v>
      </c>
      <c r="AV31" s="5">
        <f t="shared" si="22"/>
        <v>19.758120698093695</v>
      </c>
      <c r="AW31" s="16"/>
      <c r="AX31" s="6">
        <v>5200</v>
      </c>
      <c r="AY31" s="6">
        <v>2100</v>
      </c>
      <c r="AZ31" s="6">
        <v>1250</v>
      </c>
      <c r="BA31" s="6">
        <v>300</v>
      </c>
      <c r="BB31" s="6">
        <v>1400</v>
      </c>
      <c r="BC31" s="6">
        <v>2250</v>
      </c>
      <c r="BD31" s="6">
        <v>0</v>
      </c>
      <c r="BE31" s="6">
        <v>950</v>
      </c>
      <c r="BF31" s="6">
        <v>0</v>
      </c>
      <c r="BG31" s="6">
        <v>50</v>
      </c>
      <c r="BH31" s="6">
        <v>50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7">
        <v>13550</v>
      </c>
      <c r="BU31" s="16"/>
      <c r="BV31" s="8">
        <v>0</v>
      </c>
      <c r="BW31" s="8">
        <v>0</v>
      </c>
      <c r="BX31" s="8">
        <v>1</v>
      </c>
      <c r="BY31" s="8">
        <v>1</v>
      </c>
      <c r="BZ31" s="8">
        <v>0</v>
      </c>
      <c r="CA31" s="8">
        <v>0</v>
      </c>
      <c r="CB31" s="8">
        <v>0</v>
      </c>
      <c r="CC31" s="8">
        <v>2</v>
      </c>
      <c r="CD31" s="8">
        <v>0</v>
      </c>
      <c r="CE31" s="8">
        <v>0</v>
      </c>
      <c r="CF31" s="8">
        <v>0</v>
      </c>
      <c r="CG31" s="8">
        <v>0</v>
      </c>
      <c r="CH31" s="8">
        <v>2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1</v>
      </c>
      <c r="CR31" s="8">
        <v>23</v>
      </c>
      <c r="CS31" s="8">
        <v>1</v>
      </c>
      <c r="CT31" s="8">
        <v>1</v>
      </c>
      <c r="CU31" s="8">
        <v>0</v>
      </c>
      <c r="CV31" s="8">
        <v>1</v>
      </c>
      <c r="CW31" s="8">
        <v>0</v>
      </c>
      <c r="CX31" s="8">
        <v>0</v>
      </c>
      <c r="CY31" s="8">
        <v>5</v>
      </c>
      <c r="CZ31" s="8">
        <v>0</v>
      </c>
      <c r="DA31" s="8">
        <v>0</v>
      </c>
      <c r="DB31" s="8">
        <v>1</v>
      </c>
      <c r="DC31" s="8">
        <v>0</v>
      </c>
      <c r="DD31" s="8">
        <v>0</v>
      </c>
      <c r="DE31" s="8">
        <v>0</v>
      </c>
      <c r="DF31" s="8">
        <v>0</v>
      </c>
      <c r="DG31" s="8">
        <v>2</v>
      </c>
      <c r="DH31" s="8">
        <v>0</v>
      </c>
      <c r="DI31" s="8">
        <v>0</v>
      </c>
      <c r="DJ31" s="8">
        <v>11</v>
      </c>
      <c r="DK31" s="8">
        <v>0</v>
      </c>
      <c r="DL31" s="8">
        <v>0</v>
      </c>
      <c r="DM31" s="8">
        <v>1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1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1</v>
      </c>
      <c r="EC31" s="8">
        <v>0</v>
      </c>
      <c r="ED31" s="8">
        <v>5</v>
      </c>
      <c r="EE31" s="8">
        <v>0</v>
      </c>
      <c r="EF31" s="8">
        <v>1</v>
      </c>
      <c r="EG31" s="8">
        <v>0</v>
      </c>
      <c r="EH31" s="8">
        <v>0</v>
      </c>
      <c r="EI31" s="8">
        <v>0</v>
      </c>
      <c r="EJ31" s="8">
        <v>0</v>
      </c>
      <c r="EK31" s="8">
        <v>14.000000000000002</v>
      </c>
      <c r="EL31" s="8">
        <v>0</v>
      </c>
      <c r="EM31" s="8">
        <v>0</v>
      </c>
      <c r="EN31" s="8">
        <v>1</v>
      </c>
      <c r="EO31" s="8">
        <v>1</v>
      </c>
      <c r="EP31" s="8">
        <v>1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3</v>
      </c>
      <c r="FD31" s="8">
        <v>1</v>
      </c>
      <c r="FE31" s="8">
        <v>0</v>
      </c>
      <c r="FF31" s="8">
        <v>1</v>
      </c>
      <c r="FG31" s="8">
        <v>5</v>
      </c>
      <c r="FH31" s="8">
        <v>1</v>
      </c>
      <c r="FI31" s="8">
        <v>3</v>
      </c>
      <c r="FJ31" s="8">
        <v>0</v>
      </c>
      <c r="FK31" s="8">
        <v>0</v>
      </c>
      <c r="FL31" s="8">
        <v>1</v>
      </c>
      <c r="FM31" s="8">
        <v>14.000000000000002</v>
      </c>
      <c r="FN31" s="8">
        <v>1</v>
      </c>
      <c r="FO31" s="8">
        <v>0</v>
      </c>
      <c r="FP31" s="8">
        <v>0</v>
      </c>
      <c r="FQ31" s="8">
        <v>0</v>
      </c>
      <c r="FR31" s="8">
        <v>0</v>
      </c>
      <c r="FS31" s="8">
        <v>3</v>
      </c>
      <c r="FT31" s="8">
        <v>0</v>
      </c>
      <c r="FU31" s="8">
        <v>12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1</v>
      </c>
      <c r="GD31" s="8">
        <v>0</v>
      </c>
      <c r="GE31" s="8">
        <v>0</v>
      </c>
      <c r="GF31" s="9">
        <v>124</v>
      </c>
      <c r="GG31" s="3"/>
      <c r="GH31" s="10">
        <f t="shared" si="60"/>
        <v>0</v>
      </c>
      <c r="GI31" s="10">
        <f t="shared" si="61"/>
        <v>0</v>
      </c>
      <c r="GJ31" s="10">
        <f t="shared" si="62"/>
        <v>41.935483870967744</v>
      </c>
      <c r="GK31" s="10">
        <f t="shared" si="63"/>
        <v>41.935483870967744</v>
      </c>
      <c r="GL31" s="10">
        <f t="shared" si="64"/>
        <v>0</v>
      </c>
      <c r="GM31" s="10">
        <f t="shared" si="65"/>
        <v>0</v>
      </c>
      <c r="GN31" s="10">
        <f t="shared" si="66"/>
        <v>0</v>
      </c>
      <c r="GO31" s="10">
        <f t="shared" si="67"/>
        <v>83.870967741935488</v>
      </c>
      <c r="GP31" s="10">
        <f t="shared" si="68"/>
        <v>0</v>
      </c>
      <c r="GQ31" s="10">
        <f t="shared" si="69"/>
        <v>0</v>
      </c>
      <c r="GR31" s="10">
        <f t="shared" si="70"/>
        <v>0</v>
      </c>
      <c r="GS31" s="10">
        <f t="shared" si="71"/>
        <v>0</v>
      </c>
      <c r="GT31" s="10">
        <f t="shared" si="72"/>
        <v>83.870967741935488</v>
      </c>
      <c r="GU31" s="10">
        <f t="shared" si="73"/>
        <v>0</v>
      </c>
      <c r="GV31" s="10">
        <f t="shared" si="74"/>
        <v>0</v>
      </c>
      <c r="GW31" s="10">
        <f t="shared" si="75"/>
        <v>0</v>
      </c>
      <c r="GX31" s="10">
        <f t="shared" si="76"/>
        <v>0</v>
      </c>
      <c r="GY31" s="10">
        <f t="shared" si="77"/>
        <v>0</v>
      </c>
      <c r="GZ31" s="10">
        <f t="shared" si="78"/>
        <v>0</v>
      </c>
      <c r="HA31" s="10">
        <f t="shared" si="79"/>
        <v>0</v>
      </c>
      <c r="HB31" s="10">
        <f t="shared" si="80"/>
        <v>0</v>
      </c>
      <c r="HC31" s="10">
        <f t="shared" si="81"/>
        <v>41.935483870967744</v>
      </c>
      <c r="HD31" s="10">
        <f t="shared" si="82"/>
        <v>964.51612903225805</v>
      </c>
      <c r="HE31" s="10">
        <f t="shared" si="83"/>
        <v>41.935483870967744</v>
      </c>
      <c r="HF31" s="10">
        <f t="shared" si="84"/>
        <v>41.935483870967744</v>
      </c>
      <c r="HG31" s="10">
        <f t="shared" si="85"/>
        <v>0</v>
      </c>
      <c r="HH31" s="10">
        <f t="shared" si="86"/>
        <v>41.935483870967744</v>
      </c>
      <c r="HI31" s="10">
        <f t="shared" si="87"/>
        <v>0</v>
      </c>
      <c r="HJ31" s="10">
        <f t="shared" si="88"/>
        <v>0</v>
      </c>
      <c r="HK31" s="10">
        <f t="shared" si="89"/>
        <v>209.67741935483869</v>
      </c>
      <c r="HL31" s="10">
        <f t="shared" si="90"/>
        <v>0</v>
      </c>
      <c r="HM31" s="10">
        <f t="shared" si="91"/>
        <v>0</v>
      </c>
      <c r="HN31" s="10">
        <f t="shared" si="92"/>
        <v>41.935483870967744</v>
      </c>
      <c r="HO31" s="10">
        <f t="shared" si="93"/>
        <v>0</v>
      </c>
      <c r="HP31" s="10">
        <f t="shared" si="94"/>
        <v>0</v>
      </c>
      <c r="HQ31" s="10">
        <f t="shared" si="95"/>
        <v>0</v>
      </c>
      <c r="HR31" s="10">
        <f t="shared" si="96"/>
        <v>0</v>
      </c>
      <c r="HS31" s="10">
        <f t="shared" si="97"/>
        <v>83.870967741935488</v>
      </c>
      <c r="HT31" s="10">
        <f t="shared" si="98"/>
        <v>0</v>
      </c>
      <c r="HU31" s="10">
        <f t="shared" si="99"/>
        <v>0</v>
      </c>
      <c r="HV31" s="10">
        <f t="shared" si="100"/>
        <v>461.29032258064518</v>
      </c>
      <c r="HW31" s="10">
        <f t="shared" si="101"/>
        <v>0</v>
      </c>
      <c r="HX31" s="10">
        <f t="shared" si="102"/>
        <v>0</v>
      </c>
      <c r="HY31" s="10">
        <f t="shared" si="103"/>
        <v>41.935483870967744</v>
      </c>
      <c r="HZ31" s="10">
        <f t="shared" si="104"/>
        <v>0</v>
      </c>
      <c r="IA31" s="10">
        <f t="shared" si="105"/>
        <v>0</v>
      </c>
      <c r="IB31" s="10">
        <f t="shared" si="106"/>
        <v>0</v>
      </c>
      <c r="IC31" s="10">
        <f t="shared" si="107"/>
        <v>0</v>
      </c>
      <c r="ID31" s="10">
        <f t="shared" si="108"/>
        <v>0</v>
      </c>
      <c r="IE31" s="10">
        <f t="shared" si="109"/>
        <v>41.935483870967744</v>
      </c>
      <c r="IF31" s="10">
        <f t="shared" si="110"/>
        <v>0</v>
      </c>
      <c r="IG31" s="10">
        <f t="shared" si="111"/>
        <v>0</v>
      </c>
      <c r="IH31" s="10">
        <f t="shared" si="112"/>
        <v>0</v>
      </c>
      <c r="II31" s="10">
        <f t="shared" si="113"/>
        <v>0</v>
      </c>
      <c r="IJ31" s="10">
        <f t="shared" si="114"/>
        <v>0</v>
      </c>
      <c r="IK31" s="10">
        <f t="shared" si="115"/>
        <v>0</v>
      </c>
      <c r="IL31" s="10">
        <f t="shared" si="116"/>
        <v>0</v>
      </c>
      <c r="IM31" s="10">
        <f t="shared" si="117"/>
        <v>0</v>
      </c>
      <c r="IN31" s="10">
        <f t="shared" si="118"/>
        <v>41.935483870967744</v>
      </c>
      <c r="IO31" s="10">
        <f t="shared" si="119"/>
        <v>0</v>
      </c>
      <c r="IP31" s="10">
        <f t="shared" si="120"/>
        <v>209.67741935483869</v>
      </c>
      <c r="IQ31" s="10">
        <f t="shared" si="121"/>
        <v>0</v>
      </c>
      <c r="IR31" s="10">
        <f t="shared" si="122"/>
        <v>41.935483870967744</v>
      </c>
      <c r="IS31" s="10">
        <f t="shared" si="123"/>
        <v>0</v>
      </c>
      <c r="IT31" s="10">
        <f t="shared" si="124"/>
        <v>0</v>
      </c>
      <c r="IU31" s="10">
        <f t="shared" si="125"/>
        <v>0</v>
      </c>
      <c r="IV31" s="10">
        <f t="shared" si="126"/>
        <v>0</v>
      </c>
      <c r="IW31" s="10">
        <f t="shared" si="127"/>
        <v>587.09677419354841</v>
      </c>
      <c r="IX31" s="10">
        <f t="shared" si="128"/>
        <v>0</v>
      </c>
      <c r="IY31" s="10">
        <f t="shared" si="129"/>
        <v>0</v>
      </c>
      <c r="IZ31" s="10">
        <f t="shared" si="130"/>
        <v>41.935483870967744</v>
      </c>
      <c r="JA31" s="10">
        <f t="shared" si="131"/>
        <v>41.935483870967744</v>
      </c>
      <c r="JB31" s="10">
        <f t="shared" si="132"/>
        <v>41.935483870967744</v>
      </c>
      <c r="JC31" s="10">
        <f t="shared" si="133"/>
        <v>0</v>
      </c>
      <c r="JD31" s="10">
        <f t="shared" si="134"/>
        <v>0</v>
      </c>
      <c r="JE31" s="10">
        <f t="shared" si="135"/>
        <v>0</v>
      </c>
      <c r="JF31" s="10">
        <f t="shared" si="136"/>
        <v>0</v>
      </c>
      <c r="JG31" s="10">
        <v>0</v>
      </c>
      <c r="JH31" s="10">
        <f t="shared" si="137"/>
        <v>0</v>
      </c>
      <c r="JI31" s="10">
        <f t="shared" si="138"/>
        <v>0</v>
      </c>
      <c r="JJ31" s="10">
        <f t="shared" si="139"/>
        <v>0</v>
      </c>
      <c r="JK31" s="10">
        <f t="shared" si="140"/>
        <v>0</v>
      </c>
      <c r="JL31" s="10">
        <f t="shared" si="141"/>
        <v>0</v>
      </c>
      <c r="JM31" s="10">
        <f t="shared" si="142"/>
        <v>0</v>
      </c>
      <c r="JN31" s="10">
        <f t="shared" si="143"/>
        <v>125.80645161290322</v>
      </c>
      <c r="JO31" s="10">
        <f t="shared" si="144"/>
        <v>41.935483870967744</v>
      </c>
      <c r="JP31" s="10">
        <f t="shared" si="145"/>
        <v>0</v>
      </c>
      <c r="JQ31" s="10">
        <f t="shared" si="146"/>
        <v>41.935483870967744</v>
      </c>
      <c r="JR31" s="10">
        <f t="shared" si="147"/>
        <v>209.67741935483869</v>
      </c>
      <c r="JS31" s="10">
        <f t="shared" si="148"/>
        <v>41.935483870967744</v>
      </c>
      <c r="JT31" s="10">
        <f t="shared" si="149"/>
        <v>125.80645161290322</v>
      </c>
      <c r="JU31" s="10">
        <f t="shared" si="150"/>
        <v>0</v>
      </c>
      <c r="JV31" s="10">
        <f t="shared" si="151"/>
        <v>0</v>
      </c>
      <c r="JW31" s="10">
        <f t="shared" si="152"/>
        <v>41.935483870967744</v>
      </c>
      <c r="JX31" s="10">
        <f t="shared" si="153"/>
        <v>587.09677419354841</v>
      </c>
      <c r="JY31" s="10">
        <f t="shared" si="154"/>
        <v>41.935483870967744</v>
      </c>
      <c r="JZ31" s="10">
        <f t="shared" si="155"/>
        <v>0</v>
      </c>
      <c r="KA31" s="10">
        <f t="shared" si="156"/>
        <v>0</v>
      </c>
      <c r="KB31" s="10">
        <f t="shared" si="157"/>
        <v>0</v>
      </c>
      <c r="KC31" s="10">
        <f t="shared" si="158"/>
        <v>0</v>
      </c>
      <c r="KD31" s="10">
        <f t="shared" si="159"/>
        <v>125.80645161290322</v>
      </c>
      <c r="KE31" s="10">
        <f t="shared" si="160"/>
        <v>0</v>
      </c>
      <c r="KF31" s="10">
        <f t="shared" si="161"/>
        <v>503.22580645161287</v>
      </c>
      <c r="KG31" s="10">
        <f t="shared" si="162"/>
        <v>0</v>
      </c>
      <c r="KH31" s="10">
        <f t="shared" si="163"/>
        <v>0</v>
      </c>
      <c r="KI31" s="10">
        <f t="shared" si="164"/>
        <v>0</v>
      </c>
      <c r="KJ31" s="10">
        <f t="shared" si="165"/>
        <v>0</v>
      </c>
      <c r="KK31" s="10">
        <f t="shared" si="166"/>
        <v>0</v>
      </c>
      <c r="KL31" s="10">
        <f t="shared" si="167"/>
        <v>0</v>
      </c>
      <c r="KM31" s="10">
        <f t="shared" si="168"/>
        <v>0</v>
      </c>
      <c r="KN31" s="10">
        <f t="shared" si="169"/>
        <v>41.935483870967744</v>
      </c>
      <c r="KO31" s="10">
        <f t="shared" si="170"/>
        <v>0</v>
      </c>
      <c r="KP31" s="10">
        <f t="shared" si="171"/>
        <v>0</v>
      </c>
      <c r="KQ31" s="11">
        <v>5200.0000000000009</v>
      </c>
      <c r="KR31" s="16"/>
      <c r="KS31" s="12">
        <v>6857.9396831538397</v>
      </c>
      <c r="KT31" s="26">
        <v>150</v>
      </c>
      <c r="KU31" s="26">
        <v>0.89333333333333331</v>
      </c>
      <c r="KV31" s="26">
        <v>0.96268656716417911</v>
      </c>
      <c r="KW31" s="26">
        <v>-17.100000000000001</v>
      </c>
      <c r="KX31" s="26">
        <v>15.45</v>
      </c>
      <c r="KY31" s="27">
        <v>2.9505341978261703</v>
      </c>
      <c r="KZ31" s="27">
        <v>3.4418804422601701</v>
      </c>
      <c r="LA31" s="17"/>
      <c r="LB31" s="2">
        <v>388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214</v>
      </c>
      <c r="LM31" s="1">
        <v>164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6</v>
      </c>
      <c r="LZ31" s="1">
        <v>0</v>
      </c>
      <c r="MA31" s="1">
        <v>0</v>
      </c>
      <c r="MB31" s="1">
        <v>0</v>
      </c>
      <c r="MC31" s="1">
        <v>0</v>
      </c>
      <c r="MD31" s="1">
        <v>4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28"/>
      <c r="ML31" t="s">
        <v>847</v>
      </c>
      <c r="MM31" t="s">
        <v>347</v>
      </c>
      <c r="MN31" t="s">
        <v>320</v>
      </c>
      <c r="MO31" t="s">
        <v>334</v>
      </c>
      <c r="MP31" t="s">
        <v>335</v>
      </c>
      <c r="MQ31" t="s">
        <v>336</v>
      </c>
      <c r="MR31">
        <v>0.02</v>
      </c>
      <c r="MS31" t="s">
        <v>342</v>
      </c>
      <c r="MT31" t="s">
        <v>343</v>
      </c>
      <c r="MU31" t="s">
        <v>344</v>
      </c>
      <c r="MV31">
        <v>13550</v>
      </c>
      <c r="MW31" s="13">
        <v>358</v>
      </c>
      <c r="MX31" s="13" t="s">
        <v>345</v>
      </c>
      <c r="MY31" t="s">
        <v>240</v>
      </c>
      <c r="MZ31" t="s">
        <v>241</v>
      </c>
      <c r="NA31" t="s">
        <v>242</v>
      </c>
      <c r="NB31" t="s">
        <v>297</v>
      </c>
      <c r="NC31" t="s">
        <v>346</v>
      </c>
      <c r="ND31" s="18">
        <v>43269</v>
      </c>
      <c r="NE31" s="19">
        <v>0.96597222222222223</v>
      </c>
      <c r="NF31" t="s">
        <v>244</v>
      </c>
      <c r="NG31" t="s">
        <v>245</v>
      </c>
      <c r="NH31" t="s">
        <v>246</v>
      </c>
      <c r="NI31">
        <v>84.5</v>
      </c>
      <c r="NJ31" t="s">
        <v>244</v>
      </c>
      <c r="NK31">
        <v>4</v>
      </c>
      <c r="NL31" t="s">
        <v>247</v>
      </c>
      <c r="NM31">
        <v>29.63006</v>
      </c>
      <c r="NN31">
        <v>-84.925740000000005</v>
      </c>
      <c r="NO31" t="s">
        <v>248</v>
      </c>
      <c r="NP31" t="s">
        <v>249</v>
      </c>
      <c r="NQ31" t="s">
        <v>244</v>
      </c>
      <c r="NR31" t="s">
        <v>247</v>
      </c>
      <c r="NS31">
        <v>982000410604668</v>
      </c>
      <c r="NT31" t="s">
        <v>248</v>
      </c>
      <c r="NU31" t="s">
        <v>248</v>
      </c>
      <c r="NV31" t="s">
        <v>248</v>
      </c>
      <c r="NW31" t="s">
        <v>343</v>
      </c>
      <c r="NX31" t="s">
        <v>344</v>
      </c>
      <c r="NY31">
        <v>99</v>
      </c>
      <c r="NZ31">
        <v>98.4</v>
      </c>
      <c r="OA31">
        <v>88.2</v>
      </c>
      <c r="OB31" s="14">
        <v>6857.9396831538397</v>
      </c>
      <c r="OC31" t="s">
        <v>248</v>
      </c>
      <c r="OD31" t="s">
        <v>247</v>
      </c>
      <c r="OE31" t="s">
        <v>248</v>
      </c>
      <c r="OF31" t="s">
        <v>244</v>
      </c>
      <c r="OG31" t="s">
        <v>247</v>
      </c>
      <c r="OH31">
        <v>10</v>
      </c>
      <c r="OI31" t="s">
        <v>343</v>
      </c>
      <c r="OJ31" t="s">
        <v>346</v>
      </c>
      <c r="OK31">
        <v>150</v>
      </c>
      <c r="OL31">
        <v>0.89333333333333331</v>
      </c>
      <c r="OM31">
        <v>0.96268656716417911</v>
      </c>
      <c r="ON31">
        <v>-17.100000000000001</v>
      </c>
      <c r="OO31">
        <v>15.45</v>
      </c>
      <c r="OP31" s="25">
        <v>2.9505341978261703</v>
      </c>
      <c r="OQ31" s="25">
        <v>3.4418804422601701</v>
      </c>
      <c r="OR31" t="s">
        <v>909</v>
      </c>
      <c r="OS31" t="s">
        <v>909</v>
      </c>
    </row>
    <row r="32" spans="1:409" x14ac:dyDescent="0.25">
      <c r="A32">
        <v>31</v>
      </c>
      <c r="B32" s="1">
        <v>112</v>
      </c>
      <c r="C32" s="1">
        <v>41</v>
      </c>
      <c r="D32" s="1">
        <v>23</v>
      </c>
      <c r="E32" s="1">
        <v>5</v>
      </c>
      <c r="F32" s="1">
        <v>16</v>
      </c>
      <c r="G32" s="1">
        <v>53</v>
      </c>
      <c r="H32" s="1">
        <v>0</v>
      </c>
      <c r="I32" s="1">
        <v>11</v>
      </c>
      <c r="J32" s="1">
        <v>1</v>
      </c>
      <c r="K32" s="1">
        <v>6</v>
      </c>
      <c r="L32" s="1">
        <v>1</v>
      </c>
      <c r="M32" s="1">
        <v>0</v>
      </c>
      <c r="N32" s="1">
        <v>2</v>
      </c>
      <c r="O32" s="1">
        <v>2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2">
        <v>273</v>
      </c>
      <c r="Y32" s="3"/>
      <c r="Z32" s="15">
        <f t="shared" si="0"/>
        <v>3.2662871117143819</v>
      </c>
      <c r="AA32" s="15">
        <f t="shared" si="1"/>
        <v>1.1956943891097291</v>
      </c>
      <c r="AB32" s="15">
        <f t="shared" si="2"/>
        <v>0.67075538901277487</v>
      </c>
      <c r="AC32" s="15">
        <f t="shared" si="3"/>
        <v>0.14581638891582063</v>
      </c>
      <c r="AD32" s="15">
        <f t="shared" si="4"/>
        <v>0.466612444530626</v>
      </c>
      <c r="AE32" s="15">
        <f t="shared" si="5"/>
        <v>1.5456537225076985</v>
      </c>
      <c r="AF32" s="15">
        <f t="shared" si="6"/>
        <v>0</v>
      </c>
      <c r="AG32" s="15">
        <f t="shared" si="7"/>
        <v>0.3207960556148054</v>
      </c>
      <c r="AH32" s="15">
        <f t="shared" si="8"/>
        <v>2.9163277783164125E-2</v>
      </c>
      <c r="AI32" s="15">
        <f t="shared" si="9"/>
        <v>0.17497966669898476</v>
      </c>
      <c r="AJ32" s="15">
        <f t="shared" si="10"/>
        <v>2.9163277783164125E-2</v>
      </c>
      <c r="AK32" s="15">
        <f t="shared" si="11"/>
        <v>0</v>
      </c>
      <c r="AL32" s="15">
        <f t="shared" si="12"/>
        <v>5.832655556632825E-2</v>
      </c>
      <c r="AM32" s="15">
        <f t="shared" si="13"/>
        <v>5.832655556632825E-2</v>
      </c>
      <c r="AN32" s="15">
        <f t="shared" si="14"/>
        <v>0</v>
      </c>
      <c r="AO32" s="15">
        <f t="shared" si="15"/>
        <v>0</v>
      </c>
      <c r="AP32" s="15">
        <f t="shared" si="16"/>
        <v>0</v>
      </c>
      <c r="AQ32" s="15">
        <f t="shared" si="17"/>
        <v>0</v>
      </c>
      <c r="AR32" s="15">
        <f t="shared" si="18"/>
        <v>0</v>
      </c>
      <c r="AS32" s="15">
        <f t="shared" si="19"/>
        <v>0</v>
      </c>
      <c r="AT32" s="15">
        <f t="shared" si="20"/>
        <v>0</v>
      </c>
      <c r="AU32" s="15">
        <f t="shared" si="21"/>
        <v>0</v>
      </c>
      <c r="AV32" s="5">
        <f t="shared" si="22"/>
        <v>7.9615748348038062</v>
      </c>
      <c r="AW32" s="16"/>
      <c r="AX32" s="6">
        <v>2240</v>
      </c>
      <c r="AY32" s="6">
        <v>820</v>
      </c>
      <c r="AZ32" s="6">
        <v>460</v>
      </c>
      <c r="BA32" s="6">
        <v>100</v>
      </c>
      <c r="BB32" s="6">
        <v>320</v>
      </c>
      <c r="BC32" s="6">
        <v>1060</v>
      </c>
      <c r="BD32" s="6">
        <v>0</v>
      </c>
      <c r="BE32" s="6">
        <v>220</v>
      </c>
      <c r="BF32" s="6">
        <v>20</v>
      </c>
      <c r="BG32" s="6">
        <v>120</v>
      </c>
      <c r="BH32" s="6">
        <v>20</v>
      </c>
      <c r="BI32" s="6">
        <v>0</v>
      </c>
      <c r="BJ32" s="6">
        <v>40</v>
      </c>
      <c r="BK32" s="6">
        <v>40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7">
        <v>5460</v>
      </c>
      <c r="BU32" s="16"/>
      <c r="BV32" s="8">
        <v>0</v>
      </c>
      <c r="BW32" s="8">
        <v>0</v>
      </c>
      <c r="BX32" s="8">
        <v>0</v>
      </c>
      <c r="BY32" s="8">
        <v>0</v>
      </c>
      <c r="BZ32" s="8">
        <v>1</v>
      </c>
      <c r="CA32" s="8">
        <v>0</v>
      </c>
      <c r="CB32" s="8">
        <v>0</v>
      </c>
      <c r="CC32" s="8">
        <v>1</v>
      </c>
      <c r="CD32" s="8">
        <v>0</v>
      </c>
      <c r="CE32" s="8">
        <v>0</v>
      </c>
      <c r="CF32" s="8">
        <v>0</v>
      </c>
      <c r="CG32" s="8">
        <v>0</v>
      </c>
      <c r="CH32" s="8">
        <v>1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1</v>
      </c>
      <c r="CO32" s="8">
        <v>1</v>
      </c>
      <c r="CP32" s="8">
        <v>1</v>
      </c>
      <c r="CQ32" s="8">
        <v>0</v>
      </c>
      <c r="CR32" s="8">
        <v>24</v>
      </c>
      <c r="CS32" s="8">
        <v>6.9999999999999991</v>
      </c>
      <c r="CT32" s="8">
        <v>1</v>
      </c>
      <c r="CU32" s="8">
        <v>0</v>
      </c>
      <c r="CV32" s="8">
        <v>0</v>
      </c>
      <c r="CW32" s="8">
        <v>0</v>
      </c>
      <c r="CX32" s="8">
        <v>5</v>
      </c>
      <c r="CY32" s="8">
        <v>6</v>
      </c>
      <c r="CZ32" s="8">
        <v>0</v>
      </c>
      <c r="DA32" s="8">
        <v>0</v>
      </c>
      <c r="DB32" s="8">
        <v>0</v>
      </c>
      <c r="DC32" s="8">
        <v>0</v>
      </c>
      <c r="DD32" s="8">
        <v>1</v>
      </c>
      <c r="DE32" s="8">
        <v>0</v>
      </c>
      <c r="DF32" s="8">
        <v>0</v>
      </c>
      <c r="DG32" s="8">
        <v>9</v>
      </c>
      <c r="DH32" s="8">
        <v>0</v>
      </c>
      <c r="DI32" s="8">
        <v>0</v>
      </c>
      <c r="DJ32" s="8">
        <v>5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1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1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4</v>
      </c>
      <c r="EL32" s="8">
        <v>0</v>
      </c>
      <c r="EM32" s="8">
        <v>0</v>
      </c>
      <c r="EN32" s="8">
        <v>2</v>
      </c>
      <c r="EO32" s="8">
        <v>0</v>
      </c>
      <c r="EP32" s="8">
        <v>1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1</v>
      </c>
      <c r="FB32" s="8">
        <v>0</v>
      </c>
      <c r="FC32" s="8">
        <v>5</v>
      </c>
      <c r="FD32" s="8">
        <v>4</v>
      </c>
      <c r="FE32" s="8">
        <v>0</v>
      </c>
      <c r="FF32" s="8">
        <v>0</v>
      </c>
      <c r="FG32" s="8">
        <v>5</v>
      </c>
      <c r="FH32" s="8">
        <v>0</v>
      </c>
      <c r="FI32" s="8">
        <v>1</v>
      </c>
      <c r="FJ32" s="8">
        <v>0</v>
      </c>
      <c r="FK32" s="8">
        <v>0</v>
      </c>
      <c r="FL32" s="8">
        <v>0</v>
      </c>
      <c r="FM32" s="8">
        <v>4</v>
      </c>
      <c r="FN32" s="8">
        <v>0</v>
      </c>
      <c r="FO32" s="8">
        <v>0</v>
      </c>
      <c r="FP32" s="8">
        <v>1</v>
      </c>
      <c r="FQ32" s="8">
        <v>0</v>
      </c>
      <c r="FR32" s="8">
        <v>0</v>
      </c>
      <c r="FS32" s="8">
        <v>6</v>
      </c>
      <c r="FT32" s="8">
        <v>0</v>
      </c>
      <c r="FU32" s="8">
        <v>8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2</v>
      </c>
      <c r="GB32" s="8">
        <v>0</v>
      </c>
      <c r="GC32" s="8">
        <v>0</v>
      </c>
      <c r="GD32" s="8">
        <v>0</v>
      </c>
      <c r="GE32" s="8">
        <v>0</v>
      </c>
      <c r="GF32" s="9">
        <v>110</v>
      </c>
      <c r="GG32" s="3"/>
      <c r="GH32" s="10">
        <f t="shared" si="60"/>
        <v>0</v>
      </c>
      <c r="GI32" s="10">
        <f t="shared" si="61"/>
        <v>0</v>
      </c>
      <c r="GJ32" s="10">
        <f t="shared" si="62"/>
        <v>0</v>
      </c>
      <c r="GK32" s="10">
        <f t="shared" si="63"/>
        <v>0</v>
      </c>
      <c r="GL32" s="10">
        <f t="shared" si="64"/>
        <v>20.363636363636363</v>
      </c>
      <c r="GM32" s="10">
        <f t="shared" si="65"/>
        <v>0</v>
      </c>
      <c r="GN32" s="10">
        <f t="shared" si="66"/>
        <v>0</v>
      </c>
      <c r="GO32" s="10">
        <f t="shared" si="67"/>
        <v>20.363636363636363</v>
      </c>
      <c r="GP32" s="10">
        <f t="shared" si="68"/>
        <v>0</v>
      </c>
      <c r="GQ32" s="10">
        <f t="shared" si="69"/>
        <v>0</v>
      </c>
      <c r="GR32" s="10">
        <f t="shared" si="70"/>
        <v>0</v>
      </c>
      <c r="GS32" s="10">
        <f t="shared" si="71"/>
        <v>0</v>
      </c>
      <c r="GT32" s="10">
        <f t="shared" si="72"/>
        <v>20.363636363636363</v>
      </c>
      <c r="GU32" s="10">
        <f t="shared" si="73"/>
        <v>0</v>
      </c>
      <c r="GV32" s="10">
        <f t="shared" si="74"/>
        <v>0</v>
      </c>
      <c r="GW32" s="10">
        <f t="shared" si="75"/>
        <v>0</v>
      </c>
      <c r="GX32" s="10">
        <f t="shared" si="76"/>
        <v>0</v>
      </c>
      <c r="GY32" s="10">
        <f t="shared" si="77"/>
        <v>0</v>
      </c>
      <c r="GZ32" s="10">
        <f t="shared" si="78"/>
        <v>20.363636363636363</v>
      </c>
      <c r="HA32" s="10">
        <f t="shared" si="79"/>
        <v>20.363636363636363</v>
      </c>
      <c r="HB32" s="10">
        <f t="shared" si="80"/>
        <v>20.363636363636363</v>
      </c>
      <c r="HC32" s="10">
        <f t="shared" si="81"/>
        <v>0</v>
      </c>
      <c r="HD32" s="10">
        <f t="shared" si="82"/>
        <v>488.72727272727269</v>
      </c>
      <c r="HE32" s="10">
        <f t="shared" si="83"/>
        <v>142.54545454545453</v>
      </c>
      <c r="HF32" s="10">
        <f t="shared" si="84"/>
        <v>20.363636363636363</v>
      </c>
      <c r="HG32" s="10">
        <f t="shared" si="85"/>
        <v>0</v>
      </c>
      <c r="HH32" s="10">
        <f t="shared" si="86"/>
        <v>0</v>
      </c>
      <c r="HI32" s="10">
        <f t="shared" si="87"/>
        <v>0</v>
      </c>
      <c r="HJ32" s="10">
        <f t="shared" si="88"/>
        <v>101.81818181818183</v>
      </c>
      <c r="HK32" s="10">
        <f t="shared" si="89"/>
        <v>122.18181818181817</v>
      </c>
      <c r="HL32" s="10">
        <f t="shared" si="90"/>
        <v>0</v>
      </c>
      <c r="HM32" s="10">
        <f t="shared" si="91"/>
        <v>0</v>
      </c>
      <c r="HN32" s="10">
        <f t="shared" si="92"/>
        <v>0</v>
      </c>
      <c r="HO32" s="10">
        <f t="shared" si="93"/>
        <v>0</v>
      </c>
      <c r="HP32" s="10">
        <f t="shared" si="94"/>
        <v>20.363636363636363</v>
      </c>
      <c r="HQ32" s="10">
        <f t="shared" si="95"/>
        <v>0</v>
      </c>
      <c r="HR32" s="10">
        <f t="shared" si="96"/>
        <v>0</v>
      </c>
      <c r="HS32" s="10">
        <f t="shared" si="97"/>
        <v>183.27272727272728</v>
      </c>
      <c r="HT32" s="10">
        <f t="shared" si="98"/>
        <v>0</v>
      </c>
      <c r="HU32" s="10">
        <f t="shared" si="99"/>
        <v>0</v>
      </c>
      <c r="HV32" s="10">
        <f t="shared" si="100"/>
        <v>101.81818181818183</v>
      </c>
      <c r="HW32" s="10">
        <f t="shared" si="101"/>
        <v>0</v>
      </c>
      <c r="HX32" s="10">
        <f t="shared" si="102"/>
        <v>0</v>
      </c>
      <c r="HY32" s="10">
        <f t="shared" si="103"/>
        <v>0</v>
      </c>
      <c r="HZ32" s="10">
        <f t="shared" si="104"/>
        <v>0</v>
      </c>
      <c r="IA32" s="10">
        <f t="shared" si="105"/>
        <v>0</v>
      </c>
      <c r="IB32" s="10">
        <f t="shared" si="106"/>
        <v>0</v>
      </c>
      <c r="IC32" s="10">
        <f t="shared" si="107"/>
        <v>0</v>
      </c>
      <c r="ID32" s="10">
        <f t="shared" si="108"/>
        <v>0</v>
      </c>
      <c r="IE32" s="10">
        <f t="shared" si="109"/>
        <v>0</v>
      </c>
      <c r="IF32" s="10">
        <f t="shared" si="110"/>
        <v>0</v>
      </c>
      <c r="IG32" s="10">
        <f t="shared" si="111"/>
        <v>20.363636363636363</v>
      </c>
      <c r="IH32" s="10">
        <f t="shared" si="112"/>
        <v>0</v>
      </c>
      <c r="II32" s="10">
        <f t="shared" si="113"/>
        <v>0</v>
      </c>
      <c r="IJ32" s="10">
        <f t="shared" si="114"/>
        <v>0</v>
      </c>
      <c r="IK32" s="10">
        <f t="shared" si="115"/>
        <v>0</v>
      </c>
      <c r="IL32" s="10">
        <f t="shared" si="116"/>
        <v>0</v>
      </c>
      <c r="IM32" s="10">
        <f t="shared" si="117"/>
        <v>0</v>
      </c>
      <c r="IN32" s="10">
        <f t="shared" si="118"/>
        <v>0</v>
      </c>
      <c r="IO32" s="10">
        <f t="shared" si="119"/>
        <v>0</v>
      </c>
      <c r="IP32" s="10">
        <f t="shared" si="120"/>
        <v>20.363636363636363</v>
      </c>
      <c r="IQ32" s="10">
        <f t="shared" si="121"/>
        <v>0</v>
      </c>
      <c r="IR32" s="10">
        <f t="shared" si="122"/>
        <v>0</v>
      </c>
      <c r="IS32" s="10">
        <f t="shared" si="123"/>
        <v>0</v>
      </c>
      <c r="IT32" s="10">
        <f t="shared" si="124"/>
        <v>0</v>
      </c>
      <c r="IU32" s="10">
        <f t="shared" si="125"/>
        <v>0</v>
      </c>
      <c r="IV32" s="10">
        <f t="shared" si="126"/>
        <v>0</v>
      </c>
      <c r="IW32" s="10">
        <f t="shared" si="127"/>
        <v>81.454545454545453</v>
      </c>
      <c r="IX32" s="10">
        <f t="shared" si="128"/>
        <v>0</v>
      </c>
      <c r="IY32" s="10">
        <f t="shared" si="129"/>
        <v>0</v>
      </c>
      <c r="IZ32" s="10">
        <f t="shared" si="130"/>
        <v>40.727272727272727</v>
      </c>
      <c r="JA32" s="10">
        <f t="shared" si="131"/>
        <v>0</v>
      </c>
      <c r="JB32" s="10">
        <f t="shared" si="132"/>
        <v>20.363636363636363</v>
      </c>
      <c r="JC32" s="10">
        <f t="shared" si="133"/>
        <v>0</v>
      </c>
      <c r="JD32" s="10">
        <f t="shared" si="134"/>
        <v>0</v>
      </c>
      <c r="JE32" s="10">
        <f t="shared" si="135"/>
        <v>0</v>
      </c>
      <c r="JF32" s="10">
        <f t="shared" si="136"/>
        <v>0</v>
      </c>
      <c r="JG32" s="10">
        <v>0</v>
      </c>
      <c r="JH32" s="10">
        <f t="shared" si="137"/>
        <v>0</v>
      </c>
      <c r="JI32" s="10">
        <f t="shared" si="138"/>
        <v>0</v>
      </c>
      <c r="JJ32" s="10">
        <f t="shared" si="139"/>
        <v>0</v>
      </c>
      <c r="JK32" s="10">
        <f t="shared" si="140"/>
        <v>0</v>
      </c>
      <c r="JL32" s="10">
        <f t="shared" si="141"/>
        <v>20.363636363636363</v>
      </c>
      <c r="JM32" s="10">
        <f t="shared" si="142"/>
        <v>0</v>
      </c>
      <c r="JN32" s="10">
        <f t="shared" si="143"/>
        <v>101.81818181818183</v>
      </c>
      <c r="JO32" s="10">
        <f t="shared" si="144"/>
        <v>81.454545454545453</v>
      </c>
      <c r="JP32" s="10">
        <f t="shared" si="145"/>
        <v>0</v>
      </c>
      <c r="JQ32" s="10">
        <f t="shared" si="146"/>
        <v>0</v>
      </c>
      <c r="JR32" s="10">
        <f t="shared" si="147"/>
        <v>101.81818181818183</v>
      </c>
      <c r="JS32" s="10">
        <f t="shared" si="148"/>
        <v>0</v>
      </c>
      <c r="JT32" s="10">
        <f t="shared" si="149"/>
        <v>20.363636363636363</v>
      </c>
      <c r="JU32" s="10">
        <f t="shared" si="150"/>
        <v>0</v>
      </c>
      <c r="JV32" s="10">
        <f t="shared" si="151"/>
        <v>0</v>
      </c>
      <c r="JW32" s="10">
        <f t="shared" si="152"/>
        <v>0</v>
      </c>
      <c r="JX32" s="10">
        <f t="shared" si="153"/>
        <v>81.454545454545453</v>
      </c>
      <c r="JY32" s="10">
        <f t="shared" si="154"/>
        <v>0</v>
      </c>
      <c r="JZ32" s="10">
        <f t="shared" si="155"/>
        <v>0</v>
      </c>
      <c r="KA32" s="10">
        <f t="shared" si="156"/>
        <v>20.363636363636363</v>
      </c>
      <c r="KB32" s="10">
        <f t="shared" si="157"/>
        <v>0</v>
      </c>
      <c r="KC32" s="10">
        <f t="shared" si="158"/>
        <v>0</v>
      </c>
      <c r="KD32" s="10">
        <f t="shared" si="159"/>
        <v>122.18181818181817</v>
      </c>
      <c r="KE32" s="10">
        <f t="shared" si="160"/>
        <v>0</v>
      </c>
      <c r="KF32" s="10">
        <f t="shared" si="161"/>
        <v>162.90909090909091</v>
      </c>
      <c r="KG32" s="10">
        <f t="shared" si="162"/>
        <v>0</v>
      </c>
      <c r="KH32" s="10">
        <f t="shared" si="163"/>
        <v>0</v>
      </c>
      <c r="KI32" s="10">
        <f t="shared" si="164"/>
        <v>0</v>
      </c>
      <c r="KJ32" s="10">
        <f t="shared" si="165"/>
        <v>0</v>
      </c>
      <c r="KK32" s="10">
        <f t="shared" si="166"/>
        <v>0</v>
      </c>
      <c r="KL32" s="10">
        <f t="shared" si="167"/>
        <v>40.727272727272727</v>
      </c>
      <c r="KM32" s="10">
        <f t="shared" si="168"/>
        <v>0</v>
      </c>
      <c r="KN32" s="10">
        <f t="shared" si="169"/>
        <v>0</v>
      </c>
      <c r="KO32" s="10">
        <f t="shared" si="170"/>
        <v>0</v>
      </c>
      <c r="KP32" s="10">
        <f t="shared" si="171"/>
        <v>0</v>
      </c>
      <c r="KQ32" s="11">
        <v>2239.9999999999991</v>
      </c>
      <c r="KR32" s="16"/>
      <c r="KS32" s="12">
        <v>6857.9396831538397</v>
      </c>
      <c r="KT32" s="26">
        <v>150</v>
      </c>
      <c r="KU32" s="26">
        <v>0.89333333333333331</v>
      </c>
      <c r="KV32" s="26">
        <v>0.96268656716417911</v>
      </c>
      <c r="KW32" s="26">
        <v>-17.100000000000001</v>
      </c>
      <c r="KX32" s="26">
        <v>15.45</v>
      </c>
      <c r="KY32" s="27">
        <v>2.9505341978261703</v>
      </c>
      <c r="KZ32" s="27">
        <v>3.4418804422601701</v>
      </c>
      <c r="LA32" s="17"/>
      <c r="LB32" s="2">
        <v>390</v>
      </c>
      <c r="LC32" s="1">
        <v>0</v>
      </c>
      <c r="LD32" s="1">
        <v>0</v>
      </c>
      <c r="LE32" s="1">
        <v>0</v>
      </c>
      <c r="LF32" s="1">
        <v>0</v>
      </c>
      <c r="LG32" s="1">
        <v>9</v>
      </c>
      <c r="LH32" s="1">
        <v>0</v>
      </c>
      <c r="LI32" s="1">
        <v>0</v>
      </c>
      <c r="LJ32" s="1">
        <v>1</v>
      </c>
      <c r="LK32" s="1">
        <v>0</v>
      </c>
      <c r="LL32" s="1">
        <v>111</v>
      </c>
      <c r="LM32" s="1">
        <v>259</v>
      </c>
      <c r="LN32" s="1">
        <v>0</v>
      </c>
      <c r="LO32" s="1">
        <v>0</v>
      </c>
      <c r="LP32" s="1">
        <v>1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1</v>
      </c>
      <c r="LW32" s="1">
        <v>0</v>
      </c>
      <c r="LX32" s="1">
        <v>0</v>
      </c>
      <c r="LY32" s="1">
        <v>0</v>
      </c>
      <c r="LZ32" s="1">
        <v>3</v>
      </c>
      <c r="MA32" s="1">
        <v>0</v>
      </c>
      <c r="MB32" s="1">
        <v>0</v>
      </c>
      <c r="MC32" s="1">
        <v>0</v>
      </c>
      <c r="MD32" s="1">
        <v>5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28"/>
      <c r="ML32" t="s">
        <v>848</v>
      </c>
      <c r="MM32" t="s">
        <v>347</v>
      </c>
      <c r="MN32" t="s">
        <v>320</v>
      </c>
      <c r="MO32" t="s">
        <v>337</v>
      </c>
      <c r="MP32" t="s">
        <v>338</v>
      </c>
      <c r="MQ32" t="s">
        <v>339</v>
      </c>
      <c r="MR32">
        <v>0.05</v>
      </c>
      <c r="MS32" t="s">
        <v>342</v>
      </c>
      <c r="MT32" t="s">
        <v>343</v>
      </c>
      <c r="MU32" t="s">
        <v>344</v>
      </c>
      <c r="MV32">
        <v>5460</v>
      </c>
      <c r="MW32" s="13">
        <v>358</v>
      </c>
      <c r="MX32" s="13" t="s">
        <v>345</v>
      </c>
      <c r="MY32" t="s">
        <v>240</v>
      </c>
      <c r="MZ32" t="s">
        <v>241</v>
      </c>
      <c r="NA32" t="s">
        <v>242</v>
      </c>
      <c r="NB32" t="s">
        <v>297</v>
      </c>
      <c r="NC32" t="s">
        <v>346</v>
      </c>
      <c r="ND32" s="18">
        <v>43269</v>
      </c>
      <c r="NE32" s="19">
        <v>0.96597222222222223</v>
      </c>
      <c r="NF32" t="s">
        <v>244</v>
      </c>
      <c r="NG32" t="s">
        <v>245</v>
      </c>
      <c r="NH32" t="s">
        <v>246</v>
      </c>
      <c r="NI32">
        <v>84.5</v>
      </c>
      <c r="NJ32" t="s">
        <v>244</v>
      </c>
      <c r="NK32">
        <v>4</v>
      </c>
      <c r="NL32" t="s">
        <v>247</v>
      </c>
      <c r="NM32">
        <v>29.63006</v>
      </c>
      <c r="NN32">
        <v>-84.925740000000005</v>
      </c>
      <c r="NO32" t="s">
        <v>248</v>
      </c>
      <c r="NP32" t="s">
        <v>249</v>
      </c>
      <c r="NQ32" t="s">
        <v>244</v>
      </c>
      <c r="NR32" t="s">
        <v>247</v>
      </c>
      <c r="NS32">
        <v>982000410604668</v>
      </c>
      <c r="NT32" t="s">
        <v>248</v>
      </c>
      <c r="NU32" t="s">
        <v>248</v>
      </c>
      <c r="NV32" t="s">
        <v>248</v>
      </c>
      <c r="NW32" t="s">
        <v>343</v>
      </c>
      <c r="NX32" t="s">
        <v>344</v>
      </c>
      <c r="NY32">
        <v>99</v>
      </c>
      <c r="NZ32">
        <v>98.4</v>
      </c>
      <c r="OA32">
        <v>88.2</v>
      </c>
      <c r="OB32" s="14">
        <v>6857.9396831538397</v>
      </c>
      <c r="OC32" t="s">
        <v>248</v>
      </c>
      <c r="OD32" t="s">
        <v>247</v>
      </c>
      <c r="OE32" t="s">
        <v>248</v>
      </c>
      <c r="OF32" t="s">
        <v>244</v>
      </c>
      <c r="OG32" t="s">
        <v>247</v>
      </c>
      <c r="OH32">
        <v>9</v>
      </c>
      <c r="OI32" t="s">
        <v>343</v>
      </c>
      <c r="OJ32" t="s">
        <v>346</v>
      </c>
      <c r="OK32">
        <v>150</v>
      </c>
      <c r="OL32">
        <v>0.89333333333333331</v>
      </c>
      <c r="OM32">
        <v>0.96268656716417911</v>
      </c>
      <c r="ON32">
        <v>-17.100000000000001</v>
      </c>
      <c r="OO32">
        <v>15.45</v>
      </c>
      <c r="OP32" s="25">
        <v>2.9505341978261703</v>
      </c>
      <c r="OQ32" s="25">
        <v>3.4418804422601701</v>
      </c>
      <c r="OR32" t="s">
        <v>909</v>
      </c>
      <c r="OS32" t="s">
        <v>911</v>
      </c>
    </row>
    <row r="33" spans="1:409" x14ac:dyDescent="0.25">
      <c r="A33">
        <v>32</v>
      </c>
      <c r="B33" s="1">
        <v>67</v>
      </c>
      <c r="C33" s="1">
        <v>33</v>
      </c>
      <c r="D33" s="1">
        <v>1</v>
      </c>
      <c r="E33" s="1">
        <v>85</v>
      </c>
      <c r="F33" s="1">
        <v>76</v>
      </c>
      <c r="G33" s="1">
        <v>77</v>
      </c>
      <c r="H33" s="1">
        <v>2</v>
      </c>
      <c r="I33" s="1">
        <v>1</v>
      </c>
      <c r="J33" s="1">
        <v>192</v>
      </c>
      <c r="K33" s="1">
        <v>2</v>
      </c>
      <c r="L33" s="1">
        <v>15</v>
      </c>
      <c r="M33" s="1"/>
      <c r="N33" s="1">
        <v>11</v>
      </c>
      <c r="O33" s="1">
        <v>0</v>
      </c>
      <c r="P33" s="1">
        <v>0</v>
      </c>
      <c r="Q33" s="1">
        <v>10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2">
        <v>572</v>
      </c>
      <c r="Y33" s="3"/>
      <c r="Z33" s="15">
        <f t="shared" si="0"/>
        <v>1.0752722873330773</v>
      </c>
      <c r="AA33" s="15">
        <f t="shared" si="1"/>
        <v>0.52961172361181419</v>
      </c>
      <c r="AB33" s="15">
        <f t="shared" si="2"/>
        <v>1.6048840109448913E-2</v>
      </c>
      <c r="AC33" s="15">
        <f t="shared" si="3"/>
        <v>1.3641514093031577</v>
      </c>
      <c r="AD33" s="15">
        <f t="shared" si="4"/>
        <v>1.2197118483181173</v>
      </c>
      <c r="AE33" s="15">
        <f t="shared" si="5"/>
        <v>1.2357606884275665</v>
      </c>
      <c r="AF33" s="15">
        <f t="shared" si="6"/>
        <v>3.2097680218897827E-2</v>
      </c>
      <c r="AG33" s="15">
        <f t="shared" si="7"/>
        <v>1.6048840109448913E-2</v>
      </c>
      <c r="AH33" s="15">
        <f t="shared" si="8"/>
        <v>3.0813773010141916</v>
      </c>
      <c r="AI33" s="15">
        <f t="shared" si="9"/>
        <v>3.2097680218897827E-2</v>
      </c>
      <c r="AJ33" s="15">
        <f t="shared" si="10"/>
        <v>0.24073260164173371</v>
      </c>
      <c r="AK33" s="15">
        <f t="shared" si="11"/>
        <v>0</v>
      </c>
      <c r="AL33" s="15">
        <f t="shared" si="12"/>
        <v>0.17653724120393804</v>
      </c>
      <c r="AM33" s="15">
        <f t="shared" si="13"/>
        <v>0</v>
      </c>
      <c r="AN33" s="15">
        <f t="shared" si="14"/>
        <v>0</v>
      </c>
      <c r="AO33" s="15">
        <f t="shared" si="15"/>
        <v>0.16048840109448914</v>
      </c>
      <c r="AP33" s="15">
        <f t="shared" si="16"/>
        <v>0</v>
      </c>
      <c r="AQ33" s="15">
        <f t="shared" si="17"/>
        <v>0</v>
      </c>
      <c r="AR33" s="15">
        <f t="shared" si="18"/>
        <v>0</v>
      </c>
      <c r="AS33" s="15">
        <f t="shared" si="19"/>
        <v>0</v>
      </c>
      <c r="AT33" s="15">
        <f t="shared" si="20"/>
        <v>0</v>
      </c>
      <c r="AU33" s="15">
        <f t="shared" si="21"/>
        <v>0</v>
      </c>
      <c r="AV33" s="5">
        <f t="shared" si="22"/>
        <v>9.1799365426047785</v>
      </c>
      <c r="AW33" s="16"/>
      <c r="AX33" s="6">
        <v>670</v>
      </c>
      <c r="AY33" s="6">
        <v>330</v>
      </c>
      <c r="AZ33" s="6">
        <v>10</v>
      </c>
      <c r="BA33" s="6">
        <v>850</v>
      </c>
      <c r="BB33" s="6">
        <v>760</v>
      </c>
      <c r="BC33" s="6">
        <v>770</v>
      </c>
      <c r="BD33" s="6">
        <v>20</v>
      </c>
      <c r="BE33" s="6">
        <v>10</v>
      </c>
      <c r="BF33" s="6">
        <v>1920</v>
      </c>
      <c r="BG33" s="6">
        <v>20</v>
      </c>
      <c r="BH33" s="6">
        <v>150</v>
      </c>
      <c r="BI33" s="6">
        <v>0</v>
      </c>
      <c r="BJ33" s="6">
        <v>110</v>
      </c>
      <c r="BK33" s="6">
        <v>0</v>
      </c>
      <c r="BL33" s="6">
        <v>0</v>
      </c>
      <c r="BM33" s="6">
        <v>100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7">
        <v>5720</v>
      </c>
      <c r="BU33" s="16"/>
      <c r="BV33" s="8">
        <v>0</v>
      </c>
      <c r="BW33" s="8">
        <v>11</v>
      </c>
      <c r="BX33" s="8">
        <v>0</v>
      </c>
      <c r="BY33" s="8">
        <v>1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30</v>
      </c>
      <c r="CO33" s="8">
        <v>0</v>
      </c>
      <c r="CP33" s="8">
        <v>0</v>
      </c>
      <c r="CQ33" s="8">
        <v>1</v>
      </c>
      <c r="CR33" s="8">
        <v>9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1</v>
      </c>
      <c r="DJ33" s="8">
        <v>0</v>
      </c>
      <c r="DK33" s="8">
        <v>0</v>
      </c>
      <c r="DL33" s="8">
        <v>0</v>
      </c>
      <c r="DM33" s="8">
        <v>2</v>
      </c>
      <c r="DN33" s="8">
        <v>1</v>
      </c>
      <c r="DO33" s="8">
        <v>0</v>
      </c>
      <c r="DP33" s="8">
        <v>0</v>
      </c>
      <c r="DQ33" s="8">
        <v>1</v>
      </c>
      <c r="DR33" s="8">
        <v>0</v>
      </c>
      <c r="DS33" s="8">
        <v>3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2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27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1</v>
      </c>
      <c r="FA33" s="8">
        <v>0</v>
      </c>
      <c r="FB33" s="8">
        <v>0</v>
      </c>
      <c r="FC33" s="8">
        <v>1</v>
      </c>
      <c r="FD33" s="8">
        <v>0</v>
      </c>
      <c r="FE33" s="8">
        <v>0</v>
      </c>
      <c r="FF33" s="8">
        <v>0</v>
      </c>
      <c r="FG33" s="8">
        <v>1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20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9">
        <v>112</v>
      </c>
      <c r="GG33" s="3"/>
      <c r="GH33" s="10">
        <f t="shared" si="60"/>
        <v>0</v>
      </c>
      <c r="GI33" s="10">
        <f t="shared" si="61"/>
        <v>65.803571428571431</v>
      </c>
      <c r="GJ33" s="10">
        <f t="shared" si="62"/>
        <v>0</v>
      </c>
      <c r="GK33" s="10">
        <f t="shared" si="63"/>
        <v>5.9821428571428568</v>
      </c>
      <c r="GL33" s="10">
        <f t="shared" si="64"/>
        <v>0</v>
      </c>
      <c r="GM33" s="10">
        <f t="shared" si="65"/>
        <v>0</v>
      </c>
      <c r="GN33" s="10">
        <f t="shared" si="66"/>
        <v>0</v>
      </c>
      <c r="GO33" s="10">
        <f t="shared" si="67"/>
        <v>0</v>
      </c>
      <c r="GP33" s="10">
        <f t="shared" si="68"/>
        <v>0</v>
      </c>
      <c r="GQ33" s="10">
        <f t="shared" si="69"/>
        <v>0</v>
      </c>
      <c r="GR33" s="10">
        <f t="shared" si="70"/>
        <v>0</v>
      </c>
      <c r="GS33" s="10">
        <f t="shared" si="71"/>
        <v>0</v>
      </c>
      <c r="GT33" s="10">
        <f t="shared" si="72"/>
        <v>0</v>
      </c>
      <c r="GU33" s="10">
        <f t="shared" si="73"/>
        <v>0</v>
      </c>
      <c r="GV33" s="10">
        <f t="shared" si="74"/>
        <v>0</v>
      </c>
      <c r="GW33" s="10">
        <f t="shared" si="75"/>
        <v>0</v>
      </c>
      <c r="GX33" s="10">
        <f t="shared" si="76"/>
        <v>0</v>
      </c>
      <c r="GY33" s="10">
        <f t="shared" si="77"/>
        <v>0</v>
      </c>
      <c r="GZ33" s="10">
        <f t="shared" si="78"/>
        <v>179.46428571428572</v>
      </c>
      <c r="HA33" s="10">
        <f t="shared" si="79"/>
        <v>0</v>
      </c>
      <c r="HB33" s="10">
        <f t="shared" si="80"/>
        <v>0</v>
      </c>
      <c r="HC33" s="10">
        <f t="shared" si="81"/>
        <v>5.9821428571428568</v>
      </c>
      <c r="HD33" s="10">
        <f t="shared" si="82"/>
        <v>53.839285714285715</v>
      </c>
      <c r="HE33" s="10">
        <f t="shared" si="83"/>
        <v>0</v>
      </c>
      <c r="HF33" s="10">
        <f t="shared" si="84"/>
        <v>0</v>
      </c>
      <c r="HG33" s="10">
        <f t="shared" si="85"/>
        <v>0</v>
      </c>
      <c r="HH33" s="10">
        <f t="shared" si="86"/>
        <v>0</v>
      </c>
      <c r="HI33" s="10">
        <f t="shared" si="87"/>
        <v>0</v>
      </c>
      <c r="HJ33" s="10">
        <f t="shared" si="88"/>
        <v>0</v>
      </c>
      <c r="HK33" s="10">
        <f t="shared" si="89"/>
        <v>0</v>
      </c>
      <c r="HL33" s="10">
        <f t="shared" si="90"/>
        <v>0</v>
      </c>
      <c r="HM33" s="10">
        <f t="shared" si="91"/>
        <v>0</v>
      </c>
      <c r="HN33" s="10">
        <f t="shared" si="92"/>
        <v>0</v>
      </c>
      <c r="HO33" s="10">
        <f t="shared" si="93"/>
        <v>0</v>
      </c>
      <c r="HP33" s="10">
        <f t="shared" si="94"/>
        <v>0</v>
      </c>
      <c r="HQ33" s="10">
        <f t="shared" si="95"/>
        <v>0</v>
      </c>
      <c r="HR33" s="10">
        <f t="shared" si="96"/>
        <v>0</v>
      </c>
      <c r="HS33" s="10">
        <f t="shared" si="97"/>
        <v>0</v>
      </c>
      <c r="HT33" s="10">
        <f t="shared" si="98"/>
        <v>0</v>
      </c>
      <c r="HU33" s="10">
        <f t="shared" si="99"/>
        <v>5.9821428571428568</v>
      </c>
      <c r="HV33" s="10">
        <f t="shared" si="100"/>
        <v>0</v>
      </c>
      <c r="HW33" s="10">
        <f t="shared" si="101"/>
        <v>0</v>
      </c>
      <c r="HX33" s="10">
        <f t="shared" si="102"/>
        <v>0</v>
      </c>
      <c r="HY33" s="10">
        <f t="shared" si="103"/>
        <v>11.964285714285714</v>
      </c>
      <c r="HZ33" s="10">
        <f t="shared" si="104"/>
        <v>5.9821428571428568</v>
      </c>
      <c r="IA33" s="10">
        <f t="shared" si="105"/>
        <v>0</v>
      </c>
      <c r="IB33" s="10">
        <f t="shared" si="106"/>
        <v>0</v>
      </c>
      <c r="IC33" s="10">
        <f t="shared" si="107"/>
        <v>5.9821428571428568</v>
      </c>
      <c r="ID33" s="10">
        <f t="shared" si="108"/>
        <v>0</v>
      </c>
      <c r="IE33" s="10">
        <f t="shared" si="109"/>
        <v>17.946428571428569</v>
      </c>
      <c r="IF33" s="10">
        <f t="shared" si="110"/>
        <v>0</v>
      </c>
      <c r="IG33" s="10">
        <f t="shared" si="111"/>
        <v>0</v>
      </c>
      <c r="IH33" s="10">
        <f t="shared" si="112"/>
        <v>0</v>
      </c>
      <c r="II33" s="10">
        <f t="shared" si="113"/>
        <v>0</v>
      </c>
      <c r="IJ33" s="10">
        <f t="shared" si="114"/>
        <v>0</v>
      </c>
      <c r="IK33" s="10">
        <f t="shared" si="115"/>
        <v>0</v>
      </c>
      <c r="IL33" s="10">
        <f t="shared" si="116"/>
        <v>0</v>
      </c>
      <c r="IM33" s="10">
        <f t="shared" si="117"/>
        <v>11.964285714285714</v>
      </c>
      <c r="IN33" s="10">
        <f t="shared" si="118"/>
        <v>0</v>
      </c>
      <c r="IO33" s="10">
        <f t="shared" si="119"/>
        <v>0</v>
      </c>
      <c r="IP33" s="10">
        <f t="shared" si="120"/>
        <v>0</v>
      </c>
      <c r="IQ33" s="10">
        <f t="shared" si="121"/>
        <v>0</v>
      </c>
      <c r="IR33" s="10">
        <f t="shared" si="122"/>
        <v>0</v>
      </c>
      <c r="IS33" s="10">
        <f t="shared" si="123"/>
        <v>0</v>
      </c>
      <c r="IT33" s="10">
        <f t="shared" si="124"/>
        <v>0</v>
      </c>
      <c r="IU33" s="10">
        <f t="shared" si="125"/>
        <v>0</v>
      </c>
      <c r="IV33" s="10">
        <f t="shared" si="126"/>
        <v>0</v>
      </c>
      <c r="IW33" s="10">
        <f t="shared" si="127"/>
        <v>161.51785714285714</v>
      </c>
      <c r="IX33" s="10">
        <f t="shared" si="128"/>
        <v>0</v>
      </c>
      <c r="IY33" s="10">
        <f t="shared" si="129"/>
        <v>0</v>
      </c>
      <c r="IZ33" s="10">
        <f t="shared" si="130"/>
        <v>0</v>
      </c>
      <c r="JA33" s="10">
        <f t="shared" si="131"/>
        <v>0</v>
      </c>
      <c r="JB33" s="10">
        <f t="shared" si="132"/>
        <v>0</v>
      </c>
      <c r="JC33" s="10">
        <f t="shared" si="133"/>
        <v>0</v>
      </c>
      <c r="JD33" s="10">
        <f t="shared" si="134"/>
        <v>0</v>
      </c>
      <c r="JE33" s="10">
        <f t="shared" si="135"/>
        <v>0</v>
      </c>
      <c r="JF33" s="10">
        <f t="shared" si="136"/>
        <v>0</v>
      </c>
      <c r="JG33" s="10">
        <v>0</v>
      </c>
      <c r="JH33" s="10">
        <f t="shared" si="137"/>
        <v>0</v>
      </c>
      <c r="JI33" s="10">
        <f t="shared" si="138"/>
        <v>0</v>
      </c>
      <c r="JJ33" s="10">
        <f t="shared" si="139"/>
        <v>0</v>
      </c>
      <c r="JK33" s="10">
        <f t="shared" si="140"/>
        <v>5.9821428571428568</v>
      </c>
      <c r="JL33" s="10">
        <f t="shared" si="141"/>
        <v>0</v>
      </c>
      <c r="JM33" s="10">
        <f t="shared" si="142"/>
        <v>0</v>
      </c>
      <c r="JN33" s="10">
        <f t="shared" si="143"/>
        <v>5.9821428571428568</v>
      </c>
      <c r="JO33" s="10">
        <f t="shared" si="144"/>
        <v>0</v>
      </c>
      <c r="JP33" s="10">
        <f t="shared" si="145"/>
        <v>0</v>
      </c>
      <c r="JQ33" s="10">
        <f t="shared" si="146"/>
        <v>0</v>
      </c>
      <c r="JR33" s="10">
        <f t="shared" si="147"/>
        <v>5.9821428571428568</v>
      </c>
      <c r="JS33" s="10">
        <f t="shared" si="148"/>
        <v>0</v>
      </c>
      <c r="JT33" s="10">
        <f t="shared" si="149"/>
        <v>0</v>
      </c>
      <c r="JU33" s="10">
        <f t="shared" si="150"/>
        <v>0</v>
      </c>
      <c r="JV33" s="10">
        <f t="shared" si="151"/>
        <v>0</v>
      </c>
      <c r="JW33" s="10">
        <f t="shared" si="152"/>
        <v>0</v>
      </c>
      <c r="JX33" s="10">
        <f t="shared" si="153"/>
        <v>119.64285714285714</v>
      </c>
      <c r="JY33" s="10">
        <f t="shared" si="154"/>
        <v>0</v>
      </c>
      <c r="JZ33" s="10">
        <f t="shared" si="155"/>
        <v>0</v>
      </c>
      <c r="KA33" s="10">
        <f t="shared" si="156"/>
        <v>0</v>
      </c>
      <c r="KB33" s="10">
        <f t="shared" si="157"/>
        <v>0</v>
      </c>
      <c r="KC33" s="10">
        <f t="shared" si="158"/>
        <v>0</v>
      </c>
      <c r="KD33" s="10">
        <f t="shared" si="159"/>
        <v>0</v>
      </c>
      <c r="KE33" s="10">
        <f t="shared" si="160"/>
        <v>0</v>
      </c>
      <c r="KF33" s="10">
        <f t="shared" si="161"/>
        <v>0</v>
      </c>
      <c r="KG33" s="10">
        <f t="shared" si="162"/>
        <v>0</v>
      </c>
      <c r="KH33" s="10">
        <f t="shared" si="163"/>
        <v>0</v>
      </c>
      <c r="KI33" s="10">
        <f t="shared" si="164"/>
        <v>0</v>
      </c>
      <c r="KJ33" s="10">
        <f t="shared" si="165"/>
        <v>0</v>
      </c>
      <c r="KK33" s="10">
        <f t="shared" si="166"/>
        <v>0</v>
      </c>
      <c r="KL33" s="10">
        <f t="shared" si="167"/>
        <v>0</v>
      </c>
      <c r="KM33" s="10">
        <f t="shared" si="168"/>
        <v>0</v>
      </c>
      <c r="KN33" s="10">
        <f t="shared" si="169"/>
        <v>0</v>
      </c>
      <c r="KO33" s="10">
        <f t="shared" si="170"/>
        <v>0</v>
      </c>
      <c r="KP33" s="10">
        <f t="shared" si="171"/>
        <v>0</v>
      </c>
      <c r="KQ33" s="11">
        <v>670</v>
      </c>
      <c r="KR33" s="16"/>
      <c r="KS33" s="12">
        <v>6230.9798912585593</v>
      </c>
      <c r="KT33" s="26">
        <v>90</v>
      </c>
      <c r="KU33" s="26">
        <v>0.93333333333333335</v>
      </c>
      <c r="KV33" s="26">
        <v>1</v>
      </c>
      <c r="KW33" s="26">
        <v>-16.25</v>
      </c>
      <c r="KX33" s="26">
        <v>8.4</v>
      </c>
      <c r="KY33" s="27">
        <v>2.9675871313267037</v>
      </c>
      <c r="KZ33" s="27">
        <v>3.461773164853216</v>
      </c>
      <c r="LA33" s="17"/>
      <c r="LB33" s="2">
        <v>1492</v>
      </c>
      <c r="LC33" s="1">
        <v>0</v>
      </c>
      <c r="LD33" s="1">
        <v>0</v>
      </c>
      <c r="LE33" s="1">
        <v>0</v>
      </c>
      <c r="LF33" s="1">
        <v>0</v>
      </c>
      <c r="LG33" s="1">
        <v>6</v>
      </c>
      <c r="LH33" s="1">
        <v>0</v>
      </c>
      <c r="LI33" s="1">
        <v>0</v>
      </c>
      <c r="LJ33" s="1">
        <v>0</v>
      </c>
      <c r="LK33" s="1">
        <v>0</v>
      </c>
      <c r="LL33" s="1">
        <v>20</v>
      </c>
      <c r="LM33" s="1">
        <v>880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16</v>
      </c>
      <c r="LU33" s="1">
        <v>0</v>
      </c>
      <c r="LV33" s="1">
        <v>0</v>
      </c>
      <c r="LW33" s="1">
        <v>2</v>
      </c>
      <c r="LX33" s="1">
        <v>0</v>
      </c>
      <c r="LY33" s="1">
        <v>22</v>
      </c>
      <c r="LZ33" s="1">
        <v>2</v>
      </c>
      <c r="MA33" s="1">
        <v>0</v>
      </c>
      <c r="MB33" s="1">
        <v>0</v>
      </c>
      <c r="MC33" s="1">
        <v>0</v>
      </c>
      <c r="MD33" s="1">
        <v>544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28"/>
      <c r="ML33" t="s">
        <v>849</v>
      </c>
      <c r="MM33" t="s">
        <v>260</v>
      </c>
      <c r="MN33" t="s">
        <v>320</v>
      </c>
      <c r="MO33" t="s">
        <v>334</v>
      </c>
      <c r="MP33" t="s">
        <v>335</v>
      </c>
      <c r="MQ33" t="s">
        <v>336</v>
      </c>
      <c r="MR33">
        <v>0.1</v>
      </c>
      <c r="MS33" t="s">
        <v>260</v>
      </c>
      <c r="MT33" t="s">
        <v>261</v>
      </c>
      <c r="MU33" t="s">
        <v>262</v>
      </c>
      <c r="MV33">
        <v>5720</v>
      </c>
      <c r="MW33" s="13">
        <v>374</v>
      </c>
      <c r="MX33" s="13" t="s">
        <v>263</v>
      </c>
      <c r="MY33" t="s">
        <v>240</v>
      </c>
      <c r="MZ33" t="s">
        <v>241</v>
      </c>
      <c r="NA33" t="s">
        <v>242</v>
      </c>
      <c r="NB33" t="s">
        <v>264</v>
      </c>
      <c r="NC33" t="s">
        <v>265</v>
      </c>
      <c r="ND33" s="18">
        <v>43270</v>
      </c>
      <c r="NE33" s="19">
        <v>0.97430555555555554</v>
      </c>
      <c r="NF33" t="s">
        <v>244</v>
      </c>
      <c r="NG33" t="s">
        <v>245</v>
      </c>
      <c r="NH33" t="s">
        <v>246</v>
      </c>
      <c r="NI33">
        <v>80.7</v>
      </c>
      <c r="NJ33" t="s">
        <v>244</v>
      </c>
      <c r="NK33">
        <v>5</v>
      </c>
      <c r="NL33" t="s">
        <v>247</v>
      </c>
      <c r="NM33">
        <v>29.62689</v>
      </c>
      <c r="NN33">
        <v>-84.931380000000004</v>
      </c>
      <c r="NO33" t="s">
        <v>248</v>
      </c>
      <c r="NP33" t="s">
        <v>266</v>
      </c>
      <c r="NQ33">
        <v>1</v>
      </c>
      <c r="NR33" t="s">
        <v>247</v>
      </c>
      <c r="NS33" t="s">
        <v>267</v>
      </c>
      <c r="NT33" t="s">
        <v>244</v>
      </c>
      <c r="NU33" t="s">
        <v>244</v>
      </c>
      <c r="NV33" t="s">
        <v>248</v>
      </c>
      <c r="NW33" t="s">
        <v>261</v>
      </c>
      <c r="NX33" t="s">
        <v>262</v>
      </c>
      <c r="NY33">
        <v>95.7</v>
      </c>
      <c r="NZ33">
        <v>94.1</v>
      </c>
      <c r="OA33">
        <v>82.9</v>
      </c>
      <c r="OB33" s="14">
        <v>6230.9798912585593</v>
      </c>
      <c r="OC33" t="s">
        <v>248</v>
      </c>
      <c r="OD33" t="s">
        <v>247</v>
      </c>
      <c r="OE33" t="s">
        <v>248</v>
      </c>
      <c r="OF33" t="s">
        <v>268</v>
      </c>
      <c r="OG33" t="s">
        <v>247</v>
      </c>
      <c r="OH33">
        <v>13</v>
      </c>
      <c r="OI33" t="s">
        <v>261</v>
      </c>
      <c r="OJ33" t="s">
        <v>265</v>
      </c>
      <c r="OK33">
        <v>90</v>
      </c>
      <c r="OL33">
        <v>0.93333333333333335</v>
      </c>
      <c r="OM33">
        <v>1</v>
      </c>
      <c r="ON33">
        <v>-16.25</v>
      </c>
      <c r="OO33">
        <v>8.4</v>
      </c>
      <c r="OP33" s="25">
        <v>2.9675871313267037</v>
      </c>
      <c r="OQ33" s="25">
        <v>3.461773164853216</v>
      </c>
      <c r="OR33" t="s">
        <v>909</v>
      </c>
      <c r="OS33" t="s">
        <v>911</v>
      </c>
    </row>
    <row r="34" spans="1:409" x14ac:dyDescent="0.25">
      <c r="A34">
        <v>33</v>
      </c>
      <c r="B34" s="1">
        <v>104</v>
      </c>
      <c r="C34" s="1">
        <v>19</v>
      </c>
      <c r="D34" s="1">
        <v>0</v>
      </c>
      <c r="E34" s="1">
        <v>15</v>
      </c>
      <c r="F34" s="1">
        <v>30</v>
      </c>
      <c r="G34" s="1">
        <v>34</v>
      </c>
      <c r="H34" s="1">
        <v>0</v>
      </c>
      <c r="I34" s="1">
        <v>4</v>
      </c>
      <c r="J34" s="1">
        <v>85</v>
      </c>
      <c r="K34" s="1">
        <v>0</v>
      </c>
      <c r="L34" s="1">
        <v>12</v>
      </c>
      <c r="M34" s="1">
        <v>0</v>
      </c>
      <c r="N34" s="1">
        <v>11</v>
      </c>
      <c r="O34" s="1">
        <v>0</v>
      </c>
      <c r="P34" s="1">
        <v>0</v>
      </c>
      <c r="Q34" s="1">
        <v>33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2">
        <v>347</v>
      </c>
      <c r="Y34" s="3"/>
      <c r="Z34" s="15">
        <f t="shared" ref="Z34:Z65" si="172">AX34/$OB34*10</f>
        <v>8.3453968569134354</v>
      </c>
      <c r="AA34" s="15">
        <f t="shared" ref="AA34:AA65" si="173">AY34/$OB34*10</f>
        <v>1.5246398103976468</v>
      </c>
      <c r="AB34" s="15">
        <f t="shared" ref="AB34:AB65" si="174">AZ34/$OB34*10</f>
        <v>0</v>
      </c>
      <c r="AC34" s="15">
        <f t="shared" ref="AC34:AC65" si="175">BA34/$OB34*10</f>
        <v>1.2036630082086686</v>
      </c>
      <c r="AD34" s="15">
        <f t="shared" ref="AD34:AD65" si="176">BB34/$OB34*10</f>
        <v>2.4073260164173371</v>
      </c>
      <c r="AE34" s="15">
        <f t="shared" ref="AE34:AE65" si="177">BC34/$OB34*10</f>
        <v>2.7283028186063154</v>
      </c>
      <c r="AF34" s="15">
        <f t="shared" ref="AF34:AF65" si="178">BD34/$OB34*10</f>
        <v>0</v>
      </c>
      <c r="AG34" s="15">
        <f t="shared" ref="AG34:AG65" si="179">BE34/$OB34*10</f>
        <v>0.32097680218897828</v>
      </c>
      <c r="AH34" s="15">
        <f t="shared" ref="AH34:AH65" si="180">BF34/$OB34*10</f>
        <v>6.820757046515789</v>
      </c>
      <c r="AI34" s="15">
        <f t="shared" ref="AI34:AI65" si="181">BG34/$OB34*10</f>
        <v>0</v>
      </c>
      <c r="AJ34" s="15">
        <f t="shared" ref="AJ34:AJ65" si="182">BH34/$OB34*10</f>
        <v>0.96293040656693485</v>
      </c>
      <c r="AK34" s="15">
        <f t="shared" ref="AK34:AK65" si="183">BI34/$OB34*10</f>
        <v>0</v>
      </c>
      <c r="AL34" s="15">
        <f t="shared" ref="AL34:AL65" si="184">BJ34/$OB34*10</f>
        <v>0.88268620601969028</v>
      </c>
      <c r="AM34" s="15">
        <f t="shared" ref="AM34:AM65" si="185">BK34/$OB34*10</f>
        <v>0</v>
      </c>
      <c r="AN34" s="15">
        <f t="shared" ref="AN34:AN65" si="186">BL34/$OB34*10</f>
        <v>0</v>
      </c>
      <c r="AO34" s="15">
        <f t="shared" ref="AO34:AO65" si="187">BM34/$OB34*10</f>
        <v>2.6480586180590708</v>
      </c>
      <c r="AP34" s="15">
        <f t="shared" ref="AP34:AP65" si="188">BN34/$OB34*10</f>
        <v>0</v>
      </c>
      <c r="AQ34" s="15">
        <f t="shared" ref="AQ34:AQ65" si="189">BO34/$OB34*10</f>
        <v>0</v>
      </c>
      <c r="AR34" s="15">
        <f t="shared" ref="AR34:AR65" si="190">BP34/$OB34*10</f>
        <v>0</v>
      </c>
      <c r="AS34" s="15">
        <f t="shared" ref="AS34:AS65" si="191">BQ34/$OB34*10</f>
        <v>0</v>
      </c>
      <c r="AT34" s="15">
        <f t="shared" ref="AT34:AT65" si="192">BR34/$OB34*10</f>
        <v>0</v>
      </c>
      <c r="AU34" s="15">
        <f t="shared" ref="AU34:AU65" si="193">BS34/$OB34*10</f>
        <v>0</v>
      </c>
      <c r="AV34" s="5">
        <f t="shared" ref="AV34:AV65" si="194">BT34/$OB34*10</f>
        <v>27.844737589893867</v>
      </c>
      <c r="AW34" s="16"/>
      <c r="AX34" s="6">
        <v>5200</v>
      </c>
      <c r="AY34" s="6">
        <v>950</v>
      </c>
      <c r="AZ34" s="6">
        <v>0</v>
      </c>
      <c r="BA34" s="6">
        <v>750</v>
      </c>
      <c r="BB34" s="6">
        <v>1500</v>
      </c>
      <c r="BC34" s="6">
        <v>1700</v>
      </c>
      <c r="BD34" s="6">
        <v>0</v>
      </c>
      <c r="BE34" s="6">
        <v>200</v>
      </c>
      <c r="BF34" s="6">
        <v>4250</v>
      </c>
      <c r="BG34" s="6">
        <v>0</v>
      </c>
      <c r="BH34" s="6">
        <v>600</v>
      </c>
      <c r="BI34" s="6">
        <v>0</v>
      </c>
      <c r="BJ34" s="6">
        <v>550</v>
      </c>
      <c r="BK34" s="6">
        <v>0</v>
      </c>
      <c r="BL34" s="6">
        <v>0</v>
      </c>
      <c r="BM34" s="6">
        <v>1650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7">
        <v>17350</v>
      </c>
      <c r="BU34" s="16"/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1</v>
      </c>
      <c r="CM34" s="8">
        <v>0</v>
      </c>
      <c r="CN34" s="8">
        <v>38</v>
      </c>
      <c r="CO34" s="8">
        <v>0</v>
      </c>
      <c r="CP34" s="8">
        <v>0</v>
      </c>
      <c r="CQ34" s="8">
        <v>0</v>
      </c>
      <c r="CR34" s="8">
        <v>4</v>
      </c>
      <c r="CS34" s="8">
        <v>0</v>
      </c>
      <c r="CT34" s="8">
        <v>0</v>
      </c>
      <c r="CU34" s="8">
        <v>2</v>
      </c>
      <c r="CV34" s="8">
        <v>0</v>
      </c>
      <c r="CW34" s="8">
        <v>0</v>
      </c>
      <c r="CX34" s="8">
        <v>3</v>
      </c>
      <c r="CY34" s="8">
        <v>5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1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1</v>
      </c>
      <c r="EB34" s="8">
        <v>0</v>
      </c>
      <c r="EC34" s="8">
        <v>0</v>
      </c>
      <c r="ED34" s="8">
        <v>0</v>
      </c>
      <c r="EE34" s="8">
        <v>0</v>
      </c>
      <c r="EF34" s="8">
        <v>1</v>
      </c>
      <c r="EG34" s="8">
        <v>0</v>
      </c>
      <c r="EH34" s="8">
        <v>0</v>
      </c>
      <c r="EI34" s="8">
        <v>0</v>
      </c>
      <c r="EJ34" s="8">
        <v>0</v>
      </c>
      <c r="EK34" s="8">
        <v>8</v>
      </c>
      <c r="EL34" s="8">
        <v>0</v>
      </c>
      <c r="EM34" s="8">
        <v>0</v>
      </c>
      <c r="EN34" s="8">
        <v>0</v>
      </c>
      <c r="EO34" s="8">
        <v>0</v>
      </c>
      <c r="EP34" s="8">
        <v>2</v>
      </c>
      <c r="EQ34" s="8">
        <v>0</v>
      </c>
      <c r="ER34" s="8">
        <v>0</v>
      </c>
      <c r="ES34" s="8">
        <v>0</v>
      </c>
      <c r="ET34" s="8">
        <v>0</v>
      </c>
      <c r="EU34" s="8">
        <v>1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1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23</v>
      </c>
      <c r="FN34" s="8">
        <v>0</v>
      </c>
      <c r="FO34" s="8">
        <v>0</v>
      </c>
      <c r="FP34" s="8">
        <v>0</v>
      </c>
      <c r="FQ34" s="8">
        <v>2</v>
      </c>
      <c r="FR34" s="8">
        <v>2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9">
        <v>95</v>
      </c>
      <c r="GG34" s="3"/>
      <c r="GH34" s="10">
        <f t="shared" si="60"/>
        <v>0</v>
      </c>
      <c r="GI34" s="10">
        <f t="shared" si="61"/>
        <v>0</v>
      </c>
      <c r="GJ34" s="10">
        <f t="shared" si="62"/>
        <v>0</v>
      </c>
      <c r="GK34" s="10">
        <f t="shared" si="63"/>
        <v>0</v>
      </c>
      <c r="GL34" s="10">
        <f t="shared" si="64"/>
        <v>0</v>
      </c>
      <c r="GM34" s="10">
        <f t="shared" si="65"/>
        <v>0</v>
      </c>
      <c r="GN34" s="10">
        <f t="shared" si="66"/>
        <v>0</v>
      </c>
      <c r="GO34" s="10">
        <f t="shared" si="67"/>
        <v>0</v>
      </c>
      <c r="GP34" s="10">
        <f t="shared" si="68"/>
        <v>0</v>
      </c>
      <c r="GQ34" s="10">
        <f t="shared" si="69"/>
        <v>0</v>
      </c>
      <c r="GR34" s="10">
        <f t="shared" si="70"/>
        <v>0</v>
      </c>
      <c r="GS34" s="10">
        <f t="shared" si="71"/>
        <v>0</v>
      </c>
      <c r="GT34" s="10">
        <f t="shared" si="72"/>
        <v>0</v>
      </c>
      <c r="GU34" s="10">
        <f t="shared" si="73"/>
        <v>0</v>
      </c>
      <c r="GV34" s="10">
        <f t="shared" si="74"/>
        <v>0</v>
      </c>
      <c r="GW34" s="10">
        <f t="shared" si="75"/>
        <v>0</v>
      </c>
      <c r="GX34" s="10">
        <f t="shared" si="76"/>
        <v>54.736842105263158</v>
      </c>
      <c r="GY34" s="10">
        <f t="shared" si="77"/>
        <v>0</v>
      </c>
      <c r="GZ34" s="10">
        <f t="shared" si="78"/>
        <v>2080</v>
      </c>
      <c r="HA34" s="10">
        <f t="shared" si="79"/>
        <v>0</v>
      </c>
      <c r="HB34" s="10">
        <f t="shared" si="80"/>
        <v>0</v>
      </c>
      <c r="HC34" s="10">
        <f t="shared" si="81"/>
        <v>0</v>
      </c>
      <c r="HD34" s="10">
        <f t="shared" si="82"/>
        <v>218.94736842105263</v>
      </c>
      <c r="HE34" s="10">
        <f t="shared" si="83"/>
        <v>0</v>
      </c>
      <c r="HF34" s="10">
        <f t="shared" si="84"/>
        <v>0</v>
      </c>
      <c r="HG34" s="10">
        <f t="shared" si="85"/>
        <v>109.47368421052632</v>
      </c>
      <c r="HH34" s="10">
        <f t="shared" si="86"/>
        <v>0</v>
      </c>
      <c r="HI34" s="10">
        <f t="shared" si="87"/>
        <v>0</v>
      </c>
      <c r="HJ34" s="10">
        <f t="shared" si="88"/>
        <v>164.21052631578948</v>
      </c>
      <c r="HK34" s="10">
        <f t="shared" si="89"/>
        <v>273.68421052631578</v>
      </c>
      <c r="HL34" s="10">
        <f t="shared" si="90"/>
        <v>0</v>
      </c>
      <c r="HM34" s="10">
        <f t="shared" si="91"/>
        <v>0</v>
      </c>
      <c r="HN34" s="10">
        <f t="shared" si="92"/>
        <v>0</v>
      </c>
      <c r="HO34" s="10">
        <f t="shared" si="93"/>
        <v>0</v>
      </c>
      <c r="HP34" s="10">
        <f t="shared" si="94"/>
        <v>0</v>
      </c>
      <c r="HQ34" s="10">
        <f t="shared" si="95"/>
        <v>54.736842105263158</v>
      </c>
      <c r="HR34" s="10">
        <f t="shared" si="96"/>
        <v>0</v>
      </c>
      <c r="HS34" s="10">
        <f t="shared" si="97"/>
        <v>0</v>
      </c>
      <c r="HT34" s="10">
        <f t="shared" si="98"/>
        <v>0</v>
      </c>
      <c r="HU34" s="10">
        <f t="shared" si="99"/>
        <v>0</v>
      </c>
      <c r="HV34" s="10">
        <f t="shared" si="100"/>
        <v>0</v>
      </c>
      <c r="HW34" s="10">
        <f t="shared" si="101"/>
        <v>0</v>
      </c>
      <c r="HX34" s="10">
        <f t="shared" si="102"/>
        <v>0</v>
      </c>
      <c r="HY34" s="10">
        <f t="shared" si="103"/>
        <v>0</v>
      </c>
      <c r="HZ34" s="10">
        <f t="shared" si="104"/>
        <v>0</v>
      </c>
      <c r="IA34" s="10">
        <f t="shared" si="105"/>
        <v>0</v>
      </c>
      <c r="IB34" s="10">
        <f t="shared" si="106"/>
        <v>0</v>
      </c>
      <c r="IC34" s="10">
        <f t="shared" si="107"/>
        <v>0</v>
      </c>
      <c r="ID34" s="10">
        <f t="shared" si="108"/>
        <v>0</v>
      </c>
      <c r="IE34" s="10">
        <f t="shared" si="109"/>
        <v>0</v>
      </c>
      <c r="IF34" s="10">
        <f t="shared" si="110"/>
        <v>0</v>
      </c>
      <c r="IG34" s="10">
        <f t="shared" si="111"/>
        <v>0</v>
      </c>
      <c r="IH34" s="10">
        <f t="shared" si="112"/>
        <v>0</v>
      </c>
      <c r="II34" s="10">
        <f t="shared" si="113"/>
        <v>0</v>
      </c>
      <c r="IJ34" s="10">
        <f t="shared" si="114"/>
        <v>0</v>
      </c>
      <c r="IK34" s="10">
        <f t="shared" si="115"/>
        <v>0</v>
      </c>
      <c r="IL34" s="10">
        <f t="shared" si="116"/>
        <v>0</v>
      </c>
      <c r="IM34" s="10">
        <f t="shared" si="117"/>
        <v>54.736842105263158</v>
      </c>
      <c r="IN34" s="10">
        <f t="shared" si="118"/>
        <v>0</v>
      </c>
      <c r="IO34" s="10">
        <f t="shared" si="119"/>
        <v>0</v>
      </c>
      <c r="IP34" s="10">
        <f t="shared" si="120"/>
        <v>0</v>
      </c>
      <c r="IQ34" s="10">
        <f t="shared" si="121"/>
        <v>0</v>
      </c>
      <c r="IR34" s="10">
        <f t="shared" si="122"/>
        <v>54.736842105263158</v>
      </c>
      <c r="IS34" s="10">
        <f t="shared" si="123"/>
        <v>0</v>
      </c>
      <c r="IT34" s="10">
        <f t="shared" si="124"/>
        <v>0</v>
      </c>
      <c r="IU34" s="10">
        <f t="shared" si="125"/>
        <v>0</v>
      </c>
      <c r="IV34" s="10">
        <f t="shared" si="126"/>
        <v>0</v>
      </c>
      <c r="IW34" s="10">
        <f t="shared" si="127"/>
        <v>437.89473684210526</v>
      </c>
      <c r="IX34" s="10">
        <f t="shared" si="128"/>
        <v>0</v>
      </c>
      <c r="IY34" s="10">
        <f t="shared" si="129"/>
        <v>0</v>
      </c>
      <c r="IZ34" s="10">
        <f t="shared" si="130"/>
        <v>0</v>
      </c>
      <c r="JA34" s="10">
        <f t="shared" si="131"/>
        <v>0</v>
      </c>
      <c r="JB34" s="10">
        <f t="shared" si="132"/>
        <v>109.47368421052632</v>
      </c>
      <c r="JC34" s="10">
        <f t="shared" si="133"/>
        <v>0</v>
      </c>
      <c r="JD34" s="10">
        <f t="shared" si="134"/>
        <v>0</v>
      </c>
      <c r="JE34" s="10">
        <f t="shared" si="135"/>
        <v>0</v>
      </c>
      <c r="JF34" s="10">
        <f t="shared" si="136"/>
        <v>0</v>
      </c>
      <c r="JG34" s="10">
        <v>54.736842105263158</v>
      </c>
      <c r="JH34" s="10">
        <f t="shared" si="137"/>
        <v>0</v>
      </c>
      <c r="JI34" s="10">
        <f t="shared" si="138"/>
        <v>0</v>
      </c>
      <c r="JJ34" s="10">
        <f t="shared" si="139"/>
        <v>0</v>
      </c>
      <c r="JK34" s="10">
        <f t="shared" si="140"/>
        <v>0</v>
      </c>
      <c r="JL34" s="10">
        <f t="shared" si="141"/>
        <v>0</v>
      </c>
      <c r="JM34" s="10">
        <f t="shared" si="142"/>
        <v>0</v>
      </c>
      <c r="JN34" s="10">
        <f t="shared" si="143"/>
        <v>54.736842105263158</v>
      </c>
      <c r="JO34" s="10">
        <f t="shared" si="144"/>
        <v>0</v>
      </c>
      <c r="JP34" s="10">
        <f t="shared" si="145"/>
        <v>0</v>
      </c>
      <c r="JQ34" s="10">
        <f t="shared" si="146"/>
        <v>0</v>
      </c>
      <c r="JR34" s="10">
        <f t="shared" si="147"/>
        <v>0</v>
      </c>
      <c r="JS34" s="10">
        <f t="shared" si="148"/>
        <v>0</v>
      </c>
      <c r="JT34" s="10">
        <f t="shared" si="149"/>
        <v>0</v>
      </c>
      <c r="JU34" s="10">
        <f t="shared" si="150"/>
        <v>0</v>
      </c>
      <c r="JV34" s="10">
        <f t="shared" si="151"/>
        <v>0</v>
      </c>
      <c r="JW34" s="10">
        <f t="shared" si="152"/>
        <v>0</v>
      </c>
      <c r="JX34" s="10">
        <f t="shared" si="153"/>
        <v>1258.9473684210527</v>
      </c>
      <c r="JY34" s="10">
        <f t="shared" si="154"/>
        <v>0</v>
      </c>
      <c r="JZ34" s="10">
        <f t="shared" si="155"/>
        <v>0</v>
      </c>
      <c r="KA34" s="10">
        <f t="shared" si="156"/>
        <v>0</v>
      </c>
      <c r="KB34" s="10">
        <f t="shared" si="157"/>
        <v>109.47368421052632</v>
      </c>
      <c r="KC34" s="10">
        <f t="shared" si="158"/>
        <v>109.47368421052632</v>
      </c>
      <c r="KD34" s="10">
        <f t="shared" si="159"/>
        <v>0</v>
      </c>
      <c r="KE34" s="10">
        <f t="shared" si="160"/>
        <v>0</v>
      </c>
      <c r="KF34" s="10">
        <f t="shared" si="161"/>
        <v>0</v>
      </c>
      <c r="KG34" s="10">
        <f t="shared" si="162"/>
        <v>0</v>
      </c>
      <c r="KH34" s="10">
        <f t="shared" si="163"/>
        <v>0</v>
      </c>
      <c r="KI34" s="10">
        <f t="shared" si="164"/>
        <v>0</v>
      </c>
      <c r="KJ34" s="10">
        <f t="shared" si="165"/>
        <v>0</v>
      </c>
      <c r="KK34" s="10">
        <f t="shared" si="166"/>
        <v>0</v>
      </c>
      <c r="KL34" s="10">
        <f t="shared" si="167"/>
        <v>0</v>
      </c>
      <c r="KM34" s="10">
        <f t="shared" si="168"/>
        <v>0</v>
      </c>
      <c r="KN34" s="10">
        <f t="shared" si="169"/>
        <v>0</v>
      </c>
      <c r="KO34" s="10">
        <f t="shared" si="170"/>
        <v>0</v>
      </c>
      <c r="KP34" s="10">
        <f t="shared" si="171"/>
        <v>0</v>
      </c>
      <c r="KQ34" s="11">
        <v>5200.0000000000018</v>
      </c>
      <c r="KR34" s="16"/>
      <c r="KS34" s="12">
        <v>6230.9798912585593</v>
      </c>
      <c r="KT34" s="26">
        <v>90</v>
      </c>
      <c r="KU34" s="26">
        <v>0.93333333333333335</v>
      </c>
      <c r="KV34" s="26">
        <v>1</v>
      </c>
      <c r="KW34" s="26">
        <v>-16.25</v>
      </c>
      <c r="KX34" s="26">
        <v>8.4</v>
      </c>
      <c r="KY34" s="27">
        <v>2.9675871313267037</v>
      </c>
      <c r="KZ34" s="27">
        <v>3.461773164853216</v>
      </c>
      <c r="LA34" s="17"/>
      <c r="LB34" s="2">
        <v>879</v>
      </c>
      <c r="LC34" s="1">
        <v>0</v>
      </c>
      <c r="LD34" s="1">
        <v>0</v>
      </c>
      <c r="LE34" s="1">
        <v>0</v>
      </c>
      <c r="LF34" s="1">
        <v>0</v>
      </c>
      <c r="LG34" s="1">
        <v>11</v>
      </c>
      <c r="LH34" s="1">
        <v>0</v>
      </c>
      <c r="LI34" s="1">
        <v>0</v>
      </c>
      <c r="LJ34" s="1">
        <v>0</v>
      </c>
      <c r="LK34" s="1">
        <v>0</v>
      </c>
      <c r="LL34" s="1">
        <v>92</v>
      </c>
      <c r="LM34" s="1">
        <v>13</v>
      </c>
      <c r="LN34" s="1">
        <v>577</v>
      </c>
      <c r="LO34" s="1">
        <v>0</v>
      </c>
      <c r="LP34" s="1">
        <v>2</v>
      </c>
      <c r="LQ34" s="1">
        <v>0</v>
      </c>
      <c r="LR34" s="1">
        <v>0</v>
      </c>
      <c r="LS34" s="1">
        <v>0</v>
      </c>
      <c r="LT34" s="1">
        <v>34</v>
      </c>
      <c r="LU34" s="1">
        <v>0</v>
      </c>
      <c r="LV34" s="1">
        <v>0</v>
      </c>
      <c r="LW34" s="1">
        <v>0</v>
      </c>
      <c r="LX34" s="1">
        <v>0</v>
      </c>
      <c r="LY34" s="1">
        <v>2</v>
      </c>
      <c r="LZ34" s="1">
        <v>0</v>
      </c>
      <c r="MA34" s="1">
        <v>2</v>
      </c>
      <c r="MB34" s="1">
        <v>0</v>
      </c>
      <c r="MC34" s="1">
        <v>0</v>
      </c>
      <c r="MD34" s="1">
        <v>146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28"/>
      <c r="ML34" t="s">
        <v>850</v>
      </c>
      <c r="MM34" t="s">
        <v>348</v>
      </c>
      <c r="MN34" t="s">
        <v>320</v>
      </c>
      <c r="MO34" t="s">
        <v>337</v>
      </c>
      <c r="MP34" t="s">
        <v>338</v>
      </c>
      <c r="MQ34" t="s">
        <v>339</v>
      </c>
      <c r="MR34">
        <v>0.02</v>
      </c>
      <c r="MS34" t="s">
        <v>260</v>
      </c>
      <c r="MT34" t="s">
        <v>261</v>
      </c>
      <c r="MU34" t="s">
        <v>262</v>
      </c>
      <c r="MV34">
        <v>17350</v>
      </c>
      <c r="MW34" s="13">
        <v>374</v>
      </c>
      <c r="MX34" s="13" t="s">
        <v>263</v>
      </c>
      <c r="MY34" t="s">
        <v>240</v>
      </c>
      <c r="MZ34" t="s">
        <v>241</v>
      </c>
      <c r="NA34" t="s">
        <v>242</v>
      </c>
      <c r="NB34" t="s">
        <v>264</v>
      </c>
      <c r="NC34" t="s">
        <v>265</v>
      </c>
      <c r="ND34" s="18">
        <v>43270</v>
      </c>
      <c r="NE34" s="19">
        <v>0.97430555555555554</v>
      </c>
      <c r="NF34" t="s">
        <v>244</v>
      </c>
      <c r="NG34" t="s">
        <v>245</v>
      </c>
      <c r="NH34" t="s">
        <v>246</v>
      </c>
      <c r="NI34">
        <v>80.7</v>
      </c>
      <c r="NJ34" t="s">
        <v>244</v>
      </c>
      <c r="NK34">
        <v>5</v>
      </c>
      <c r="NL34" t="s">
        <v>247</v>
      </c>
      <c r="NM34">
        <v>29.62689</v>
      </c>
      <c r="NN34">
        <v>-84.931380000000004</v>
      </c>
      <c r="NO34" t="s">
        <v>248</v>
      </c>
      <c r="NP34" t="s">
        <v>266</v>
      </c>
      <c r="NQ34">
        <v>1</v>
      </c>
      <c r="NR34" t="s">
        <v>247</v>
      </c>
      <c r="NS34" t="s">
        <v>267</v>
      </c>
      <c r="NT34" t="s">
        <v>244</v>
      </c>
      <c r="NU34" t="s">
        <v>244</v>
      </c>
      <c r="NV34" t="s">
        <v>248</v>
      </c>
      <c r="NW34" t="s">
        <v>261</v>
      </c>
      <c r="NX34" t="s">
        <v>262</v>
      </c>
      <c r="NY34">
        <v>95.7</v>
      </c>
      <c r="NZ34">
        <v>94.1</v>
      </c>
      <c r="OA34">
        <v>82.9</v>
      </c>
      <c r="OB34" s="14">
        <v>6230.9798912585593</v>
      </c>
      <c r="OC34" t="s">
        <v>248</v>
      </c>
      <c r="OD34" t="s">
        <v>247</v>
      </c>
      <c r="OE34" t="s">
        <v>248</v>
      </c>
      <c r="OF34" t="s">
        <v>268</v>
      </c>
      <c r="OG34" t="s">
        <v>247</v>
      </c>
      <c r="OH34">
        <v>12</v>
      </c>
      <c r="OI34" t="s">
        <v>261</v>
      </c>
      <c r="OJ34" t="s">
        <v>265</v>
      </c>
      <c r="OK34">
        <v>90</v>
      </c>
      <c r="OL34">
        <v>0.93333333333333335</v>
      </c>
      <c r="OM34">
        <v>1</v>
      </c>
      <c r="ON34">
        <v>-16.25</v>
      </c>
      <c r="OO34">
        <v>8.4</v>
      </c>
      <c r="OP34" s="25">
        <v>2.9675871313267037</v>
      </c>
      <c r="OQ34" s="25">
        <v>3.461773164853216</v>
      </c>
      <c r="OR34" t="s">
        <v>909</v>
      </c>
      <c r="OS34" t="s">
        <v>911</v>
      </c>
    </row>
    <row r="35" spans="1:409" x14ac:dyDescent="0.25">
      <c r="A35">
        <v>34</v>
      </c>
      <c r="B35" s="1">
        <v>132</v>
      </c>
      <c r="C35" s="1">
        <v>7</v>
      </c>
      <c r="D35" s="1">
        <v>0</v>
      </c>
      <c r="E35" s="1">
        <v>0</v>
      </c>
      <c r="F35" s="1">
        <v>0</v>
      </c>
      <c r="G35" s="1">
        <v>2</v>
      </c>
      <c r="H35" s="1">
        <v>0</v>
      </c>
      <c r="I35" s="1">
        <v>0</v>
      </c>
      <c r="J35" s="1">
        <v>2</v>
      </c>
      <c r="K35" s="1">
        <v>0</v>
      </c>
      <c r="L35" s="1">
        <v>1282</v>
      </c>
      <c r="M35" s="1">
        <v>0</v>
      </c>
      <c r="N35" s="1">
        <v>0</v>
      </c>
      <c r="O35" s="1">
        <v>0</v>
      </c>
      <c r="P35" s="1">
        <v>0</v>
      </c>
      <c r="Q35" s="1">
        <v>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2">
        <v>1427</v>
      </c>
      <c r="Y35" s="3"/>
      <c r="Z35" s="15">
        <f t="shared" si="172"/>
        <v>4.1287915223102472</v>
      </c>
      <c r="AA35" s="15">
        <f t="shared" si="173"/>
        <v>0.21895106557705854</v>
      </c>
      <c r="AB35" s="15">
        <f t="shared" si="174"/>
        <v>0</v>
      </c>
      <c r="AC35" s="15">
        <f t="shared" si="175"/>
        <v>0</v>
      </c>
      <c r="AD35" s="15">
        <f t="shared" si="176"/>
        <v>0</v>
      </c>
      <c r="AE35" s="15">
        <f t="shared" si="177"/>
        <v>6.2557447307731009E-2</v>
      </c>
      <c r="AF35" s="15">
        <f t="shared" si="178"/>
        <v>0</v>
      </c>
      <c r="AG35" s="15">
        <f t="shared" si="179"/>
        <v>0</v>
      </c>
      <c r="AH35" s="15">
        <f t="shared" si="180"/>
        <v>6.2557447307731009E-2</v>
      </c>
      <c r="AI35" s="15">
        <f t="shared" si="181"/>
        <v>0</v>
      </c>
      <c r="AJ35" s="15">
        <f t="shared" si="182"/>
        <v>40.099323724255584</v>
      </c>
      <c r="AK35" s="15">
        <f t="shared" si="183"/>
        <v>0</v>
      </c>
      <c r="AL35" s="15">
        <f t="shared" si="184"/>
        <v>0</v>
      </c>
      <c r="AM35" s="15">
        <f t="shared" si="185"/>
        <v>0</v>
      </c>
      <c r="AN35" s="15">
        <f t="shared" si="186"/>
        <v>0</v>
      </c>
      <c r="AO35" s="15">
        <f t="shared" si="187"/>
        <v>6.2557447307731009E-2</v>
      </c>
      <c r="AP35" s="15">
        <f t="shared" si="188"/>
        <v>0</v>
      </c>
      <c r="AQ35" s="15">
        <f t="shared" si="189"/>
        <v>0</v>
      </c>
      <c r="AR35" s="15">
        <f t="shared" si="190"/>
        <v>0</v>
      </c>
      <c r="AS35" s="15">
        <f t="shared" si="191"/>
        <v>0</v>
      </c>
      <c r="AT35" s="15">
        <f t="shared" si="192"/>
        <v>0</v>
      </c>
      <c r="AU35" s="15">
        <f t="shared" si="193"/>
        <v>0</v>
      </c>
      <c r="AV35" s="5">
        <f t="shared" si="194"/>
        <v>44.634738654066084</v>
      </c>
      <c r="AW35" s="16"/>
      <c r="AX35" s="6">
        <v>2640</v>
      </c>
      <c r="AY35" s="6">
        <v>140</v>
      </c>
      <c r="AZ35" s="6">
        <v>0</v>
      </c>
      <c r="BA35" s="6">
        <v>0</v>
      </c>
      <c r="BB35" s="6">
        <v>0</v>
      </c>
      <c r="BC35" s="6">
        <v>40</v>
      </c>
      <c r="BD35" s="6">
        <v>0</v>
      </c>
      <c r="BE35" s="6">
        <v>0</v>
      </c>
      <c r="BF35" s="6">
        <v>40</v>
      </c>
      <c r="BG35" s="6">
        <v>0</v>
      </c>
      <c r="BH35" s="6">
        <v>25640</v>
      </c>
      <c r="BI35" s="6">
        <v>0</v>
      </c>
      <c r="BJ35" s="6">
        <v>0</v>
      </c>
      <c r="BK35" s="6">
        <v>0</v>
      </c>
      <c r="BL35" s="6">
        <v>0</v>
      </c>
      <c r="BM35" s="6">
        <v>40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7">
        <v>28540</v>
      </c>
      <c r="BU35" s="16"/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56.999999999999993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1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1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1</v>
      </c>
      <c r="FJ35" s="8">
        <v>0</v>
      </c>
      <c r="FK35" s="8">
        <v>0</v>
      </c>
      <c r="FL35" s="8">
        <v>0</v>
      </c>
      <c r="FM35" s="8">
        <v>1</v>
      </c>
      <c r="FN35" s="8">
        <v>0</v>
      </c>
      <c r="FO35" s="8">
        <v>0</v>
      </c>
      <c r="FP35" s="8">
        <v>0</v>
      </c>
      <c r="FQ35" s="8">
        <v>0</v>
      </c>
      <c r="FR35" s="8">
        <v>8</v>
      </c>
      <c r="FS35" s="8">
        <v>0</v>
      </c>
      <c r="FT35" s="8">
        <v>0</v>
      </c>
      <c r="FU35" s="8">
        <v>30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1</v>
      </c>
      <c r="GD35" s="8">
        <v>0</v>
      </c>
      <c r="GE35" s="8">
        <v>0</v>
      </c>
      <c r="GF35" s="9">
        <v>100</v>
      </c>
      <c r="GG35" s="3"/>
      <c r="GH35" s="10">
        <f t="shared" si="60"/>
        <v>0</v>
      </c>
      <c r="GI35" s="10">
        <f t="shared" si="61"/>
        <v>0</v>
      </c>
      <c r="GJ35" s="10">
        <f t="shared" si="62"/>
        <v>0</v>
      </c>
      <c r="GK35" s="10">
        <f t="shared" si="63"/>
        <v>0</v>
      </c>
      <c r="GL35" s="10">
        <f t="shared" si="64"/>
        <v>0</v>
      </c>
      <c r="GM35" s="10">
        <f t="shared" si="65"/>
        <v>0</v>
      </c>
      <c r="GN35" s="10">
        <f t="shared" si="66"/>
        <v>0</v>
      </c>
      <c r="GO35" s="10">
        <f t="shared" si="67"/>
        <v>0</v>
      </c>
      <c r="GP35" s="10">
        <f t="shared" si="68"/>
        <v>0</v>
      </c>
      <c r="GQ35" s="10">
        <f t="shared" si="69"/>
        <v>0</v>
      </c>
      <c r="GR35" s="10">
        <f t="shared" si="70"/>
        <v>0</v>
      </c>
      <c r="GS35" s="10">
        <f t="shared" si="71"/>
        <v>0</v>
      </c>
      <c r="GT35" s="10">
        <f t="shared" si="72"/>
        <v>0</v>
      </c>
      <c r="GU35" s="10">
        <f t="shared" si="73"/>
        <v>0</v>
      </c>
      <c r="GV35" s="10">
        <f t="shared" si="74"/>
        <v>0</v>
      </c>
      <c r="GW35" s="10">
        <f t="shared" si="75"/>
        <v>0</v>
      </c>
      <c r="GX35" s="10">
        <f t="shared" si="76"/>
        <v>0</v>
      </c>
      <c r="GY35" s="10">
        <f t="shared" si="77"/>
        <v>0</v>
      </c>
      <c r="GZ35" s="10">
        <f t="shared" si="78"/>
        <v>1504.8</v>
      </c>
      <c r="HA35" s="10">
        <f t="shared" si="79"/>
        <v>0</v>
      </c>
      <c r="HB35" s="10">
        <f t="shared" si="80"/>
        <v>0</v>
      </c>
      <c r="HC35" s="10">
        <f t="shared" si="81"/>
        <v>0</v>
      </c>
      <c r="HD35" s="10">
        <f t="shared" si="82"/>
        <v>0</v>
      </c>
      <c r="HE35" s="10">
        <f t="shared" si="83"/>
        <v>0</v>
      </c>
      <c r="HF35" s="10">
        <f t="shared" si="84"/>
        <v>0</v>
      </c>
      <c r="HG35" s="10">
        <f t="shared" si="85"/>
        <v>0</v>
      </c>
      <c r="HH35" s="10">
        <f t="shared" si="86"/>
        <v>0</v>
      </c>
      <c r="HI35" s="10">
        <f t="shared" si="87"/>
        <v>0</v>
      </c>
      <c r="HJ35" s="10">
        <f t="shared" si="88"/>
        <v>0</v>
      </c>
      <c r="HK35" s="10">
        <f t="shared" si="89"/>
        <v>0</v>
      </c>
      <c r="HL35" s="10">
        <f t="shared" si="90"/>
        <v>0</v>
      </c>
      <c r="HM35" s="10">
        <f t="shared" si="91"/>
        <v>0</v>
      </c>
      <c r="HN35" s="10">
        <f t="shared" si="92"/>
        <v>0</v>
      </c>
      <c r="HO35" s="10">
        <f t="shared" si="93"/>
        <v>0</v>
      </c>
      <c r="HP35" s="10">
        <f t="shared" si="94"/>
        <v>0</v>
      </c>
      <c r="HQ35" s="10">
        <f t="shared" si="95"/>
        <v>0</v>
      </c>
      <c r="HR35" s="10">
        <f t="shared" si="96"/>
        <v>0</v>
      </c>
      <c r="HS35" s="10">
        <f t="shared" si="97"/>
        <v>0</v>
      </c>
      <c r="HT35" s="10">
        <f t="shared" si="98"/>
        <v>0</v>
      </c>
      <c r="HU35" s="10">
        <f t="shared" si="99"/>
        <v>0</v>
      </c>
      <c r="HV35" s="10">
        <f t="shared" si="100"/>
        <v>0</v>
      </c>
      <c r="HW35" s="10">
        <f t="shared" si="101"/>
        <v>0</v>
      </c>
      <c r="HX35" s="10">
        <f t="shared" si="102"/>
        <v>0</v>
      </c>
      <c r="HY35" s="10">
        <f t="shared" si="103"/>
        <v>0</v>
      </c>
      <c r="HZ35" s="10">
        <f t="shared" si="104"/>
        <v>0</v>
      </c>
      <c r="IA35" s="10">
        <f t="shared" si="105"/>
        <v>0</v>
      </c>
      <c r="IB35" s="10">
        <f t="shared" si="106"/>
        <v>0</v>
      </c>
      <c r="IC35" s="10">
        <f t="shared" si="107"/>
        <v>0</v>
      </c>
      <c r="ID35" s="10">
        <f t="shared" si="108"/>
        <v>0</v>
      </c>
      <c r="IE35" s="10">
        <f t="shared" si="109"/>
        <v>0</v>
      </c>
      <c r="IF35" s="10">
        <f t="shared" si="110"/>
        <v>0</v>
      </c>
      <c r="IG35" s="10">
        <f t="shared" si="111"/>
        <v>0</v>
      </c>
      <c r="IH35" s="10">
        <f t="shared" si="112"/>
        <v>0</v>
      </c>
      <c r="II35" s="10">
        <f t="shared" si="113"/>
        <v>26.400000000000002</v>
      </c>
      <c r="IJ35" s="10">
        <f t="shared" si="114"/>
        <v>0</v>
      </c>
      <c r="IK35" s="10">
        <f t="shared" si="115"/>
        <v>0</v>
      </c>
      <c r="IL35" s="10">
        <f t="shared" si="116"/>
        <v>0</v>
      </c>
      <c r="IM35" s="10">
        <f t="shared" si="117"/>
        <v>0</v>
      </c>
      <c r="IN35" s="10">
        <f t="shared" si="118"/>
        <v>0</v>
      </c>
      <c r="IO35" s="10">
        <f t="shared" si="119"/>
        <v>26.400000000000002</v>
      </c>
      <c r="IP35" s="10">
        <f t="shared" si="120"/>
        <v>0</v>
      </c>
      <c r="IQ35" s="10">
        <f t="shared" si="121"/>
        <v>0</v>
      </c>
      <c r="IR35" s="10">
        <f t="shared" si="122"/>
        <v>0</v>
      </c>
      <c r="IS35" s="10">
        <f t="shared" si="123"/>
        <v>0</v>
      </c>
      <c r="IT35" s="10">
        <f t="shared" si="124"/>
        <v>0</v>
      </c>
      <c r="IU35" s="10">
        <f t="shared" si="125"/>
        <v>0</v>
      </c>
      <c r="IV35" s="10">
        <f t="shared" si="126"/>
        <v>0</v>
      </c>
      <c r="IW35" s="10">
        <f t="shared" si="127"/>
        <v>0</v>
      </c>
      <c r="IX35" s="10">
        <f t="shared" si="128"/>
        <v>0</v>
      </c>
      <c r="IY35" s="10">
        <f t="shared" si="129"/>
        <v>0</v>
      </c>
      <c r="IZ35" s="10">
        <f t="shared" si="130"/>
        <v>0</v>
      </c>
      <c r="JA35" s="10">
        <f t="shared" si="131"/>
        <v>0</v>
      </c>
      <c r="JB35" s="10">
        <f t="shared" si="132"/>
        <v>0</v>
      </c>
      <c r="JC35" s="10">
        <f t="shared" si="133"/>
        <v>0</v>
      </c>
      <c r="JD35" s="10">
        <f t="shared" si="134"/>
        <v>0</v>
      </c>
      <c r="JE35" s="10">
        <f t="shared" si="135"/>
        <v>0</v>
      </c>
      <c r="JF35" s="10">
        <f t="shared" si="136"/>
        <v>0</v>
      </c>
      <c r="JG35" s="10">
        <v>0</v>
      </c>
      <c r="JH35" s="10">
        <f t="shared" si="137"/>
        <v>0</v>
      </c>
      <c r="JI35" s="10">
        <f t="shared" si="138"/>
        <v>0</v>
      </c>
      <c r="JJ35" s="10">
        <f t="shared" si="139"/>
        <v>0</v>
      </c>
      <c r="JK35" s="10">
        <f t="shared" si="140"/>
        <v>0</v>
      </c>
      <c r="JL35" s="10">
        <f t="shared" si="141"/>
        <v>0</v>
      </c>
      <c r="JM35" s="10">
        <f t="shared" si="142"/>
        <v>0</v>
      </c>
      <c r="JN35" s="10">
        <f t="shared" si="143"/>
        <v>0</v>
      </c>
      <c r="JO35" s="10">
        <f t="shared" si="144"/>
        <v>0</v>
      </c>
      <c r="JP35" s="10">
        <f t="shared" si="145"/>
        <v>0</v>
      </c>
      <c r="JQ35" s="10">
        <f t="shared" si="146"/>
        <v>0</v>
      </c>
      <c r="JR35" s="10">
        <f t="shared" si="147"/>
        <v>0</v>
      </c>
      <c r="JS35" s="10">
        <f t="shared" si="148"/>
        <v>0</v>
      </c>
      <c r="JT35" s="10">
        <f t="shared" si="149"/>
        <v>26.400000000000002</v>
      </c>
      <c r="JU35" s="10">
        <f t="shared" si="150"/>
        <v>0</v>
      </c>
      <c r="JV35" s="10">
        <f t="shared" si="151"/>
        <v>0</v>
      </c>
      <c r="JW35" s="10">
        <f t="shared" si="152"/>
        <v>0</v>
      </c>
      <c r="JX35" s="10">
        <f t="shared" si="153"/>
        <v>26.400000000000002</v>
      </c>
      <c r="JY35" s="10">
        <f t="shared" si="154"/>
        <v>0</v>
      </c>
      <c r="JZ35" s="10">
        <f t="shared" si="155"/>
        <v>0</v>
      </c>
      <c r="KA35" s="10">
        <f t="shared" si="156"/>
        <v>0</v>
      </c>
      <c r="KB35" s="10">
        <f t="shared" si="157"/>
        <v>0</v>
      </c>
      <c r="KC35" s="10">
        <f t="shared" si="158"/>
        <v>211.20000000000002</v>
      </c>
      <c r="KD35" s="10">
        <f t="shared" si="159"/>
        <v>0</v>
      </c>
      <c r="KE35" s="10">
        <f t="shared" si="160"/>
        <v>0</v>
      </c>
      <c r="KF35" s="10">
        <f t="shared" si="161"/>
        <v>792</v>
      </c>
      <c r="KG35" s="10">
        <f t="shared" si="162"/>
        <v>0</v>
      </c>
      <c r="KH35" s="10">
        <f t="shared" si="163"/>
        <v>0</v>
      </c>
      <c r="KI35" s="10">
        <f t="shared" si="164"/>
        <v>0</v>
      </c>
      <c r="KJ35" s="10">
        <f t="shared" si="165"/>
        <v>0</v>
      </c>
      <c r="KK35" s="10">
        <f t="shared" si="166"/>
        <v>0</v>
      </c>
      <c r="KL35" s="10">
        <f t="shared" si="167"/>
        <v>0</v>
      </c>
      <c r="KM35" s="10">
        <f t="shared" si="168"/>
        <v>0</v>
      </c>
      <c r="KN35" s="10">
        <f t="shared" si="169"/>
        <v>26.400000000000002</v>
      </c>
      <c r="KO35" s="10">
        <f t="shared" si="170"/>
        <v>0</v>
      </c>
      <c r="KP35" s="10">
        <f t="shared" si="171"/>
        <v>0</v>
      </c>
      <c r="KQ35" s="11">
        <v>2640.0000000000005</v>
      </c>
      <c r="KR35" s="16"/>
      <c r="KS35" s="12">
        <v>6394.1227977594754</v>
      </c>
      <c r="KT35" s="26"/>
      <c r="KU35" s="26"/>
      <c r="KV35" s="26"/>
      <c r="KW35" s="26">
        <v>-14.2</v>
      </c>
      <c r="KX35" s="26">
        <v>11.34</v>
      </c>
      <c r="KY35" s="27">
        <v>2.7560370187759791</v>
      </c>
      <c r="KZ35" s="27">
        <v>3.2149940577062006</v>
      </c>
      <c r="LA35" s="17"/>
      <c r="LB35" s="2">
        <v>4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3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1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28"/>
      <c r="ML35" t="s">
        <v>851</v>
      </c>
      <c r="MM35" t="s">
        <v>349</v>
      </c>
      <c r="MN35" t="s">
        <v>320</v>
      </c>
      <c r="MO35" t="s">
        <v>321</v>
      </c>
      <c r="MP35" t="s">
        <v>322</v>
      </c>
      <c r="MQ35" t="s">
        <v>323</v>
      </c>
      <c r="MR35">
        <v>0.05</v>
      </c>
      <c r="MS35" t="s">
        <v>270</v>
      </c>
      <c r="MT35" t="s">
        <v>271</v>
      </c>
      <c r="MU35" t="s">
        <v>272</v>
      </c>
      <c r="MV35">
        <v>28540</v>
      </c>
      <c r="MW35" s="13">
        <v>429</v>
      </c>
      <c r="MX35" s="13" t="s">
        <v>273</v>
      </c>
      <c r="MY35" t="s">
        <v>240</v>
      </c>
      <c r="MZ35" t="s">
        <v>241</v>
      </c>
      <c r="NA35" t="s">
        <v>242</v>
      </c>
      <c r="NB35" t="s">
        <v>274</v>
      </c>
      <c r="ND35" s="18">
        <v>43280</v>
      </c>
      <c r="NE35" s="19">
        <v>4.1666666666666664E-2</v>
      </c>
      <c r="NF35" t="s">
        <v>244</v>
      </c>
      <c r="NG35" t="s">
        <v>275</v>
      </c>
      <c r="NH35" t="s">
        <v>246</v>
      </c>
      <c r="NI35" t="s">
        <v>244</v>
      </c>
      <c r="NJ35" t="s">
        <v>244</v>
      </c>
      <c r="NK35">
        <v>4</v>
      </c>
      <c r="NL35" t="s">
        <v>248</v>
      </c>
      <c r="NM35">
        <v>29.672879999999999</v>
      </c>
      <c r="NN35">
        <v>-84.826080000000005</v>
      </c>
      <c r="NO35" t="s">
        <v>248</v>
      </c>
      <c r="NP35" t="s">
        <v>249</v>
      </c>
      <c r="NQ35" t="s">
        <v>244</v>
      </c>
      <c r="NR35" t="s">
        <v>247</v>
      </c>
      <c r="NS35">
        <v>982000410605034</v>
      </c>
      <c r="NT35" t="s">
        <v>244</v>
      </c>
      <c r="NU35" t="s">
        <v>244</v>
      </c>
      <c r="NV35" t="s">
        <v>248</v>
      </c>
      <c r="NW35" t="s">
        <v>271</v>
      </c>
      <c r="NX35" t="s">
        <v>272</v>
      </c>
      <c r="NY35">
        <v>97.5</v>
      </c>
      <c r="NZ35">
        <v>90</v>
      </c>
      <c r="OA35">
        <v>83.5</v>
      </c>
      <c r="OB35" s="14">
        <v>6394.1227977594754</v>
      </c>
      <c r="OC35" t="s">
        <v>248</v>
      </c>
      <c r="OD35" t="s">
        <v>247</v>
      </c>
      <c r="OE35" t="s">
        <v>248</v>
      </c>
      <c r="OF35" t="s">
        <v>276</v>
      </c>
      <c r="OG35" t="s">
        <v>247</v>
      </c>
      <c r="ON35">
        <v>-14.2</v>
      </c>
      <c r="OO35">
        <v>11.34</v>
      </c>
      <c r="OP35" s="25">
        <v>2.7560370187759791</v>
      </c>
      <c r="OQ35" s="25">
        <v>3.2149940577062006</v>
      </c>
      <c r="OR35" t="s">
        <v>909</v>
      </c>
      <c r="OS35" t="s">
        <v>911</v>
      </c>
    </row>
    <row r="36" spans="1:409" x14ac:dyDescent="0.25">
      <c r="A36">
        <v>35</v>
      </c>
      <c r="B36" s="1">
        <v>176</v>
      </c>
      <c r="C36" s="1">
        <v>2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2">
        <v>179</v>
      </c>
      <c r="Y36" s="3"/>
      <c r="Z36" s="15">
        <f t="shared" si="172"/>
        <v>1.83501845436011</v>
      </c>
      <c r="AA36" s="15">
        <f t="shared" si="173"/>
        <v>2.0852482435910341E-2</v>
      </c>
      <c r="AB36" s="15">
        <f t="shared" si="174"/>
        <v>1.0426241217955171E-2</v>
      </c>
      <c r="AC36" s="15">
        <f t="shared" si="175"/>
        <v>0</v>
      </c>
      <c r="AD36" s="15">
        <f t="shared" si="176"/>
        <v>0</v>
      </c>
      <c r="AE36" s="15">
        <f t="shared" si="177"/>
        <v>0</v>
      </c>
      <c r="AF36" s="15">
        <f t="shared" si="178"/>
        <v>0</v>
      </c>
      <c r="AG36" s="15">
        <f t="shared" si="179"/>
        <v>0</v>
      </c>
      <c r="AH36" s="15">
        <f t="shared" si="180"/>
        <v>0</v>
      </c>
      <c r="AI36" s="15">
        <f t="shared" si="181"/>
        <v>0</v>
      </c>
      <c r="AJ36" s="15">
        <f t="shared" si="182"/>
        <v>0</v>
      </c>
      <c r="AK36" s="15">
        <f t="shared" si="183"/>
        <v>0</v>
      </c>
      <c r="AL36" s="15">
        <f t="shared" si="184"/>
        <v>0</v>
      </c>
      <c r="AM36" s="15">
        <f t="shared" si="185"/>
        <v>0</v>
      </c>
      <c r="AN36" s="15">
        <f t="shared" si="186"/>
        <v>0</v>
      </c>
      <c r="AO36" s="15">
        <f t="shared" si="187"/>
        <v>0</v>
      </c>
      <c r="AP36" s="15">
        <f t="shared" si="188"/>
        <v>0</v>
      </c>
      <c r="AQ36" s="15">
        <f t="shared" si="189"/>
        <v>0</v>
      </c>
      <c r="AR36" s="15">
        <f t="shared" si="190"/>
        <v>0</v>
      </c>
      <c r="AS36" s="15">
        <f t="shared" si="191"/>
        <v>0</v>
      </c>
      <c r="AT36" s="15">
        <f t="shared" si="192"/>
        <v>0</v>
      </c>
      <c r="AU36" s="15">
        <f t="shared" si="193"/>
        <v>0</v>
      </c>
      <c r="AV36" s="5">
        <f t="shared" si="194"/>
        <v>1.8662971780139757</v>
      </c>
      <c r="AW36" s="16"/>
      <c r="AX36" s="6">
        <v>1173.3333333333335</v>
      </c>
      <c r="AY36" s="6">
        <v>13.333333333333334</v>
      </c>
      <c r="AZ36" s="6">
        <v>6.666666666666667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7">
        <v>1193.3333333333335</v>
      </c>
      <c r="BU36" s="16"/>
      <c r="BV36" s="8">
        <v>0</v>
      </c>
      <c r="BW36" s="8">
        <v>0.99999999999999978</v>
      </c>
      <c r="BX36" s="8">
        <v>0.99999999999999978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43</v>
      </c>
      <c r="CO36" s="8">
        <v>0</v>
      </c>
      <c r="CP36" s="8">
        <v>0</v>
      </c>
      <c r="CQ36" s="8">
        <v>0</v>
      </c>
      <c r="CR36" s="8">
        <v>0</v>
      </c>
      <c r="CS36" s="8">
        <v>1.9999999999999996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1.9999999999999996</v>
      </c>
      <c r="EC36" s="8">
        <v>0.99999999999999978</v>
      </c>
      <c r="ED36" s="8">
        <v>0</v>
      </c>
      <c r="EE36" s="8">
        <v>0</v>
      </c>
      <c r="EF36" s="8">
        <v>0.99999999999999978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0.99999999999999978</v>
      </c>
      <c r="EN36" s="8">
        <v>0</v>
      </c>
      <c r="EO36" s="8">
        <v>0</v>
      </c>
      <c r="EP36" s="8">
        <v>0</v>
      </c>
      <c r="EQ36" s="8">
        <v>0</v>
      </c>
      <c r="ER36" s="8">
        <v>0.99999999999999978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0.99999999999999978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0.99999999999999978</v>
      </c>
      <c r="FE36" s="8">
        <v>0</v>
      </c>
      <c r="FF36" s="8">
        <v>0</v>
      </c>
      <c r="FG36" s="8">
        <v>0</v>
      </c>
      <c r="FH36" s="8">
        <v>0</v>
      </c>
      <c r="FI36" s="8">
        <v>0.99999999999999978</v>
      </c>
      <c r="FJ36" s="8">
        <v>0</v>
      </c>
      <c r="FK36" s="8">
        <v>0</v>
      </c>
      <c r="FL36" s="8">
        <v>0</v>
      </c>
      <c r="FM36" s="8">
        <v>3</v>
      </c>
      <c r="FN36" s="8">
        <v>0</v>
      </c>
      <c r="FO36" s="8">
        <v>0.99999999999999978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12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0.99999999999999978</v>
      </c>
      <c r="GD36" s="8">
        <v>0</v>
      </c>
      <c r="GE36" s="8">
        <v>0</v>
      </c>
      <c r="GF36" s="9">
        <v>73</v>
      </c>
      <c r="GG36" s="3"/>
      <c r="GH36" s="10">
        <f t="shared" si="60"/>
        <v>0</v>
      </c>
      <c r="GI36" s="10">
        <f t="shared" si="61"/>
        <v>16.073059360730593</v>
      </c>
      <c r="GJ36" s="10">
        <f t="shared" si="62"/>
        <v>16.073059360730593</v>
      </c>
      <c r="GK36" s="10">
        <f t="shared" si="63"/>
        <v>0</v>
      </c>
      <c r="GL36" s="10">
        <f t="shared" si="64"/>
        <v>0</v>
      </c>
      <c r="GM36" s="10">
        <f t="shared" si="65"/>
        <v>0</v>
      </c>
      <c r="GN36" s="10">
        <f t="shared" si="66"/>
        <v>0</v>
      </c>
      <c r="GO36" s="10">
        <f t="shared" si="67"/>
        <v>0</v>
      </c>
      <c r="GP36" s="10">
        <f t="shared" si="68"/>
        <v>0</v>
      </c>
      <c r="GQ36" s="10">
        <f t="shared" si="69"/>
        <v>0</v>
      </c>
      <c r="GR36" s="10">
        <f t="shared" si="70"/>
        <v>0</v>
      </c>
      <c r="GS36" s="10">
        <f t="shared" si="71"/>
        <v>0</v>
      </c>
      <c r="GT36" s="10">
        <f t="shared" si="72"/>
        <v>0</v>
      </c>
      <c r="GU36" s="10">
        <f t="shared" si="73"/>
        <v>0</v>
      </c>
      <c r="GV36" s="10">
        <f t="shared" si="74"/>
        <v>0</v>
      </c>
      <c r="GW36" s="10">
        <f t="shared" si="75"/>
        <v>0</v>
      </c>
      <c r="GX36" s="10">
        <f t="shared" si="76"/>
        <v>0</v>
      </c>
      <c r="GY36" s="10">
        <f t="shared" si="77"/>
        <v>0</v>
      </c>
      <c r="GZ36" s="10">
        <f t="shared" si="78"/>
        <v>691.14155251141563</v>
      </c>
      <c r="HA36" s="10">
        <f t="shared" si="79"/>
        <v>0</v>
      </c>
      <c r="HB36" s="10">
        <f t="shared" si="80"/>
        <v>0</v>
      </c>
      <c r="HC36" s="10">
        <f t="shared" si="81"/>
        <v>0</v>
      </c>
      <c r="HD36" s="10">
        <f t="shared" si="82"/>
        <v>0</v>
      </c>
      <c r="HE36" s="10">
        <f t="shared" si="83"/>
        <v>32.146118721461185</v>
      </c>
      <c r="HF36" s="10">
        <f t="shared" si="84"/>
        <v>0</v>
      </c>
      <c r="HG36" s="10">
        <f t="shared" si="85"/>
        <v>0</v>
      </c>
      <c r="HH36" s="10">
        <f t="shared" si="86"/>
        <v>0</v>
      </c>
      <c r="HI36" s="10">
        <f t="shared" si="87"/>
        <v>0</v>
      </c>
      <c r="HJ36" s="10">
        <f t="shared" si="88"/>
        <v>0</v>
      </c>
      <c r="HK36" s="10">
        <f t="shared" si="89"/>
        <v>0</v>
      </c>
      <c r="HL36" s="10">
        <f t="shared" si="90"/>
        <v>0</v>
      </c>
      <c r="HM36" s="10">
        <f t="shared" si="91"/>
        <v>0</v>
      </c>
      <c r="HN36" s="10">
        <f t="shared" si="92"/>
        <v>0</v>
      </c>
      <c r="HO36" s="10">
        <f t="shared" si="93"/>
        <v>0</v>
      </c>
      <c r="HP36" s="10">
        <f t="shared" si="94"/>
        <v>0</v>
      </c>
      <c r="HQ36" s="10">
        <f t="shared" si="95"/>
        <v>0</v>
      </c>
      <c r="HR36" s="10">
        <f t="shared" si="96"/>
        <v>0</v>
      </c>
      <c r="HS36" s="10">
        <f t="shared" si="97"/>
        <v>0</v>
      </c>
      <c r="HT36" s="10">
        <f t="shared" si="98"/>
        <v>0</v>
      </c>
      <c r="HU36" s="10">
        <f t="shared" si="99"/>
        <v>0</v>
      </c>
      <c r="HV36" s="10">
        <f t="shared" si="100"/>
        <v>0</v>
      </c>
      <c r="HW36" s="10">
        <f t="shared" si="101"/>
        <v>0</v>
      </c>
      <c r="HX36" s="10">
        <f t="shared" si="102"/>
        <v>0</v>
      </c>
      <c r="HY36" s="10">
        <f t="shared" si="103"/>
        <v>0</v>
      </c>
      <c r="HZ36" s="10">
        <f t="shared" si="104"/>
        <v>0</v>
      </c>
      <c r="IA36" s="10">
        <f t="shared" si="105"/>
        <v>0</v>
      </c>
      <c r="IB36" s="10">
        <f t="shared" si="106"/>
        <v>0</v>
      </c>
      <c r="IC36" s="10">
        <f t="shared" si="107"/>
        <v>0</v>
      </c>
      <c r="ID36" s="10">
        <f t="shared" si="108"/>
        <v>0</v>
      </c>
      <c r="IE36" s="10">
        <f t="shared" si="109"/>
        <v>0</v>
      </c>
      <c r="IF36" s="10">
        <f t="shared" si="110"/>
        <v>0</v>
      </c>
      <c r="IG36" s="10">
        <f t="shared" si="111"/>
        <v>0</v>
      </c>
      <c r="IH36" s="10">
        <f t="shared" si="112"/>
        <v>0</v>
      </c>
      <c r="II36" s="10">
        <f t="shared" si="113"/>
        <v>0</v>
      </c>
      <c r="IJ36" s="10">
        <f t="shared" si="114"/>
        <v>0</v>
      </c>
      <c r="IK36" s="10">
        <f t="shared" si="115"/>
        <v>0</v>
      </c>
      <c r="IL36" s="10">
        <f t="shared" si="116"/>
        <v>0</v>
      </c>
      <c r="IM36" s="10">
        <f t="shared" si="117"/>
        <v>0</v>
      </c>
      <c r="IN36" s="10">
        <f t="shared" si="118"/>
        <v>32.146118721461185</v>
      </c>
      <c r="IO36" s="10">
        <f t="shared" si="119"/>
        <v>16.073059360730593</v>
      </c>
      <c r="IP36" s="10">
        <f t="shared" si="120"/>
        <v>0</v>
      </c>
      <c r="IQ36" s="10">
        <f t="shared" si="121"/>
        <v>0</v>
      </c>
      <c r="IR36" s="10">
        <f t="shared" si="122"/>
        <v>16.073059360730593</v>
      </c>
      <c r="IS36" s="10">
        <f t="shared" si="123"/>
        <v>0</v>
      </c>
      <c r="IT36" s="10">
        <f t="shared" si="124"/>
        <v>0</v>
      </c>
      <c r="IU36" s="10">
        <f t="shared" si="125"/>
        <v>0</v>
      </c>
      <c r="IV36" s="10">
        <f t="shared" si="126"/>
        <v>0</v>
      </c>
      <c r="IW36" s="10">
        <f t="shared" si="127"/>
        <v>0</v>
      </c>
      <c r="IX36" s="10">
        <f t="shared" si="128"/>
        <v>0</v>
      </c>
      <c r="IY36" s="10">
        <f t="shared" si="129"/>
        <v>16.073059360730593</v>
      </c>
      <c r="IZ36" s="10">
        <f t="shared" si="130"/>
        <v>0</v>
      </c>
      <c r="JA36" s="10">
        <f t="shared" si="131"/>
        <v>0</v>
      </c>
      <c r="JB36" s="10">
        <f t="shared" si="132"/>
        <v>0</v>
      </c>
      <c r="JC36" s="10">
        <f t="shared" si="133"/>
        <v>0</v>
      </c>
      <c r="JD36" s="10">
        <f t="shared" si="134"/>
        <v>16.073059360730593</v>
      </c>
      <c r="JE36" s="10">
        <f t="shared" si="135"/>
        <v>0</v>
      </c>
      <c r="JF36" s="10">
        <f t="shared" si="136"/>
        <v>0</v>
      </c>
      <c r="JG36" s="10">
        <v>0</v>
      </c>
      <c r="JH36" s="10">
        <f t="shared" si="137"/>
        <v>0</v>
      </c>
      <c r="JI36" s="10">
        <f t="shared" si="138"/>
        <v>16.073059360730593</v>
      </c>
      <c r="JJ36" s="10">
        <f t="shared" si="139"/>
        <v>0</v>
      </c>
      <c r="JK36" s="10">
        <f t="shared" si="140"/>
        <v>0</v>
      </c>
      <c r="JL36" s="10">
        <f t="shared" si="141"/>
        <v>0</v>
      </c>
      <c r="JM36" s="10">
        <f t="shared" si="142"/>
        <v>0</v>
      </c>
      <c r="JN36" s="10">
        <f t="shared" si="143"/>
        <v>0</v>
      </c>
      <c r="JO36" s="10">
        <f t="shared" si="144"/>
        <v>16.073059360730593</v>
      </c>
      <c r="JP36" s="10">
        <f t="shared" si="145"/>
        <v>0</v>
      </c>
      <c r="JQ36" s="10">
        <f t="shared" si="146"/>
        <v>0</v>
      </c>
      <c r="JR36" s="10">
        <f t="shared" si="147"/>
        <v>0</v>
      </c>
      <c r="JS36" s="10">
        <f t="shared" si="148"/>
        <v>0</v>
      </c>
      <c r="JT36" s="10">
        <f t="shared" si="149"/>
        <v>16.073059360730593</v>
      </c>
      <c r="JU36" s="10">
        <f t="shared" si="150"/>
        <v>0</v>
      </c>
      <c r="JV36" s="10">
        <f t="shared" si="151"/>
        <v>0</v>
      </c>
      <c r="JW36" s="10">
        <f t="shared" si="152"/>
        <v>0</v>
      </c>
      <c r="JX36" s="10">
        <f t="shared" si="153"/>
        <v>48.219178082191782</v>
      </c>
      <c r="JY36" s="10">
        <f t="shared" si="154"/>
        <v>0</v>
      </c>
      <c r="JZ36" s="10">
        <f t="shared" si="155"/>
        <v>16.073059360730593</v>
      </c>
      <c r="KA36" s="10">
        <f t="shared" si="156"/>
        <v>0</v>
      </c>
      <c r="KB36" s="10">
        <f t="shared" si="157"/>
        <v>0</v>
      </c>
      <c r="KC36" s="10">
        <f t="shared" si="158"/>
        <v>0</v>
      </c>
      <c r="KD36" s="10">
        <f t="shared" si="159"/>
        <v>0</v>
      </c>
      <c r="KE36" s="10">
        <f t="shared" si="160"/>
        <v>0</v>
      </c>
      <c r="KF36" s="10">
        <f t="shared" si="161"/>
        <v>192.87671232876713</v>
      </c>
      <c r="KG36" s="10">
        <f t="shared" si="162"/>
        <v>0</v>
      </c>
      <c r="KH36" s="10">
        <f t="shared" si="163"/>
        <v>0</v>
      </c>
      <c r="KI36" s="10">
        <f t="shared" si="164"/>
        <v>0</v>
      </c>
      <c r="KJ36" s="10">
        <f t="shared" si="165"/>
        <v>0</v>
      </c>
      <c r="KK36" s="10">
        <f t="shared" si="166"/>
        <v>0</v>
      </c>
      <c r="KL36" s="10">
        <f t="shared" si="167"/>
        <v>0</v>
      </c>
      <c r="KM36" s="10">
        <f t="shared" si="168"/>
        <v>0</v>
      </c>
      <c r="KN36" s="10">
        <f t="shared" si="169"/>
        <v>16.073059360730593</v>
      </c>
      <c r="KO36" s="10">
        <f t="shared" si="170"/>
        <v>0</v>
      </c>
      <c r="KP36" s="10">
        <f t="shared" si="171"/>
        <v>0</v>
      </c>
      <c r="KQ36" s="11">
        <v>1173.3333333333333</v>
      </c>
      <c r="KR36" s="16"/>
      <c r="KS36" s="12">
        <v>6394.1227977594754</v>
      </c>
      <c r="KT36" s="26"/>
      <c r="KU36" s="26"/>
      <c r="KV36" s="26"/>
      <c r="KW36" s="26">
        <v>-14.2</v>
      </c>
      <c r="KX36" s="26">
        <v>11.34</v>
      </c>
      <c r="KY36" s="27">
        <v>2.7560370187759791</v>
      </c>
      <c r="KZ36" s="27">
        <v>3.2149940577062006</v>
      </c>
      <c r="LA36" s="17"/>
      <c r="LB36" s="2">
        <v>4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1</v>
      </c>
      <c r="LM36" s="1">
        <v>1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1</v>
      </c>
      <c r="LU36" s="1">
        <v>0</v>
      </c>
      <c r="LV36" s="1">
        <v>0</v>
      </c>
      <c r="LW36" s="1">
        <v>0</v>
      </c>
      <c r="LX36" s="1">
        <v>1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28"/>
      <c r="ML36" t="s">
        <v>852</v>
      </c>
      <c r="MM36" t="s">
        <v>270</v>
      </c>
      <c r="MN36" t="s">
        <v>320</v>
      </c>
      <c r="MO36" t="s">
        <v>334</v>
      </c>
      <c r="MP36" t="s">
        <v>335</v>
      </c>
      <c r="MQ36" t="s">
        <v>336</v>
      </c>
      <c r="MR36">
        <v>0.15</v>
      </c>
      <c r="MS36" t="s">
        <v>270</v>
      </c>
      <c r="MT36" t="s">
        <v>271</v>
      </c>
      <c r="MU36" t="s">
        <v>272</v>
      </c>
      <c r="MV36">
        <v>1193.3333333333335</v>
      </c>
      <c r="MW36" s="13">
        <v>429</v>
      </c>
      <c r="MX36" s="13" t="s">
        <v>273</v>
      </c>
      <c r="MY36" t="s">
        <v>240</v>
      </c>
      <c r="MZ36" t="s">
        <v>241</v>
      </c>
      <c r="NA36" t="s">
        <v>242</v>
      </c>
      <c r="NB36" t="s">
        <v>274</v>
      </c>
      <c r="ND36" s="18">
        <v>43280</v>
      </c>
      <c r="NE36" s="19">
        <v>4.1666666666666664E-2</v>
      </c>
      <c r="NF36" t="s">
        <v>244</v>
      </c>
      <c r="NG36" t="s">
        <v>275</v>
      </c>
      <c r="NH36" t="s">
        <v>246</v>
      </c>
      <c r="NI36" t="s">
        <v>244</v>
      </c>
      <c r="NJ36" t="s">
        <v>244</v>
      </c>
      <c r="NK36">
        <v>4</v>
      </c>
      <c r="NL36" t="s">
        <v>248</v>
      </c>
      <c r="NM36">
        <v>29.672879999999999</v>
      </c>
      <c r="NN36">
        <v>-84.826080000000005</v>
      </c>
      <c r="NO36" t="s">
        <v>248</v>
      </c>
      <c r="NP36" t="s">
        <v>249</v>
      </c>
      <c r="NQ36" t="s">
        <v>244</v>
      </c>
      <c r="NR36" t="s">
        <v>247</v>
      </c>
      <c r="NS36">
        <v>982000410605034</v>
      </c>
      <c r="NT36" t="s">
        <v>244</v>
      </c>
      <c r="NU36" t="s">
        <v>244</v>
      </c>
      <c r="NV36" t="s">
        <v>248</v>
      </c>
      <c r="NW36" t="s">
        <v>271</v>
      </c>
      <c r="NX36" t="s">
        <v>272</v>
      </c>
      <c r="NY36">
        <v>97.5</v>
      </c>
      <c r="NZ36">
        <v>90</v>
      </c>
      <c r="OA36">
        <v>83.5</v>
      </c>
      <c r="OB36" s="14">
        <v>6394.1227977594754</v>
      </c>
      <c r="OC36" t="s">
        <v>248</v>
      </c>
      <c r="OD36" t="s">
        <v>247</v>
      </c>
      <c r="OE36" t="s">
        <v>248</v>
      </c>
      <c r="OF36" t="s">
        <v>276</v>
      </c>
      <c r="OG36" t="s">
        <v>247</v>
      </c>
      <c r="ON36">
        <v>-14.2</v>
      </c>
      <c r="OO36">
        <v>11.34</v>
      </c>
      <c r="OP36" s="25">
        <v>2.7560370187759791</v>
      </c>
      <c r="OQ36" s="25">
        <v>3.2149940577062006</v>
      </c>
      <c r="OR36" t="s">
        <v>909</v>
      </c>
      <c r="OS36" t="s">
        <v>911</v>
      </c>
    </row>
    <row r="37" spans="1:409" x14ac:dyDescent="0.25">
      <c r="A37">
        <v>36</v>
      </c>
      <c r="B37" s="1">
        <v>120</v>
      </c>
      <c r="C37" s="1">
        <v>7</v>
      </c>
      <c r="D37" s="1">
        <v>1</v>
      </c>
      <c r="E37" s="1">
        <v>0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4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2">
        <v>136</v>
      </c>
      <c r="Y37" s="3"/>
      <c r="Z37" s="15">
        <f t="shared" si="172"/>
        <v>4.6918085480798259</v>
      </c>
      <c r="AA37" s="15">
        <f t="shared" si="173"/>
        <v>0.27368883197132321</v>
      </c>
      <c r="AB37" s="15">
        <f t="shared" si="174"/>
        <v>3.9098404567331879E-2</v>
      </c>
      <c r="AC37" s="15">
        <f t="shared" si="175"/>
        <v>0</v>
      </c>
      <c r="AD37" s="15">
        <f t="shared" si="176"/>
        <v>3.9098404567331879E-2</v>
      </c>
      <c r="AE37" s="15">
        <f t="shared" si="177"/>
        <v>3.9098404567331879E-2</v>
      </c>
      <c r="AF37" s="15">
        <f t="shared" si="178"/>
        <v>0</v>
      </c>
      <c r="AG37" s="15">
        <f t="shared" si="179"/>
        <v>0</v>
      </c>
      <c r="AH37" s="15">
        <f t="shared" si="180"/>
        <v>0</v>
      </c>
      <c r="AI37" s="15">
        <f t="shared" si="181"/>
        <v>0</v>
      </c>
      <c r="AJ37" s="15">
        <f t="shared" si="182"/>
        <v>3.9098404567331879E-2</v>
      </c>
      <c r="AK37" s="15">
        <f t="shared" si="183"/>
        <v>0</v>
      </c>
      <c r="AL37" s="15">
        <f t="shared" si="184"/>
        <v>0.15639361826932752</v>
      </c>
      <c r="AM37" s="15">
        <f t="shared" si="185"/>
        <v>0</v>
      </c>
      <c r="AN37" s="15">
        <f t="shared" si="186"/>
        <v>0</v>
      </c>
      <c r="AO37" s="15">
        <f t="shared" si="187"/>
        <v>3.9098404567331879E-2</v>
      </c>
      <c r="AP37" s="15">
        <f t="shared" si="188"/>
        <v>0</v>
      </c>
      <c r="AQ37" s="15">
        <f t="shared" si="189"/>
        <v>0</v>
      </c>
      <c r="AR37" s="15">
        <f t="shared" si="190"/>
        <v>0</v>
      </c>
      <c r="AS37" s="15">
        <f t="shared" si="191"/>
        <v>0</v>
      </c>
      <c r="AT37" s="15">
        <f t="shared" si="192"/>
        <v>0</v>
      </c>
      <c r="AU37" s="15">
        <f t="shared" si="193"/>
        <v>0</v>
      </c>
      <c r="AV37" s="5">
        <f t="shared" si="194"/>
        <v>5.317383021157136</v>
      </c>
      <c r="AW37" s="16"/>
      <c r="AX37" s="6">
        <v>3000</v>
      </c>
      <c r="AY37" s="6">
        <v>175</v>
      </c>
      <c r="AZ37" s="6">
        <v>25</v>
      </c>
      <c r="BA37" s="6">
        <v>0</v>
      </c>
      <c r="BB37" s="6">
        <v>25</v>
      </c>
      <c r="BC37" s="6">
        <v>25</v>
      </c>
      <c r="BD37" s="6">
        <v>0</v>
      </c>
      <c r="BE37" s="6">
        <v>0</v>
      </c>
      <c r="BF37" s="6">
        <v>0</v>
      </c>
      <c r="BG37" s="6">
        <v>0</v>
      </c>
      <c r="BH37" s="6">
        <v>25</v>
      </c>
      <c r="BI37" s="6">
        <v>0</v>
      </c>
      <c r="BJ37" s="6">
        <v>100</v>
      </c>
      <c r="BK37" s="6">
        <v>0</v>
      </c>
      <c r="BL37" s="6">
        <v>0</v>
      </c>
      <c r="BM37" s="6">
        <v>25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7">
        <v>3400</v>
      </c>
      <c r="BU37" s="16"/>
      <c r="BV37" s="8">
        <v>0</v>
      </c>
      <c r="BW37" s="8">
        <v>1</v>
      </c>
      <c r="BX37" s="8">
        <v>2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1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1</v>
      </c>
      <c r="CK37" s="8">
        <v>0</v>
      </c>
      <c r="CL37" s="8">
        <v>1</v>
      </c>
      <c r="CM37" s="8">
        <v>0</v>
      </c>
      <c r="CN37" s="8">
        <v>41</v>
      </c>
      <c r="CO37" s="8">
        <v>0</v>
      </c>
      <c r="CP37" s="8">
        <v>0</v>
      </c>
      <c r="CQ37" s="8">
        <v>2</v>
      </c>
      <c r="CR37" s="8">
        <v>0</v>
      </c>
      <c r="CS37" s="8">
        <v>1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3</v>
      </c>
      <c r="CZ37" s="8">
        <v>1</v>
      </c>
      <c r="DA37" s="8">
        <v>0</v>
      </c>
      <c r="DB37" s="8">
        <v>1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1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4</v>
      </c>
      <c r="EF37" s="8">
        <v>0</v>
      </c>
      <c r="EG37" s="8">
        <v>1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1</v>
      </c>
      <c r="FA37" s="8">
        <v>0</v>
      </c>
      <c r="FB37" s="8">
        <v>0</v>
      </c>
      <c r="FC37" s="8">
        <v>3</v>
      </c>
      <c r="FD37" s="8">
        <v>3</v>
      </c>
      <c r="FE37" s="8">
        <v>0</v>
      </c>
      <c r="FF37" s="8">
        <v>1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5</v>
      </c>
      <c r="FN37" s="8">
        <v>0</v>
      </c>
      <c r="FO37" s="8">
        <v>0</v>
      </c>
      <c r="FP37" s="8">
        <v>0</v>
      </c>
      <c r="FQ37" s="8">
        <v>3</v>
      </c>
      <c r="FR37" s="8">
        <v>0</v>
      </c>
      <c r="FS37" s="8">
        <v>0</v>
      </c>
      <c r="FT37" s="8">
        <v>0</v>
      </c>
      <c r="FU37" s="8">
        <v>32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2</v>
      </c>
      <c r="GB37" s="8">
        <v>0</v>
      </c>
      <c r="GC37" s="8">
        <v>0</v>
      </c>
      <c r="GD37" s="8">
        <v>0</v>
      </c>
      <c r="GE37" s="8">
        <v>0</v>
      </c>
      <c r="GF37" s="9">
        <v>111</v>
      </c>
      <c r="GG37" s="3"/>
      <c r="GH37" s="10">
        <f t="shared" si="60"/>
        <v>0</v>
      </c>
      <c r="GI37" s="10">
        <f t="shared" si="61"/>
        <v>27.027027027027028</v>
      </c>
      <c r="GJ37" s="10">
        <f t="shared" si="62"/>
        <v>54.054054054054056</v>
      </c>
      <c r="GK37" s="10">
        <f t="shared" si="63"/>
        <v>0</v>
      </c>
      <c r="GL37" s="10">
        <f t="shared" si="64"/>
        <v>0</v>
      </c>
      <c r="GM37" s="10">
        <f t="shared" si="65"/>
        <v>0</v>
      </c>
      <c r="GN37" s="10">
        <f t="shared" si="66"/>
        <v>0</v>
      </c>
      <c r="GO37" s="10">
        <f t="shared" si="67"/>
        <v>0</v>
      </c>
      <c r="GP37" s="10">
        <f t="shared" si="68"/>
        <v>27.027027027027028</v>
      </c>
      <c r="GQ37" s="10">
        <f t="shared" si="69"/>
        <v>0</v>
      </c>
      <c r="GR37" s="10">
        <f t="shared" si="70"/>
        <v>0</v>
      </c>
      <c r="GS37" s="10">
        <f t="shared" si="71"/>
        <v>0</v>
      </c>
      <c r="GT37" s="10">
        <f t="shared" si="72"/>
        <v>0</v>
      </c>
      <c r="GU37" s="10">
        <f t="shared" si="73"/>
        <v>0</v>
      </c>
      <c r="GV37" s="10">
        <f t="shared" si="74"/>
        <v>27.027027027027028</v>
      </c>
      <c r="GW37" s="10">
        <f t="shared" si="75"/>
        <v>0</v>
      </c>
      <c r="GX37" s="10">
        <f t="shared" si="76"/>
        <v>27.027027027027028</v>
      </c>
      <c r="GY37" s="10">
        <f t="shared" si="77"/>
        <v>0</v>
      </c>
      <c r="GZ37" s="10">
        <f t="shared" si="78"/>
        <v>1108.1081081081081</v>
      </c>
      <c r="HA37" s="10">
        <f t="shared" si="79"/>
        <v>0</v>
      </c>
      <c r="HB37" s="10">
        <f t="shared" si="80"/>
        <v>0</v>
      </c>
      <c r="HC37" s="10">
        <f t="shared" si="81"/>
        <v>54.054054054054056</v>
      </c>
      <c r="HD37" s="10">
        <f t="shared" si="82"/>
        <v>0</v>
      </c>
      <c r="HE37" s="10">
        <f t="shared" si="83"/>
        <v>27.027027027027028</v>
      </c>
      <c r="HF37" s="10">
        <f t="shared" si="84"/>
        <v>0</v>
      </c>
      <c r="HG37" s="10">
        <f t="shared" si="85"/>
        <v>0</v>
      </c>
      <c r="HH37" s="10">
        <f t="shared" si="86"/>
        <v>0</v>
      </c>
      <c r="HI37" s="10">
        <f t="shared" si="87"/>
        <v>0</v>
      </c>
      <c r="HJ37" s="10">
        <f t="shared" si="88"/>
        <v>0</v>
      </c>
      <c r="HK37" s="10">
        <f t="shared" si="89"/>
        <v>81.081081081081081</v>
      </c>
      <c r="HL37" s="10">
        <f t="shared" si="90"/>
        <v>27.027027027027028</v>
      </c>
      <c r="HM37" s="10">
        <f t="shared" si="91"/>
        <v>0</v>
      </c>
      <c r="HN37" s="10">
        <f t="shared" si="92"/>
        <v>27.027027027027028</v>
      </c>
      <c r="HO37" s="10">
        <f t="shared" si="93"/>
        <v>0</v>
      </c>
      <c r="HP37" s="10">
        <f t="shared" si="94"/>
        <v>0</v>
      </c>
      <c r="HQ37" s="10">
        <f t="shared" si="95"/>
        <v>0</v>
      </c>
      <c r="HR37" s="10">
        <f t="shared" si="96"/>
        <v>0</v>
      </c>
      <c r="HS37" s="10">
        <f t="shared" si="97"/>
        <v>0</v>
      </c>
      <c r="HT37" s="10">
        <f t="shared" si="98"/>
        <v>0</v>
      </c>
      <c r="HU37" s="10">
        <f t="shared" si="99"/>
        <v>0</v>
      </c>
      <c r="HV37" s="10">
        <f t="shared" si="100"/>
        <v>0</v>
      </c>
      <c r="HW37" s="10">
        <f t="shared" si="101"/>
        <v>0</v>
      </c>
      <c r="HX37" s="10">
        <f t="shared" si="102"/>
        <v>0</v>
      </c>
      <c r="HY37" s="10">
        <f t="shared" si="103"/>
        <v>0</v>
      </c>
      <c r="HZ37" s="10">
        <f t="shared" si="104"/>
        <v>0</v>
      </c>
      <c r="IA37" s="10">
        <f t="shared" si="105"/>
        <v>0</v>
      </c>
      <c r="IB37" s="10">
        <f t="shared" si="106"/>
        <v>0</v>
      </c>
      <c r="IC37" s="10">
        <f t="shared" si="107"/>
        <v>0</v>
      </c>
      <c r="ID37" s="10">
        <f t="shared" si="108"/>
        <v>0</v>
      </c>
      <c r="IE37" s="10">
        <f t="shared" si="109"/>
        <v>0</v>
      </c>
      <c r="IF37" s="10">
        <f t="shared" si="110"/>
        <v>0</v>
      </c>
      <c r="IG37" s="10">
        <f t="shared" si="111"/>
        <v>0</v>
      </c>
      <c r="IH37" s="10">
        <f t="shared" si="112"/>
        <v>0</v>
      </c>
      <c r="II37" s="10">
        <f t="shared" si="113"/>
        <v>27.027027027027028</v>
      </c>
      <c r="IJ37" s="10">
        <f t="shared" si="114"/>
        <v>0</v>
      </c>
      <c r="IK37" s="10">
        <f t="shared" si="115"/>
        <v>0</v>
      </c>
      <c r="IL37" s="10">
        <f t="shared" si="116"/>
        <v>0</v>
      </c>
      <c r="IM37" s="10">
        <f t="shared" si="117"/>
        <v>0</v>
      </c>
      <c r="IN37" s="10">
        <f t="shared" si="118"/>
        <v>0</v>
      </c>
      <c r="IO37" s="10">
        <f t="shared" si="119"/>
        <v>0</v>
      </c>
      <c r="IP37" s="10">
        <f t="shared" si="120"/>
        <v>0</v>
      </c>
      <c r="IQ37" s="10">
        <f t="shared" si="121"/>
        <v>108.10810810810811</v>
      </c>
      <c r="IR37" s="10">
        <f t="shared" si="122"/>
        <v>0</v>
      </c>
      <c r="IS37" s="10">
        <f t="shared" si="123"/>
        <v>27.027027027027028</v>
      </c>
      <c r="IT37" s="10">
        <f t="shared" si="124"/>
        <v>0</v>
      </c>
      <c r="IU37" s="10">
        <f t="shared" si="125"/>
        <v>0</v>
      </c>
      <c r="IV37" s="10">
        <f t="shared" si="126"/>
        <v>0</v>
      </c>
      <c r="IW37" s="10">
        <f t="shared" si="127"/>
        <v>0</v>
      </c>
      <c r="IX37" s="10">
        <f t="shared" si="128"/>
        <v>0</v>
      </c>
      <c r="IY37" s="10">
        <f t="shared" si="129"/>
        <v>0</v>
      </c>
      <c r="IZ37" s="10">
        <f t="shared" si="130"/>
        <v>0</v>
      </c>
      <c r="JA37" s="10">
        <f t="shared" si="131"/>
        <v>0</v>
      </c>
      <c r="JB37" s="10">
        <f t="shared" si="132"/>
        <v>0</v>
      </c>
      <c r="JC37" s="10">
        <f t="shared" si="133"/>
        <v>0</v>
      </c>
      <c r="JD37" s="10">
        <f t="shared" si="134"/>
        <v>0</v>
      </c>
      <c r="JE37" s="10">
        <f t="shared" si="135"/>
        <v>0</v>
      </c>
      <c r="JF37" s="10">
        <f t="shared" si="136"/>
        <v>0</v>
      </c>
      <c r="JG37" s="10">
        <v>0</v>
      </c>
      <c r="JH37" s="10">
        <f t="shared" si="137"/>
        <v>0</v>
      </c>
      <c r="JI37" s="10">
        <f t="shared" si="138"/>
        <v>0</v>
      </c>
      <c r="JJ37" s="10">
        <f t="shared" si="139"/>
        <v>0</v>
      </c>
      <c r="JK37" s="10">
        <f t="shared" si="140"/>
        <v>27.027027027027028</v>
      </c>
      <c r="JL37" s="10">
        <f t="shared" si="141"/>
        <v>0</v>
      </c>
      <c r="JM37" s="10">
        <f t="shared" si="142"/>
        <v>0</v>
      </c>
      <c r="JN37" s="10">
        <f t="shared" si="143"/>
        <v>81.081081081081081</v>
      </c>
      <c r="JO37" s="10">
        <f t="shared" si="144"/>
        <v>81.081081081081081</v>
      </c>
      <c r="JP37" s="10">
        <f t="shared" si="145"/>
        <v>0</v>
      </c>
      <c r="JQ37" s="10">
        <f t="shared" si="146"/>
        <v>27.027027027027028</v>
      </c>
      <c r="JR37" s="10">
        <f t="shared" si="147"/>
        <v>0</v>
      </c>
      <c r="JS37" s="10">
        <f t="shared" si="148"/>
        <v>0</v>
      </c>
      <c r="JT37" s="10">
        <f t="shared" si="149"/>
        <v>0</v>
      </c>
      <c r="JU37" s="10">
        <f t="shared" si="150"/>
        <v>0</v>
      </c>
      <c r="JV37" s="10">
        <f t="shared" si="151"/>
        <v>0</v>
      </c>
      <c r="JW37" s="10">
        <f t="shared" si="152"/>
        <v>0</v>
      </c>
      <c r="JX37" s="10">
        <f t="shared" si="153"/>
        <v>135.13513513513513</v>
      </c>
      <c r="JY37" s="10">
        <f t="shared" si="154"/>
        <v>0</v>
      </c>
      <c r="JZ37" s="10">
        <f t="shared" si="155"/>
        <v>0</v>
      </c>
      <c r="KA37" s="10">
        <f t="shared" si="156"/>
        <v>0</v>
      </c>
      <c r="KB37" s="10">
        <f t="shared" si="157"/>
        <v>81.081081081081081</v>
      </c>
      <c r="KC37" s="10">
        <f t="shared" si="158"/>
        <v>0</v>
      </c>
      <c r="KD37" s="10">
        <f t="shared" si="159"/>
        <v>0</v>
      </c>
      <c r="KE37" s="10">
        <f t="shared" si="160"/>
        <v>0</v>
      </c>
      <c r="KF37" s="10">
        <f t="shared" si="161"/>
        <v>864.8648648648649</v>
      </c>
      <c r="KG37" s="10">
        <f t="shared" si="162"/>
        <v>0</v>
      </c>
      <c r="KH37" s="10">
        <f t="shared" si="163"/>
        <v>0</v>
      </c>
      <c r="KI37" s="10">
        <f t="shared" si="164"/>
        <v>0</v>
      </c>
      <c r="KJ37" s="10">
        <f t="shared" si="165"/>
        <v>0</v>
      </c>
      <c r="KK37" s="10">
        <f t="shared" si="166"/>
        <v>0</v>
      </c>
      <c r="KL37" s="10">
        <f t="shared" si="167"/>
        <v>54.054054054054056</v>
      </c>
      <c r="KM37" s="10">
        <f t="shared" si="168"/>
        <v>0</v>
      </c>
      <c r="KN37" s="10">
        <f t="shared" si="169"/>
        <v>0</v>
      </c>
      <c r="KO37" s="10">
        <f t="shared" si="170"/>
        <v>0</v>
      </c>
      <c r="KP37" s="10">
        <f t="shared" si="171"/>
        <v>0</v>
      </c>
      <c r="KQ37" s="11">
        <v>3000.0000000000005</v>
      </c>
      <c r="KR37" s="16"/>
      <c r="KS37" s="12">
        <v>6394.1227977594754</v>
      </c>
      <c r="KT37" s="26"/>
      <c r="KU37" s="26"/>
      <c r="KV37" s="26"/>
      <c r="KW37" s="26">
        <v>-14.2</v>
      </c>
      <c r="KX37" s="26">
        <v>11.34</v>
      </c>
      <c r="KY37" s="27">
        <v>2.7560370187759791</v>
      </c>
      <c r="KZ37" s="27">
        <v>3.2149940577062006</v>
      </c>
      <c r="LA37" s="17"/>
      <c r="LB37" s="2">
        <v>16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2</v>
      </c>
      <c r="LM37" s="1">
        <v>8</v>
      </c>
      <c r="LN37" s="1">
        <v>0</v>
      </c>
      <c r="LO37" s="1">
        <v>0</v>
      </c>
      <c r="LP37" s="1">
        <v>1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1</v>
      </c>
      <c r="LY37" s="1">
        <v>1</v>
      </c>
      <c r="LZ37" s="1">
        <v>0</v>
      </c>
      <c r="MA37" s="1">
        <v>0</v>
      </c>
      <c r="MB37" s="1">
        <v>0</v>
      </c>
      <c r="MC37" s="1">
        <v>0</v>
      </c>
      <c r="MD37" s="1">
        <v>3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28"/>
      <c r="ML37" t="s">
        <v>853</v>
      </c>
      <c r="MM37" t="s">
        <v>269</v>
      </c>
      <c r="MN37" t="s">
        <v>320</v>
      </c>
      <c r="MO37" t="s">
        <v>337</v>
      </c>
      <c r="MP37" t="s">
        <v>338</v>
      </c>
      <c r="MQ37" t="s">
        <v>339</v>
      </c>
      <c r="MR37">
        <v>0.04</v>
      </c>
      <c r="MS37" t="s">
        <v>270</v>
      </c>
      <c r="MT37" t="s">
        <v>271</v>
      </c>
      <c r="MU37" t="s">
        <v>272</v>
      </c>
      <c r="MV37">
        <v>3400</v>
      </c>
      <c r="MW37" s="13">
        <v>429</v>
      </c>
      <c r="MX37" s="13" t="s">
        <v>273</v>
      </c>
      <c r="MY37" t="s">
        <v>240</v>
      </c>
      <c r="MZ37" t="s">
        <v>241</v>
      </c>
      <c r="NA37" t="s">
        <v>242</v>
      </c>
      <c r="NB37" t="s">
        <v>274</v>
      </c>
      <c r="ND37" s="18">
        <v>43280</v>
      </c>
      <c r="NE37" s="19">
        <v>4.1666666666666664E-2</v>
      </c>
      <c r="NF37" t="s">
        <v>244</v>
      </c>
      <c r="NG37" t="s">
        <v>275</v>
      </c>
      <c r="NH37" t="s">
        <v>246</v>
      </c>
      <c r="NI37" t="s">
        <v>244</v>
      </c>
      <c r="NJ37" t="s">
        <v>244</v>
      </c>
      <c r="NK37">
        <v>4</v>
      </c>
      <c r="NL37" t="s">
        <v>248</v>
      </c>
      <c r="NM37">
        <v>29.672879999999999</v>
      </c>
      <c r="NN37">
        <v>-84.826080000000005</v>
      </c>
      <c r="NO37" t="s">
        <v>248</v>
      </c>
      <c r="NP37" t="s">
        <v>249</v>
      </c>
      <c r="NQ37" t="s">
        <v>244</v>
      </c>
      <c r="NR37" t="s">
        <v>247</v>
      </c>
      <c r="NS37">
        <v>982000410605034</v>
      </c>
      <c r="NT37" t="s">
        <v>244</v>
      </c>
      <c r="NU37" t="s">
        <v>244</v>
      </c>
      <c r="NV37" t="s">
        <v>248</v>
      </c>
      <c r="NW37" t="s">
        <v>271</v>
      </c>
      <c r="NX37" t="s">
        <v>272</v>
      </c>
      <c r="NY37">
        <v>97.5</v>
      </c>
      <c r="NZ37">
        <v>90</v>
      </c>
      <c r="OA37">
        <v>83.5</v>
      </c>
      <c r="OB37" s="14">
        <v>6394.1227977594754</v>
      </c>
      <c r="OC37" t="s">
        <v>248</v>
      </c>
      <c r="OD37" t="s">
        <v>247</v>
      </c>
      <c r="OE37" t="s">
        <v>248</v>
      </c>
      <c r="OF37" t="s">
        <v>276</v>
      </c>
      <c r="OG37" t="s">
        <v>247</v>
      </c>
      <c r="ON37">
        <v>-14.2</v>
      </c>
      <c r="OO37">
        <v>11.34</v>
      </c>
      <c r="OP37" s="25">
        <v>2.7560370187759791</v>
      </c>
      <c r="OQ37" s="25">
        <v>3.2149940577062006</v>
      </c>
      <c r="OR37" t="s">
        <v>909</v>
      </c>
      <c r="OS37" t="s">
        <v>911</v>
      </c>
    </row>
    <row r="38" spans="1:409" x14ac:dyDescent="0.25">
      <c r="A38">
        <v>37</v>
      </c>
      <c r="B38" s="1">
        <v>73</v>
      </c>
      <c r="C38" s="1">
        <v>46</v>
      </c>
      <c r="D38" s="1">
        <v>5</v>
      </c>
      <c r="E38" s="1">
        <v>0</v>
      </c>
      <c r="F38" s="1">
        <v>39</v>
      </c>
      <c r="G38" s="1">
        <v>2</v>
      </c>
      <c r="H38" s="1">
        <v>0</v>
      </c>
      <c r="I38" s="1">
        <v>1</v>
      </c>
      <c r="J38" s="1">
        <v>196</v>
      </c>
      <c r="K38" s="1">
        <v>0</v>
      </c>
      <c r="L38" s="1">
        <v>5</v>
      </c>
      <c r="M38" s="1">
        <v>0</v>
      </c>
      <c r="N38" s="1">
        <v>24</v>
      </c>
      <c r="O38" s="1">
        <v>0</v>
      </c>
      <c r="P38" s="1">
        <v>0</v>
      </c>
      <c r="Q38" s="1">
        <v>49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2">
        <v>441</v>
      </c>
      <c r="Y38" s="3"/>
      <c r="Z38" s="15">
        <f t="shared" si="172"/>
        <v>1.3450354163695601</v>
      </c>
      <c r="AA38" s="15">
        <f t="shared" si="173"/>
        <v>0.84755656373972299</v>
      </c>
      <c r="AB38" s="15">
        <f t="shared" si="174"/>
        <v>9.2125713449969893E-2</v>
      </c>
      <c r="AC38" s="15">
        <f t="shared" si="175"/>
        <v>0</v>
      </c>
      <c r="AD38" s="15">
        <f t="shared" si="176"/>
        <v>0.71858056490976518</v>
      </c>
      <c r="AE38" s="15">
        <f t="shared" si="177"/>
        <v>3.6850285379987954E-2</v>
      </c>
      <c r="AF38" s="15">
        <f t="shared" si="178"/>
        <v>0</v>
      </c>
      <c r="AG38" s="15">
        <f t="shared" si="179"/>
        <v>1.8425142689993977E-2</v>
      </c>
      <c r="AH38" s="15">
        <f t="shared" si="180"/>
        <v>3.6113279672388194</v>
      </c>
      <c r="AI38" s="15">
        <f t="shared" si="181"/>
        <v>0</v>
      </c>
      <c r="AJ38" s="15">
        <f t="shared" si="182"/>
        <v>9.2125713449969893E-2</v>
      </c>
      <c r="AK38" s="15">
        <f t="shared" si="183"/>
        <v>0</v>
      </c>
      <c r="AL38" s="15">
        <f t="shared" si="184"/>
        <v>0.44220342455985545</v>
      </c>
      <c r="AM38" s="15">
        <f t="shared" si="185"/>
        <v>0</v>
      </c>
      <c r="AN38" s="15">
        <f t="shared" si="186"/>
        <v>0</v>
      </c>
      <c r="AO38" s="15">
        <f t="shared" si="187"/>
        <v>0.90283199180970486</v>
      </c>
      <c r="AP38" s="15">
        <f t="shared" si="188"/>
        <v>1.8425142689993977E-2</v>
      </c>
      <c r="AQ38" s="15">
        <f t="shared" si="189"/>
        <v>0</v>
      </c>
      <c r="AR38" s="15">
        <f t="shared" si="190"/>
        <v>0</v>
      </c>
      <c r="AS38" s="15">
        <f t="shared" si="191"/>
        <v>0</v>
      </c>
      <c r="AT38" s="15">
        <f t="shared" si="192"/>
        <v>0</v>
      </c>
      <c r="AU38" s="15">
        <f t="shared" si="193"/>
        <v>0</v>
      </c>
      <c r="AV38" s="5">
        <f t="shared" si="194"/>
        <v>8.1254879262873434</v>
      </c>
      <c r="AW38" s="16"/>
      <c r="AX38" s="6">
        <v>730</v>
      </c>
      <c r="AY38" s="6">
        <v>460</v>
      </c>
      <c r="AZ38" s="6">
        <v>50</v>
      </c>
      <c r="BA38" s="6">
        <v>0</v>
      </c>
      <c r="BB38" s="6">
        <v>390</v>
      </c>
      <c r="BC38" s="6">
        <v>20</v>
      </c>
      <c r="BD38" s="6">
        <v>0</v>
      </c>
      <c r="BE38" s="6">
        <v>10</v>
      </c>
      <c r="BF38" s="6">
        <v>1960</v>
      </c>
      <c r="BG38" s="6">
        <v>0</v>
      </c>
      <c r="BH38" s="6">
        <v>50</v>
      </c>
      <c r="BI38" s="6">
        <v>0</v>
      </c>
      <c r="BJ38" s="6">
        <v>240</v>
      </c>
      <c r="BK38" s="6">
        <v>0</v>
      </c>
      <c r="BL38" s="6">
        <v>0</v>
      </c>
      <c r="BM38" s="6">
        <v>490</v>
      </c>
      <c r="BN38" s="6">
        <v>10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7">
        <v>4410</v>
      </c>
      <c r="BU38" s="16"/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1.9999999999999998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53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3.9999999999999996</v>
      </c>
      <c r="FS38" s="8">
        <v>0.99999999999999989</v>
      </c>
      <c r="FT38" s="8">
        <v>0</v>
      </c>
      <c r="FU38" s="8">
        <v>7.9999999999999991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9">
        <v>68</v>
      </c>
      <c r="GG38" s="3"/>
      <c r="GH38" s="10">
        <f t="shared" si="60"/>
        <v>0</v>
      </c>
      <c r="GI38" s="10">
        <f t="shared" si="61"/>
        <v>0</v>
      </c>
      <c r="GJ38" s="10">
        <f t="shared" si="62"/>
        <v>0</v>
      </c>
      <c r="GK38" s="10">
        <f t="shared" si="63"/>
        <v>0</v>
      </c>
      <c r="GL38" s="10">
        <f t="shared" si="64"/>
        <v>0</v>
      </c>
      <c r="GM38" s="10">
        <f t="shared" si="65"/>
        <v>0</v>
      </c>
      <c r="GN38" s="10">
        <f t="shared" si="66"/>
        <v>0</v>
      </c>
      <c r="GO38" s="10">
        <f t="shared" si="67"/>
        <v>0</v>
      </c>
      <c r="GP38" s="10">
        <f t="shared" si="68"/>
        <v>0</v>
      </c>
      <c r="GQ38" s="10">
        <f t="shared" si="69"/>
        <v>0</v>
      </c>
      <c r="GR38" s="10">
        <f t="shared" si="70"/>
        <v>21.470588235294116</v>
      </c>
      <c r="GS38" s="10">
        <f t="shared" si="71"/>
        <v>0</v>
      </c>
      <c r="GT38" s="10">
        <f t="shared" si="72"/>
        <v>0</v>
      </c>
      <c r="GU38" s="10">
        <f t="shared" si="73"/>
        <v>0</v>
      </c>
      <c r="GV38" s="10">
        <f t="shared" si="74"/>
        <v>0</v>
      </c>
      <c r="GW38" s="10">
        <f t="shared" si="75"/>
        <v>0</v>
      </c>
      <c r="GX38" s="10">
        <f t="shared" si="76"/>
        <v>0</v>
      </c>
      <c r="GY38" s="10">
        <f t="shared" si="77"/>
        <v>0</v>
      </c>
      <c r="GZ38" s="10">
        <f t="shared" si="78"/>
        <v>568.97058823529414</v>
      </c>
      <c r="HA38" s="10">
        <f t="shared" si="79"/>
        <v>0</v>
      </c>
      <c r="HB38" s="10">
        <f t="shared" si="80"/>
        <v>0</v>
      </c>
      <c r="HC38" s="10">
        <f t="shared" si="81"/>
        <v>0</v>
      </c>
      <c r="HD38" s="10">
        <f t="shared" si="82"/>
        <v>0</v>
      </c>
      <c r="HE38" s="10">
        <f t="shared" si="83"/>
        <v>0</v>
      </c>
      <c r="HF38" s="10">
        <f t="shared" si="84"/>
        <v>0</v>
      </c>
      <c r="HG38" s="10">
        <f t="shared" si="85"/>
        <v>0</v>
      </c>
      <c r="HH38" s="10">
        <f t="shared" si="86"/>
        <v>0</v>
      </c>
      <c r="HI38" s="10">
        <f t="shared" si="87"/>
        <v>0</v>
      </c>
      <c r="HJ38" s="10">
        <f t="shared" si="88"/>
        <v>0</v>
      </c>
      <c r="HK38" s="10">
        <f t="shared" si="89"/>
        <v>0</v>
      </c>
      <c r="HL38" s="10">
        <f t="shared" si="90"/>
        <v>0</v>
      </c>
      <c r="HM38" s="10">
        <f t="shared" si="91"/>
        <v>0</v>
      </c>
      <c r="HN38" s="10">
        <f t="shared" si="92"/>
        <v>0</v>
      </c>
      <c r="HO38" s="10">
        <f t="shared" si="93"/>
        <v>0</v>
      </c>
      <c r="HP38" s="10">
        <f t="shared" si="94"/>
        <v>0</v>
      </c>
      <c r="HQ38" s="10">
        <f t="shared" si="95"/>
        <v>0</v>
      </c>
      <c r="HR38" s="10">
        <f t="shared" si="96"/>
        <v>0</v>
      </c>
      <c r="HS38" s="10">
        <f t="shared" si="97"/>
        <v>0</v>
      </c>
      <c r="HT38" s="10">
        <f t="shared" si="98"/>
        <v>0</v>
      </c>
      <c r="HU38" s="10">
        <f t="shared" si="99"/>
        <v>0</v>
      </c>
      <c r="HV38" s="10">
        <f t="shared" si="100"/>
        <v>0</v>
      </c>
      <c r="HW38" s="10">
        <f t="shared" si="101"/>
        <v>0</v>
      </c>
      <c r="HX38" s="10">
        <f t="shared" si="102"/>
        <v>0</v>
      </c>
      <c r="HY38" s="10">
        <f t="shared" si="103"/>
        <v>0</v>
      </c>
      <c r="HZ38" s="10">
        <f t="shared" si="104"/>
        <v>0</v>
      </c>
      <c r="IA38" s="10">
        <f t="shared" si="105"/>
        <v>0</v>
      </c>
      <c r="IB38" s="10">
        <f t="shared" si="106"/>
        <v>0</v>
      </c>
      <c r="IC38" s="10">
        <f t="shared" si="107"/>
        <v>0</v>
      </c>
      <c r="ID38" s="10">
        <f t="shared" si="108"/>
        <v>0</v>
      </c>
      <c r="IE38" s="10">
        <f t="shared" si="109"/>
        <v>0</v>
      </c>
      <c r="IF38" s="10">
        <f t="shared" si="110"/>
        <v>0</v>
      </c>
      <c r="IG38" s="10">
        <f t="shared" si="111"/>
        <v>0</v>
      </c>
      <c r="IH38" s="10">
        <f t="shared" si="112"/>
        <v>0</v>
      </c>
      <c r="II38" s="10">
        <f t="shared" si="113"/>
        <v>0</v>
      </c>
      <c r="IJ38" s="10">
        <f t="shared" si="114"/>
        <v>0</v>
      </c>
      <c r="IK38" s="10">
        <f t="shared" si="115"/>
        <v>0</v>
      </c>
      <c r="IL38" s="10">
        <f t="shared" si="116"/>
        <v>0</v>
      </c>
      <c r="IM38" s="10">
        <f t="shared" si="117"/>
        <v>0</v>
      </c>
      <c r="IN38" s="10">
        <f t="shared" si="118"/>
        <v>0</v>
      </c>
      <c r="IO38" s="10">
        <f t="shared" si="119"/>
        <v>0</v>
      </c>
      <c r="IP38" s="10">
        <f t="shared" si="120"/>
        <v>0</v>
      </c>
      <c r="IQ38" s="10">
        <f t="shared" si="121"/>
        <v>0</v>
      </c>
      <c r="IR38" s="10">
        <f t="shared" si="122"/>
        <v>0</v>
      </c>
      <c r="IS38" s="10">
        <f t="shared" si="123"/>
        <v>0</v>
      </c>
      <c r="IT38" s="10">
        <f t="shared" si="124"/>
        <v>0</v>
      </c>
      <c r="IU38" s="10">
        <f t="shared" si="125"/>
        <v>0</v>
      </c>
      <c r="IV38" s="10">
        <f t="shared" si="126"/>
        <v>0</v>
      </c>
      <c r="IW38" s="10">
        <f t="shared" si="127"/>
        <v>0</v>
      </c>
      <c r="IX38" s="10">
        <f t="shared" si="128"/>
        <v>0</v>
      </c>
      <c r="IY38" s="10">
        <f t="shared" si="129"/>
        <v>0</v>
      </c>
      <c r="IZ38" s="10">
        <f t="shared" si="130"/>
        <v>0</v>
      </c>
      <c r="JA38" s="10">
        <f t="shared" si="131"/>
        <v>0</v>
      </c>
      <c r="JB38" s="10">
        <f t="shared" si="132"/>
        <v>0</v>
      </c>
      <c r="JC38" s="10">
        <f t="shared" si="133"/>
        <v>0</v>
      </c>
      <c r="JD38" s="10">
        <f t="shared" si="134"/>
        <v>0</v>
      </c>
      <c r="JE38" s="10">
        <f t="shared" si="135"/>
        <v>0</v>
      </c>
      <c r="JF38" s="10">
        <f t="shared" si="136"/>
        <v>0</v>
      </c>
      <c r="JG38" s="10">
        <v>0</v>
      </c>
      <c r="JH38" s="10">
        <f t="shared" si="137"/>
        <v>0</v>
      </c>
      <c r="JI38" s="10">
        <f t="shared" si="138"/>
        <v>0</v>
      </c>
      <c r="JJ38" s="10">
        <f t="shared" si="139"/>
        <v>0</v>
      </c>
      <c r="JK38" s="10">
        <f t="shared" si="140"/>
        <v>0</v>
      </c>
      <c r="JL38" s="10">
        <f t="shared" si="141"/>
        <v>0</v>
      </c>
      <c r="JM38" s="10">
        <f t="shared" si="142"/>
        <v>0</v>
      </c>
      <c r="JN38" s="10">
        <f t="shared" si="143"/>
        <v>0</v>
      </c>
      <c r="JO38" s="10">
        <f t="shared" si="144"/>
        <v>0</v>
      </c>
      <c r="JP38" s="10">
        <f t="shared" si="145"/>
        <v>0</v>
      </c>
      <c r="JQ38" s="10">
        <f t="shared" si="146"/>
        <v>0</v>
      </c>
      <c r="JR38" s="10">
        <f t="shared" si="147"/>
        <v>0</v>
      </c>
      <c r="JS38" s="10">
        <f t="shared" si="148"/>
        <v>0</v>
      </c>
      <c r="JT38" s="10">
        <f t="shared" si="149"/>
        <v>0</v>
      </c>
      <c r="JU38" s="10">
        <f t="shared" si="150"/>
        <v>0</v>
      </c>
      <c r="JV38" s="10">
        <f t="shared" si="151"/>
        <v>0</v>
      </c>
      <c r="JW38" s="10">
        <f t="shared" si="152"/>
        <v>0</v>
      </c>
      <c r="JX38" s="10">
        <f t="shared" si="153"/>
        <v>0</v>
      </c>
      <c r="JY38" s="10">
        <f t="shared" si="154"/>
        <v>0</v>
      </c>
      <c r="JZ38" s="10">
        <f t="shared" si="155"/>
        <v>0</v>
      </c>
      <c r="KA38" s="10">
        <f t="shared" si="156"/>
        <v>0</v>
      </c>
      <c r="KB38" s="10">
        <f t="shared" si="157"/>
        <v>0</v>
      </c>
      <c r="KC38" s="10">
        <f t="shared" si="158"/>
        <v>42.941176470588232</v>
      </c>
      <c r="KD38" s="10">
        <f t="shared" si="159"/>
        <v>10.735294117647058</v>
      </c>
      <c r="KE38" s="10">
        <f t="shared" si="160"/>
        <v>0</v>
      </c>
      <c r="KF38" s="10">
        <f t="shared" si="161"/>
        <v>85.882352941176464</v>
      </c>
      <c r="KG38" s="10">
        <f t="shared" si="162"/>
        <v>0</v>
      </c>
      <c r="KH38" s="10">
        <f t="shared" si="163"/>
        <v>0</v>
      </c>
      <c r="KI38" s="10">
        <f t="shared" si="164"/>
        <v>0</v>
      </c>
      <c r="KJ38" s="10">
        <f t="shared" si="165"/>
        <v>0</v>
      </c>
      <c r="KK38" s="10">
        <f t="shared" si="166"/>
        <v>0</v>
      </c>
      <c r="KL38" s="10">
        <f t="shared" si="167"/>
        <v>0</v>
      </c>
      <c r="KM38" s="10">
        <f t="shared" si="168"/>
        <v>0</v>
      </c>
      <c r="KN38" s="10">
        <f t="shared" si="169"/>
        <v>0</v>
      </c>
      <c r="KO38" s="10">
        <f t="shared" si="170"/>
        <v>0</v>
      </c>
      <c r="KP38" s="10">
        <f t="shared" si="171"/>
        <v>0</v>
      </c>
      <c r="KQ38" s="11">
        <v>730.00000000000011</v>
      </c>
      <c r="KR38" s="16"/>
      <c r="KS38" s="12">
        <v>5427.3663809565151</v>
      </c>
      <c r="KT38" s="26"/>
      <c r="KU38" s="26"/>
      <c r="KV38" s="26"/>
      <c r="KW38" s="26">
        <v>-13.82</v>
      </c>
      <c r="KX38" s="26">
        <v>11.29</v>
      </c>
      <c r="KY38" s="27">
        <v>3.1482308621824306</v>
      </c>
      <c r="KZ38" s="27">
        <v>3.672499115668264</v>
      </c>
      <c r="LA38" s="17"/>
      <c r="LB38" s="2">
        <v>1126</v>
      </c>
      <c r="LC38" s="1">
        <v>0</v>
      </c>
      <c r="LD38" s="1">
        <v>6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122</v>
      </c>
      <c r="LM38" s="1">
        <v>30</v>
      </c>
      <c r="LN38" s="1">
        <v>118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164</v>
      </c>
      <c r="LU38" s="1">
        <v>0</v>
      </c>
      <c r="LV38" s="1">
        <v>0</v>
      </c>
      <c r="LW38" s="1">
        <v>4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682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28"/>
      <c r="ML38" t="s">
        <v>854</v>
      </c>
      <c r="MM38" t="s">
        <v>350</v>
      </c>
      <c r="MN38" t="s">
        <v>320</v>
      </c>
      <c r="MO38" t="s">
        <v>321</v>
      </c>
      <c r="MP38" t="s">
        <v>322</v>
      </c>
      <c r="MQ38" t="s">
        <v>323</v>
      </c>
      <c r="MR38">
        <v>0.1</v>
      </c>
      <c r="MS38" t="s">
        <v>278</v>
      </c>
      <c r="MT38" t="s">
        <v>279</v>
      </c>
      <c r="MU38" t="s">
        <v>280</v>
      </c>
      <c r="MV38">
        <v>4410</v>
      </c>
      <c r="MW38" s="13">
        <v>441</v>
      </c>
      <c r="MX38" s="13" t="s">
        <v>281</v>
      </c>
      <c r="MY38" t="s">
        <v>240</v>
      </c>
      <c r="MZ38" t="s">
        <v>241</v>
      </c>
      <c r="NA38" t="s">
        <v>242</v>
      </c>
      <c r="NB38" t="s">
        <v>282</v>
      </c>
      <c r="ND38" s="18">
        <v>43281</v>
      </c>
      <c r="NE38" s="19">
        <v>0.1423611111111111</v>
      </c>
      <c r="NF38" t="s">
        <v>244</v>
      </c>
      <c r="NG38" t="s">
        <v>283</v>
      </c>
      <c r="NH38" t="s">
        <v>246</v>
      </c>
      <c r="NI38">
        <v>92</v>
      </c>
      <c r="NJ38" t="s">
        <v>244</v>
      </c>
      <c r="NK38">
        <v>2</v>
      </c>
      <c r="NL38" t="s">
        <v>248</v>
      </c>
      <c r="NM38">
        <v>29.648520000000001</v>
      </c>
      <c r="NN38">
        <v>-84.891220000000004</v>
      </c>
      <c r="NO38" t="s">
        <v>248</v>
      </c>
      <c r="NP38" t="s">
        <v>284</v>
      </c>
      <c r="NQ38" t="s">
        <v>244</v>
      </c>
      <c r="NR38" t="s">
        <v>247</v>
      </c>
      <c r="NS38">
        <v>982000410609779</v>
      </c>
      <c r="NT38" t="s">
        <v>244</v>
      </c>
      <c r="NU38" t="s">
        <v>244</v>
      </c>
      <c r="NV38" t="s">
        <v>248</v>
      </c>
      <c r="NW38" t="s">
        <v>279</v>
      </c>
      <c r="NX38" t="s">
        <v>280</v>
      </c>
      <c r="NY38">
        <v>86.65</v>
      </c>
      <c r="NZ38">
        <v>85</v>
      </c>
      <c r="OA38">
        <v>79.75</v>
      </c>
      <c r="OB38" s="14">
        <v>5427.3663809565151</v>
      </c>
      <c r="OC38" t="s">
        <v>248</v>
      </c>
      <c r="OD38" t="s">
        <v>247</v>
      </c>
      <c r="OE38" t="s">
        <v>248</v>
      </c>
      <c r="OF38" t="s">
        <v>285</v>
      </c>
      <c r="OG38" t="s">
        <v>247</v>
      </c>
      <c r="ON38">
        <v>-13.82</v>
      </c>
      <c r="OO38">
        <v>11.29</v>
      </c>
      <c r="OP38" s="25">
        <v>3.1482308621824306</v>
      </c>
      <c r="OQ38" s="25">
        <v>3.672499115668264</v>
      </c>
      <c r="OR38" t="s">
        <v>911</v>
      </c>
      <c r="OS38" t="s">
        <v>911</v>
      </c>
    </row>
    <row r="39" spans="1:409" x14ac:dyDescent="0.25">
      <c r="A39">
        <v>38</v>
      </c>
      <c r="B39" s="1">
        <v>50</v>
      </c>
      <c r="C39" s="1">
        <v>72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2</v>
      </c>
      <c r="J39" s="1">
        <v>112</v>
      </c>
      <c r="K39" s="1">
        <v>0</v>
      </c>
      <c r="L39" s="1">
        <v>0</v>
      </c>
      <c r="M39" s="1">
        <v>0</v>
      </c>
      <c r="N39" s="1">
        <v>4</v>
      </c>
      <c r="O39" s="1">
        <v>0</v>
      </c>
      <c r="P39" s="1">
        <v>0</v>
      </c>
      <c r="Q39" s="1">
        <v>43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2">
        <v>283</v>
      </c>
      <c r="Y39" s="3"/>
      <c r="Z39" s="15">
        <f t="shared" si="172"/>
        <v>0.61417142299979932</v>
      </c>
      <c r="AA39" s="15">
        <f t="shared" si="173"/>
        <v>0.8844068491197109</v>
      </c>
      <c r="AB39" s="15">
        <f t="shared" si="174"/>
        <v>0</v>
      </c>
      <c r="AC39" s="15">
        <f t="shared" si="175"/>
        <v>0</v>
      </c>
      <c r="AD39" s="15">
        <f t="shared" si="176"/>
        <v>0</v>
      </c>
      <c r="AE39" s="15">
        <f t="shared" si="177"/>
        <v>0</v>
      </c>
      <c r="AF39" s="15">
        <f t="shared" si="178"/>
        <v>0</v>
      </c>
      <c r="AG39" s="15">
        <f t="shared" si="179"/>
        <v>2.4566856919991973E-2</v>
      </c>
      <c r="AH39" s="15">
        <f t="shared" si="180"/>
        <v>1.3757439875195505</v>
      </c>
      <c r="AI39" s="15">
        <f t="shared" si="181"/>
        <v>0</v>
      </c>
      <c r="AJ39" s="15">
        <f t="shared" si="182"/>
        <v>0</v>
      </c>
      <c r="AK39" s="15">
        <f t="shared" si="183"/>
        <v>0</v>
      </c>
      <c r="AL39" s="15">
        <f t="shared" si="184"/>
        <v>4.9133713839983946E-2</v>
      </c>
      <c r="AM39" s="15">
        <f t="shared" si="185"/>
        <v>0</v>
      </c>
      <c r="AN39" s="15">
        <f t="shared" si="186"/>
        <v>0</v>
      </c>
      <c r="AO39" s="15">
        <f t="shared" si="187"/>
        <v>0.52818742377982741</v>
      </c>
      <c r="AP39" s="15">
        <f t="shared" si="188"/>
        <v>0</v>
      </c>
      <c r="AQ39" s="15">
        <f t="shared" si="189"/>
        <v>0</v>
      </c>
      <c r="AR39" s="15">
        <f t="shared" si="190"/>
        <v>0</v>
      </c>
      <c r="AS39" s="15">
        <f t="shared" si="191"/>
        <v>0</v>
      </c>
      <c r="AT39" s="15">
        <f t="shared" si="192"/>
        <v>0</v>
      </c>
      <c r="AU39" s="15">
        <f t="shared" si="193"/>
        <v>0</v>
      </c>
      <c r="AV39" s="5">
        <f t="shared" si="194"/>
        <v>3.4762102541788642</v>
      </c>
      <c r="AW39" s="16"/>
      <c r="AX39" s="6">
        <v>333.33333333333337</v>
      </c>
      <c r="AY39" s="6">
        <v>480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13.333333333333334</v>
      </c>
      <c r="BF39" s="6">
        <v>746.66666666666674</v>
      </c>
      <c r="BG39" s="6">
        <v>0</v>
      </c>
      <c r="BH39" s="6">
        <v>0</v>
      </c>
      <c r="BI39" s="6">
        <v>0</v>
      </c>
      <c r="BJ39" s="6">
        <v>26.666666666666668</v>
      </c>
      <c r="BK39" s="6">
        <v>0</v>
      </c>
      <c r="BL39" s="6">
        <v>0</v>
      </c>
      <c r="BM39" s="6">
        <v>286.66666666666669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7">
        <v>1886.666666666667</v>
      </c>
      <c r="BU39" s="16"/>
      <c r="BV39" s="8">
        <v>0</v>
      </c>
      <c r="BW39" s="8">
        <v>1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1</v>
      </c>
      <c r="CG39" s="8">
        <v>0</v>
      </c>
      <c r="CH39" s="8">
        <v>1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43</v>
      </c>
      <c r="CO39" s="8">
        <v>0</v>
      </c>
      <c r="CP39" s="8">
        <v>0</v>
      </c>
      <c r="CQ39" s="8">
        <v>0</v>
      </c>
      <c r="CR39" s="8">
        <v>1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1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2</v>
      </c>
      <c r="FN39" s="8">
        <v>0</v>
      </c>
      <c r="FO39" s="8">
        <v>0</v>
      </c>
      <c r="FP39" s="8">
        <v>0</v>
      </c>
      <c r="FQ39" s="8">
        <v>0</v>
      </c>
      <c r="FR39" s="8">
        <v>7</v>
      </c>
      <c r="FS39" s="8">
        <v>0</v>
      </c>
      <c r="FT39" s="8">
        <v>0</v>
      </c>
      <c r="FU39" s="8">
        <v>5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9">
        <v>62</v>
      </c>
      <c r="GG39" s="3"/>
      <c r="GH39" s="10">
        <f t="shared" si="60"/>
        <v>0</v>
      </c>
      <c r="GI39" s="10">
        <f t="shared" si="61"/>
        <v>5.3763440860215059</v>
      </c>
      <c r="GJ39" s="10">
        <f t="shared" si="62"/>
        <v>0</v>
      </c>
      <c r="GK39" s="10">
        <f t="shared" si="63"/>
        <v>0</v>
      </c>
      <c r="GL39" s="10">
        <f t="shared" si="64"/>
        <v>0</v>
      </c>
      <c r="GM39" s="10">
        <f t="shared" si="65"/>
        <v>0</v>
      </c>
      <c r="GN39" s="10">
        <f t="shared" si="66"/>
        <v>0</v>
      </c>
      <c r="GO39" s="10">
        <f t="shared" si="67"/>
        <v>0</v>
      </c>
      <c r="GP39" s="10">
        <f t="shared" si="68"/>
        <v>0</v>
      </c>
      <c r="GQ39" s="10">
        <f t="shared" si="69"/>
        <v>0</v>
      </c>
      <c r="GR39" s="10">
        <f t="shared" si="70"/>
        <v>5.3763440860215059</v>
      </c>
      <c r="GS39" s="10">
        <f t="shared" si="71"/>
        <v>0</v>
      </c>
      <c r="GT39" s="10">
        <f t="shared" si="72"/>
        <v>5.3763440860215059</v>
      </c>
      <c r="GU39" s="10">
        <f t="shared" si="73"/>
        <v>0</v>
      </c>
      <c r="GV39" s="10">
        <f t="shared" si="74"/>
        <v>0</v>
      </c>
      <c r="GW39" s="10">
        <f t="shared" si="75"/>
        <v>0</v>
      </c>
      <c r="GX39" s="10">
        <f t="shared" si="76"/>
        <v>0</v>
      </c>
      <c r="GY39" s="10">
        <f t="shared" si="77"/>
        <v>0</v>
      </c>
      <c r="GZ39" s="10">
        <f t="shared" si="78"/>
        <v>231.18279569892476</v>
      </c>
      <c r="HA39" s="10">
        <f t="shared" si="79"/>
        <v>0</v>
      </c>
      <c r="HB39" s="10">
        <f t="shared" si="80"/>
        <v>0</v>
      </c>
      <c r="HC39" s="10">
        <f t="shared" si="81"/>
        <v>0</v>
      </c>
      <c r="HD39" s="10">
        <f t="shared" si="82"/>
        <v>5.3763440860215059</v>
      </c>
      <c r="HE39" s="10">
        <f t="shared" si="83"/>
        <v>0</v>
      </c>
      <c r="HF39" s="10">
        <f t="shared" si="84"/>
        <v>0</v>
      </c>
      <c r="HG39" s="10">
        <f t="shared" si="85"/>
        <v>0</v>
      </c>
      <c r="HH39" s="10">
        <f t="shared" si="86"/>
        <v>0</v>
      </c>
      <c r="HI39" s="10">
        <f t="shared" si="87"/>
        <v>0</v>
      </c>
      <c r="HJ39" s="10">
        <f t="shared" si="88"/>
        <v>0</v>
      </c>
      <c r="HK39" s="10">
        <f t="shared" si="89"/>
        <v>0</v>
      </c>
      <c r="HL39" s="10">
        <f t="shared" si="90"/>
        <v>0</v>
      </c>
      <c r="HM39" s="10">
        <f t="shared" si="91"/>
        <v>0</v>
      </c>
      <c r="HN39" s="10">
        <f t="shared" si="92"/>
        <v>0</v>
      </c>
      <c r="HO39" s="10">
        <f t="shared" si="93"/>
        <v>0</v>
      </c>
      <c r="HP39" s="10">
        <f t="shared" si="94"/>
        <v>0</v>
      </c>
      <c r="HQ39" s="10">
        <f t="shared" si="95"/>
        <v>0</v>
      </c>
      <c r="HR39" s="10">
        <f t="shared" si="96"/>
        <v>0</v>
      </c>
      <c r="HS39" s="10">
        <f t="shared" si="97"/>
        <v>0</v>
      </c>
      <c r="HT39" s="10">
        <f t="shared" si="98"/>
        <v>0</v>
      </c>
      <c r="HU39" s="10">
        <f t="shared" si="99"/>
        <v>0</v>
      </c>
      <c r="HV39" s="10">
        <f t="shared" si="100"/>
        <v>0</v>
      </c>
      <c r="HW39" s="10">
        <f t="shared" si="101"/>
        <v>0</v>
      </c>
      <c r="HX39" s="10">
        <f t="shared" si="102"/>
        <v>0</v>
      </c>
      <c r="HY39" s="10">
        <f t="shared" si="103"/>
        <v>0</v>
      </c>
      <c r="HZ39" s="10">
        <f t="shared" si="104"/>
        <v>0</v>
      </c>
      <c r="IA39" s="10">
        <f t="shared" si="105"/>
        <v>0</v>
      </c>
      <c r="IB39" s="10">
        <f t="shared" si="106"/>
        <v>0</v>
      </c>
      <c r="IC39" s="10">
        <f t="shared" si="107"/>
        <v>0</v>
      </c>
      <c r="ID39" s="10">
        <f t="shared" si="108"/>
        <v>0</v>
      </c>
      <c r="IE39" s="10">
        <f t="shared" si="109"/>
        <v>0</v>
      </c>
      <c r="IF39" s="10">
        <f t="shared" si="110"/>
        <v>0</v>
      </c>
      <c r="IG39" s="10">
        <f t="shared" si="111"/>
        <v>0</v>
      </c>
      <c r="IH39" s="10">
        <f t="shared" si="112"/>
        <v>0</v>
      </c>
      <c r="II39" s="10">
        <f t="shared" si="113"/>
        <v>0</v>
      </c>
      <c r="IJ39" s="10">
        <f t="shared" si="114"/>
        <v>0</v>
      </c>
      <c r="IK39" s="10">
        <f t="shared" si="115"/>
        <v>0</v>
      </c>
      <c r="IL39" s="10">
        <f t="shared" si="116"/>
        <v>0</v>
      </c>
      <c r="IM39" s="10">
        <f t="shared" si="117"/>
        <v>0</v>
      </c>
      <c r="IN39" s="10">
        <f t="shared" si="118"/>
        <v>0</v>
      </c>
      <c r="IO39" s="10">
        <f t="shared" si="119"/>
        <v>0</v>
      </c>
      <c r="IP39" s="10">
        <f t="shared" si="120"/>
        <v>0</v>
      </c>
      <c r="IQ39" s="10">
        <f t="shared" si="121"/>
        <v>5.3763440860215059</v>
      </c>
      <c r="IR39" s="10">
        <f t="shared" si="122"/>
        <v>0</v>
      </c>
      <c r="IS39" s="10">
        <f t="shared" si="123"/>
        <v>0</v>
      </c>
      <c r="IT39" s="10">
        <f t="shared" si="124"/>
        <v>0</v>
      </c>
      <c r="IU39" s="10">
        <f t="shared" si="125"/>
        <v>0</v>
      </c>
      <c r="IV39" s="10">
        <f t="shared" si="126"/>
        <v>0</v>
      </c>
      <c r="IW39" s="10">
        <f t="shared" si="127"/>
        <v>0</v>
      </c>
      <c r="IX39" s="10">
        <f t="shared" si="128"/>
        <v>0</v>
      </c>
      <c r="IY39" s="10">
        <f t="shared" si="129"/>
        <v>0</v>
      </c>
      <c r="IZ39" s="10">
        <f t="shared" si="130"/>
        <v>0</v>
      </c>
      <c r="JA39" s="10">
        <f t="shared" si="131"/>
        <v>0</v>
      </c>
      <c r="JB39" s="10">
        <f t="shared" si="132"/>
        <v>0</v>
      </c>
      <c r="JC39" s="10">
        <f t="shared" si="133"/>
        <v>0</v>
      </c>
      <c r="JD39" s="10">
        <f t="shared" si="134"/>
        <v>0</v>
      </c>
      <c r="JE39" s="10">
        <f t="shared" si="135"/>
        <v>0</v>
      </c>
      <c r="JF39" s="10">
        <f t="shared" si="136"/>
        <v>0</v>
      </c>
      <c r="JG39" s="10">
        <v>0</v>
      </c>
      <c r="JH39" s="10">
        <f t="shared" si="137"/>
        <v>0</v>
      </c>
      <c r="JI39" s="10">
        <f t="shared" si="138"/>
        <v>0</v>
      </c>
      <c r="JJ39" s="10">
        <f t="shared" si="139"/>
        <v>0</v>
      </c>
      <c r="JK39" s="10">
        <f t="shared" si="140"/>
        <v>0</v>
      </c>
      <c r="JL39" s="10">
        <f t="shared" si="141"/>
        <v>0</v>
      </c>
      <c r="JM39" s="10">
        <f t="shared" si="142"/>
        <v>0</v>
      </c>
      <c r="JN39" s="10">
        <f t="shared" si="143"/>
        <v>0</v>
      </c>
      <c r="JO39" s="10">
        <f t="shared" si="144"/>
        <v>0</v>
      </c>
      <c r="JP39" s="10">
        <f t="shared" si="145"/>
        <v>0</v>
      </c>
      <c r="JQ39" s="10">
        <f t="shared" si="146"/>
        <v>0</v>
      </c>
      <c r="JR39" s="10">
        <f t="shared" si="147"/>
        <v>0</v>
      </c>
      <c r="JS39" s="10">
        <f t="shared" si="148"/>
        <v>0</v>
      </c>
      <c r="JT39" s="10">
        <f t="shared" si="149"/>
        <v>0</v>
      </c>
      <c r="JU39" s="10">
        <f t="shared" si="150"/>
        <v>0</v>
      </c>
      <c r="JV39" s="10">
        <f t="shared" si="151"/>
        <v>0</v>
      </c>
      <c r="JW39" s="10">
        <f t="shared" si="152"/>
        <v>0</v>
      </c>
      <c r="JX39" s="10">
        <f t="shared" si="153"/>
        <v>10.752688172043012</v>
      </c>
      <c r="JY39" s="10">
        <f t="shared" si="154"/>
        <v>0</v>
      </c>
      <c r="JZ39" s="10">
        <f t="shared" si="155"/>
        <v>0</v>
      </c>
      <c r="KA39" s="10">
        <f t="shared" si="156"/>
        <v>0</v>
      </c>
      <c r="KB39" s="10">
        <f t="shared" si="157"/>
        <v>0</v>
      </c>
      <c r="KC39" s="10">
        <f t="shared" si="158"/>
        <v>37.634408602150543</v>
      </c>
      <c r="KD39" s="10">
        <f t="shared" si="159"/>
        <v>0</v>
      </c>
      <c r="KE39" s="10">
        <f t="shared" si="160"/>
        <v>0</v>
      </c>
      <c r="KF39" s="10">
        <f t="shared" si="161"/>
        <v>26.881720430107528</v>
      </c>
      <c r="KG39" s="10">
        <f t="shared" si="162"/>
        <v>0</v>
      </c>
      <c r="KH39" s="10">
        <f t="shared" si="163"/>
        <v>0</v>
      </c>
      <c r="KI39" s="10">
        <f t="shared" si="164"/>
        <v>0</v>
      </c>
      <c r="KJ39" s="10">
        <f t="shared" si="165"/>
        <v>0</v>
      </c>
      <c r="KK39" s="10">
        <f t="shared" si="166"/>
        <v>0</v>
      </c>
      <c r="KL39" s="10">
        <f t="shared" si="167"/>
        <v>0</v>
      </c>
      <c r="KM39" s="10">
        <f t="shared" si="168"/>
        <v>0</v>
      </c>
      <c r="KN39" s="10">
        <f t="shared" si="169"/>
        <v>0</v>
      </c>
      <c r="KO39" s="10">
        <f t="shared" si="170"/>
        <v>0</v>
      </c>
      <c r="KP39" s="10">
        <f t="shared" si="171"/>
        <v>0</v>
      </c>
      <c r="KQ39" s="11">
        <v>333.33333333333337</v>
      </c>
      <c r="KR39" s="16"/>
      <c r="KS39" s="12">
        <v>5427.3663809565151</v>
      </c>
      <c r="KT39" s="26"/>
      <c r="KU39" s="26"/>
      <c r="KV39" s="26"/>
      <c r="KW39" s="26">
        <v>-13.82</v>
      </c>
      <c r="KX39" s="26">
        <v>11.29</v>
      </c>
      <c r="KY39" s="27">
        <v>3.1482308621824306</v>
      </c>
      <c r="KZ39" s="27">
        <v>3.672499115668264</v>
      </c>
      <c r="LA39" s="17"/>
      <c r="LB39" s="2">
        <v>763</v>
      </c>
      <c r="LC39" s="1">
        <v>0</v>
      </c>
      <c r="LD39" s="1">
        <v>4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49</v>
      </c>
      <c r="LM39" s="1">
        <v>25</v>
      </c>
      <c r="LN39" s="1">
        <v>70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132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1</v>
      </c>
      <c r="MB39" s="1">
        <v>0</v>
      </c>
      <c r="MC39" s="1">
        <v>0</v>
      </c>
      <c r="MD39" s="1">
        <v>482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28"/>
      <c r="ML39" t="s">
        <v>855</v>
      </c>
      <c r="MM39" t="s">
        <v>351</v>
      </c>
      <c r="MN39" t="s">
        <v>320</v>
      </c>
      <c r="MO39" t="s">
        <v>334</v>
      </c>
      <c r="MP39" t="s">
        <v>335</v>
      </c>
      <c r="MQ39" t="s">
        <v>336</v>
      </c>
      <c r="MR39">
        <v>0.15</v>
      </c>
      <c r="MS39" t="s">
        <v>278</v>
      </c>
      <c r="MT39" t="s">
        <v>279</v>
      </c>
      <c r="MU39" t="s">
        <v>280</v>
      </c>
      <c r="MV39">
        <v>1886.6666666666667</v>
      </c>
      <c r="MW39" s="13">
        <v>441</v>
      </c>
      <c r="MX39" s="13" t="s">
        <v>281</v>
      </c>
      <c r="MY39" t="s">
        <v>240</v>
      </c>
      <c r="MZ39" t="s">
        <v>241</v>
      </c>
      <c r="NA39" t="s">
        <v>242</v>
      </c>
      <c r="NB39" t="s">
        <v>282</v>
      </c>
      <c r="ND39" s="18">
        <v>43281</v>
      </c>
      <c r="NE39" s="19">
        <v>0.1423611111111111</v>
      </c>
      <c r="NF39" t="s">
        <v>244</v>
      </c>
      <c r="NG39" t="s">
        <v>283</v>
      </c>
      <c r="NH39" t="s">
        <v>246</v>
      </c>
      <c r="NI39">
        <v>92</v>
      </c>
      <c r="NJ39" t="s">
        <v>244</v>
      </c>
      <c r="NK39">
        <v>2</v>
      </c>
      <c r="NL39" t="s">
        <v>248</v>
      </c>
      <c r="NM39">
        <v>29.648520000000001</v>
      </c>
      <c r="NN39">
        <v>-84.891220000000004</v>
      </c>
      <c r="NO39" t="s">
        <v>248</v>
      </c>
      <c r="NP39" t="s">
        <v>284</v>
      </c>
      <c r="NQ39" t="s">
        <v>244</v>
      </c>
      <c r="NR39" t="s">
        <v>247</v>
      </c>
      <c r="NS39">
        <v>982000410609779</v>
      </c>
      <c r="NT39" t="s">
        <v>244</v>
      </c>
      <c r="NU39" t="s">
        <v>244</v>
      </c>
      <c r="NV39" t="s">
        <v>248</v>
      </c>
      <c r="NW39" t="s">
        <v>279</v>
      </c>
      <c r="NX39" t="s">
        <v>280</v>
      </c>
      <c r="NY39">
        <v>86.65</v>
      </c>
      <c r="NZ39">
        <v>85</v>
      </c>
      <c r="OA39">
        <v>79.75</v>
      </c>
      <c r="OB39" s="14">
        <v>5427.3663809565151</v>
      </c>
      <c r="OC39" t="s">
        <v>248</v>
      </c>
      <c r="OD39" t="s">
        <v>247</v>
      </c>
      <c r="OE39" t="s">
        <v>248</v>
      </c>
      <c r="OF39" t="s">
        <v>285</v>
      </c>
      <c r="OG39" t="s">
        <v>247</v>
      </c>
      <c r="ON39">
        <v>-13.82</v>
      </c>
      <c r="OO39">
        <v>11.29</v>
      </c>
      <c r="OP39" s="25">
        <v>3.1482308621824306</v>
      </c>
      <c r="OQ39" s="25">
        <v>3.672499115668264</v>
      </c>
      <c r="OR39" t="s">
        <v>911</v>
      </c>
      <c r="OS39" t="s">
        <v>911</v>
      </c>
    </row>
    <row r="40" spans="1:409" x14ac:dyDescent="0.25">
      <c r="A40">
        <v>39</v>
      </c>
      <c r="B40" s="1">
        <v>115</v>
      </c>
      <c r="C40" s="1">
        <v>53</v>
      </c>
      <c r="D40" s="1">
        <v>4</v>
      </c>
      <c r="E40" s="1">
        <v>0</v>
      </c>
      <c r="F40" s="1">
        <v>49</v>
      </c>
      <c r="G40" s="1">
        <v>4</v>
      </c>
      <c r="H40" s="1">
        <v>1</v>
      </c>
      <c r="I40" s="1">
        <v>3</v>
      </c>
      <c r="J40" s="1">
        <v>71</v>
      </c>
      <c r="K40" s="1">
        <v>0</v>
      </c>
      <c r="L40" s="1">
        <v>15</v>
      </c>
      <c r="M40" s="1">
        <v>0</v>
      </c>
      <c r="N40" s="1">
        <v>73</v>
      </c>
      <c r="O40" s="1">
        <v>0</v>
      </c>
      <c r="P40" s="1">
        <v>0</v>
      </c>
      <c r="Q40" s="1">
        <v>44</v>
      </c>
      <c r="R40" s="1">
        <v>0</v>
      </c>
      <c r="S40" s="1">
        <v>0</v>
      </c>
      <c r="T40" s="1">
        <v>3</v>
      </c>
      <c r="U40" s="1">
        <v>0</v>
      </c>
      <c r="V40" s="1">
        <v>0</v>
      </c>
      <c r="W40" s="1">
        <v>0</v>
      </c>
      <c r="X40" s="2">
        <v>435</v>
      </c>
      <c r="Y40" s="3"/>
      <c r="Z40" s="15">
        <f t="shared" si="172"/>
        <v>3.5314856822488454</v>
      </c>
      <c r="AA40" s="15">
        <f t="shared" si="173"/>
        <v>1.6275542709494681</v>
      </c>
      <c r="AB40" s="15">
        <f t="shared" si="174"/>
        <v>0.12283428459995985</v>
      </c>
      <c r="AC40" s="15">
        <f t="shared" si="175"/>
        <v>0</v>
      </c>
      <c r="AD40" s="15">
        <f t="shared" si="176"/>
        <v>1.5047199863495084</v>
      </c>
      <c r="AE40" s="15">
        <f t="shared" si="177"/>
        <v>0.12283428459995985</v>
      </c>
      <c r="AF40" s="15">
        <f t="shared" si="178"/>
        <v>3.0708571149989962E-2</v>
      </c>
      <c r="AG40" s="15">
        <f t="shared" si="179"/>
        <v>9.2125713449969893E-2</v>
      </c>
      <c r="AH40" s="15">
        <f t="shared" si="180"/>
        <v>2.1803085516492877</v>
      </c>
      <c r="AI40" s="15">
        <f t="shared" si="181"/>
        <v>0</v>
      </c>
      <c r="AJ40" s="15">
        <f t="shared" si="182"/>
        <v>0.46062856724984941</v>
      </c>
      <c r="AK40" s="15">
        <f t="shared" si="183"/>
        <v>0</v>
      </c>
      <c r="AL40" s="15">
        <f t="shared" si="184"/>
        <v>2.2417256939492676</v>
      </c>
      <c r="AM40" s="15">
        <f t="shared" si="185"/>
        <v>0</v>
      </c>
      <c r="AN40" s="15">
        <f t="shared" si="186"/>
        <v>0</v>
      </c>
      <c r="AO40" s="15">
        <f t="shared" si="187"/>
        <v>1.3511771305995586</v>
      </c>
      <c r="AP40" s="15">
        <f t="shared" si="188"/>
        <v>0</v>
      </c>
      <c r="AQ40" s="15">
        <f t="shared" si="189"/>
        <v>0</v>
      </c>
      <c r="AR40" s="15">
        <f t="shared" si="190"/>
        <v>9.2125713449969893E-2</v>
      </c>
      <c r="AS40" s="15">
        <f t="shared" si="191"/>
        <v>0</v>
      </c>
      <c r="AT40" s="15">
        <f t="shared" si="192"/>
        <v>0</v>
      </c>
      <c r="AU40" s="15">
        <f t="shared" si="193"/>
        <v>0</v>
      </c>
      <c r="AV40" s="5">
        <f t="shared" si="194"/>
        <v>13.358228450245633</v>
      </c>
      <c r="AW40" s="16"/>
      <c r="AX40" s="6">
        <v>1916.6666666666667</v>
      </c>
      <c r="AY40" s="6">
        <v>883.33333333333337</v>
      </c>
      <c r="AZ40" s="6">
        <v>66.666666666666671</v>
      </c>
      <c r="BA40" s="6">
        <v>0</v>
      </c>
      <c r="BB40" s="6">
        <v>816.66666666666674</v>
      </c>
      <c r="BC40" s="6">
        <v>66.666666666666671</v>
      </c>
      <c r="BD40" s="6">
        <v>16.666666666666668</v>
      </c>
      <c r="BE40" s="6">
        <v>50</v>
      </c>
      <c r="BF40" s="6">
        <v>1183.3333333333335</v>
      </c>
      <c r="BG40" s="6">
        <v>0</v>
      </c>
      <c r="BH40" s="6">
        <v>250</v>
      </c>
      <c r="BI40" s="6">
        <v>0</v>
      </c>
      <c r="BJ40" s="6">
        <v>1216.6666666666667</v>
      </c>
      <c r="BK40" s="6">
        <v>0</v>
      </c>
      <c r="BL40" s="6">
        <v>0</v>
      </c>
      <c r="BM40" s="6">
        <v>733.33333333333337</v>
      </c>
      <c r="BN40" s="6">
        <v>0</v>
      </c>
      <c r="BO40" s="6">
        <v>0</v>
      </c>
      <c r="BP40" s="6">
        <v>50</v>
      </c>
      <c r="BQ40" s="6">
        <v>0</v>
      </c>
      <c r="BR40" s="6">
        <v>0</v>
      </c>
      <c r="BS40" s="6">
        <v>0</v>
      </c>
      <c r="BT40" s="7">
        <v>7250</v>
      </c>
      <c r="BU40" s="16"/>
      <c r="BV40" s="8">
        <v>0</v>
      </c>
      <c r="BW40" s="8">
        <v>7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11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65</v>
      </c>
      <c r="CO40" s="8">
        <v>0</v>
      </c>
      <c r="CP40" s="8">
        <v>0</v>
      </c>
      <c r="CQ40" s="8">
        <v>0</v>
      </c>
      <c r="CR40" s="8">
        <v>1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1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1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1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2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2</v>
      </c>
      <c r="FR40" s="8">
        <v>12</v>
      </c>
      <c r="FS40" s="8">
        <v>1</v>
      </c>
      <c r="FT40" s="8">
        <v>0</v>
      </c>
      <c r="FU40" s="8">
        <v>6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2</v>
      </c>
      <c r="GB40" s="8">
        <v>0</v>
      </c>
      <c r="GC40" s="8">
        <v>0</v>
      </c>
      <c r="GD40" s="8">
        <v>0</v>
      </c>
      <c r="GE40" s="8">
        <v>0</v>
      </c>
      <c r="GF40" s="9">
        <v>112</v>
      </c>
      <c r="GG40" s="3"/>
      <c r="GH40" s="10">
        <f t="shared" si="60"/>
        <v>0</v>
      </c>
      <c r="GI40" s="10">
        <f t="shared" si="61"/>
        <v>119.79166666666667</v>
      </c>
      <c r="GJ40" s="10">
        <f t="shared" si="62"/>
        <v>0</v>
      </c>
      <c r="GK40" s="10">
        <f t="shared" si="63"/>
        <v>0</v>
      </c>
      <c r="GL40" s="10">
        <f t="shared" si="64"/>
        <v>0</v>
      </c>
      <c r="GM40" s="10">
        <f t="shared" si="65"/>
        <v>0</v>
      </c>
      <c r="GN40" s="10">
        <f t="shared" si="66"/>
        <v>0</v>
      </c>
      <c r="GO40" s="10">
        <f t="shared" si="67"/>
        <v>0</v>
      </c>
      <c r="GP40" s="10">
        <f t="shared" si="68"/>
        <v>0</v>
      </c>
      <c r="GQ40" s="10">
        <f t="shared" si="69"/>
        <v>0</v>
      </c>
      <c r="GR40" s="10">
        <f t="shared" si="70"/>
        <v>188.24404761904762</v>
      </c>
      <c r="GS40" s="10">
        <f t="shared" si="71"/>
        <v>0</v>
      </c>
      <c r="GT40" s="10">
        <f t="shared" si="72"/>
        <v>0</v>
      </c>
      <c r="GU40" s="10">
        <f t="shared" si="73"/>
        <v>0</v>
      </c>
      <c r="GV40" s="10">
        <f t="shared" si="74"/>
        <v>0</v>
      </c>
      <c r="GW40" s="10">
        <f t="shared" si="75"/>
        <v>0</v>
      </c>
      <c r="GX40" s="10">
        <f t="shared" si="76"/>
        <v>0</v>
      </c>
      <c r="GY40" s="10">
        <f t="shared" si="77"/>
        <v>0</v>
      </c>
      <c r="GZ40" s="10">
        <f t="shared" si="78"/>
        <v>1112.3511904761906</v>
      </c>
      <c r="HA40" s="10">
        <f t="shared" si="79"/>
        <v>0</v>
      </c>
      <c r="HB40" s="10">
        <f t="shared" si="80"/>
        <v>0</v>
      </c>
      <c r="HC40" s="10">
        <f t="shared" si="81"/>
        <v>0</v>
      </c>
      <c r="HD40" s="10">
        <f t="shared" si="82"/>
        <v>17.113095238095237</v>
      </c>
      <c r="HE40" s="10">
        <f t="shared" si="83"/>
        <v>0</v>
      </c>
      <c r="HF40" s="10">
        <f t="shared" si="84"/>
        <v>0</v>
      </c>
      <c r="HG40" s="10">
        <f t="shared" si="85"/>
        <v>0</v>
      </c>
      <c r="HH40" s="10">
        <f t="shared" si="86"/>
        <v>0</v>
      </c>
      <c r="HI40" s="10">
        <f t="shared" si="87"/>
        <v>0</v>
      </c>
      <c r="HJ40" s="10">
        <f t="shared" si="88"/>
        <v>0</v>
      </c>
      <c r="HK40" s="10">
        <f t="shared" si="89"/>
        <v>17.113095238095237</v>
      </c>
      <c r="HL40" s="10">
        <f t="shared" si="90"/>
        <v>0</v>
      </c>
      <c r="HM40" s="10">
        <f t="shared" si="91"/>
        <v>0</v>
      </c>
      <c r="HN40" s="10">
        <f t="shared" si="92"/>
        <v>0</v>
      </c>
      <c r="HO40" s="10">
        <f t="shared" si="93"/>
        <v>0</v>
      </c>
      <c r="HP40" s="10">
        <f t="shared" si="94"/>
        <v>0</v>
      </c>
      <c r="HQ40" s="10">
        <f t="shared" si="95"/>
        <v>0</v>
      </c>
      <c r="HR40" s="10">
        <f t="shared" si="96"/>
        <v>0</v>
      </c>
      <c r="HS40" s="10">
        <f t="shared" si="97"/>
        <v>0</v>
      </c>
      <c r="HT40" s="10">
        <f t="shared" si="98"/>
        <v>0</v>
      </c>
      <c r="HU40" s="10">
        <f t="shared" si="99"/>
        <v>0</v>
      </c>
      <c r="HV40" s="10">
        <f t="shared" si="100"/>
        <v>17.113095238095237</v>
      </c>
      <c r="HW40" s="10">
        <f t="shared" si="101"/>
        <v>0</v>
      </c>
      <c r="HX40" s="10">
        <f t="shared" si="102"/>
        <v>0</v>
      </c>
      <c r="HY40" s="10">
        <f t="shared" si="103"/>
        <v>0</v>
      </c>
      <c r="HZ40" s="10">
        <f t="shared" si="104"/>
        <v>0</v>
      </c>
      <c r="IA40" s="10">
        <f t="shared" si="105"/>
        <v>0</v>
      </c>
      <c r="IB40" s="10">
        <f t="shared" si="106"/>
        <v>0</v>
      </c>
      <c r="IC40" s="10">
        <f t="shared" si="107"/>
        <v>0</v>
      </c>
      <c r="ID40" s="10">
        <f t="shared" si="108"/>
        <v>0</v>
      </c>
      <c r="IE40" s="10">
        <f t="shared" si="109"/>
        <v>17.113095238095237</v>
      </c>
      <c r="IF40" s="10">
        <f t="shared" si="110"/>
        <v>0</v>
      </c>
      <c r="IG40" s="10">
        <f t="shared" si="111"/>
        <v>0</v>
      </c>
      <c r="IH40" s="10">
        <f t="shared" si="112"/>
        <v>0</v>
      </c>
      <c r="II40" s="10">
        <f t="shared" si="113"/>
        <v>0</v>
      </c>
      <c r="IJ40" s="10">
        <f t="shared" si="114"/>
        <v>0</v>
      </c>
      <c r="IK40" s="10">
        <f t="shared" si="115"/>
        <v>0</v>
      </c>
      <c r="IL40" s="10">
        <f t="shared" si="116"/>
        <v>0</v>
      </c>
      <c r="IM40" s="10">
        <f t="shared" si="117"/>
        <v>0</v>
      </c>
      <c r="IN40" s="10">
        <f t="shared" si="118"/>
        <v>0</v>
      </c>
      <c r="IO40" s="10">
        <f t="shared" si="119"/>
        <v>0</v>
      </c>
      <c r="IP40" s="10">
        <f t="shared" si="120"/>
        <v>0</v>
      </c>
      <c r="IQ40" s="10">
        <f t="shared" si="121"/>
        <v>0</v>
      </c>
      <c r="IR40" s="10">
        <f t="shared" si="122"/>
        <v>0</v>
      </c>
      <c r="IS40" s="10">
        <f t="shared" si="123"/>
        <v>0</v>
      </c>
      <c r="IT40" s="10">
        <f t="shared" si="124"/>
        <v>0</v>
      </c>
      <c r="IU40" s="10">
        <f t="shared" si="125"/>
        <v>0</v>
      </c>
      <c r="IV40" s="10">
        <f t="shared" si="126"/>
        <v>0</v>
      </c>
      <c r="IW40" s="10">
        <f t="shared" si="127"/>
        <v>0</v>
      </c>
      <c r="IX40" s="10">
        <f t="shared" si="128"/>
        <v>0</v>
      </c>
      <c r="IY40" s="10">
        <f t="shared" si="129"/>
        <v>0</v>
      </c>
      <c r="IZ40" s="10">
        <f t="shared" si="130"/>
        <v>34.226190476190474</v>
      </c>
      <c r="JA40" s="10">
        <f t="shared" si="131"/>
        <v>0</v>
      </c>
      <c r="JB40" s="10">
        <f t="shared" si="132"/>
        <v>0</v>
      </c>
      <c r="JC40" s="10">
        <f t="shared" si="133"/>
        <v>0</v>
      </c>
      <c r="JD40" s="10">
        <f t="shared" si="134"/>
        <v>0</v>
      </c>
      <c r="JE40" s="10">
        <f t="shared" si="135"/>
        <v>0</v>
      </c>
      <c r="JF40" s="10">
        <f t="shared" si="136"/>
        <v>0</v>
      </c>
      <c r="JG40" s="10">
        <v>0</v>
      </c>
      <c r="JH40" s="10">
        <f t="shared" si="137"/>
        <v>0</v>
      </c>
      <c r="JI40" s="10">
        <f t="shared" si="138"/>
        <v>0</v>
      </c>
      <c r="JJ40" s="10">
        <f t="shared" si="139"/>
        <v>0</v>
      </c>
      <c r="JK40" s="10">
        <f t="shared" si="140"/>
        <v>0</v>
      </c>
      <c r="JL40" s="10">
        <f t="shared" si="141"/>
        <v>0</v>
      </c>
      <c r="JM40" s="10">
        <f t="shared" si="142"/>
        <v>0</v>
      </c>
      <c r="JN40" s="10">
        <f t="shared" si="143"/>
        <v>0</v>
      </c>
      <c r="JO40" s="10">
        <f t="shared" si="144"/>
        <v>0</v>
      </c>
      <c r="JP40" s="10">
        <f t="shared" si="145"/>
        <v>0</v>
      </c>
      <c r="JQ40" s="10">
        <f t="shared" si="146"/>
        <v>0</v>
      </c>
      <c r="JR40" s="10">
        <f t="shared" si="147"/>
        <v>0</v>
      </c>
      <c r="JS40" s="10">
        <f t="shared" si="148"/>
        <v>0</v>
      </c>
      <c r="JT40" s="10">
        <f t="shared" si="149"/>
        <v>0</v>
      </c>
      <c r="JU40" s="10">
        <f t="shared" si="150"/>
        <v>0</v>
      </c>
      <c r="JV40" s="10">
        <f t="shared" si="151"/>
        <v>0</v>
      </c>
      <c r="JW40" s="10">
        <f t="shared" si="152"/>
        <v>0</v>
      </c>
      <c r="JX40" s="10">
        <f t="shared" si="153"/>
        <v>0</v>
      </c>
      <c r="JY40" s="10">
        <f t="shared" si="154"/>
        <v>0</v>
      </c>
      <c r="JZ40" s="10">
        <f t="shared" si="155"/>
        <v>0</v>
      </c>
      <c r="KA40" s="10">
        <f t="shared" si="156"/>
        <v>0</v>
      </c>
      <c r="KB40" s="10">
        <f t="shared" si="157"/>
        <v>34.226190476190474</v>
      </c>
      <c r="KC40" s="10">
        <f t="shared" si="158"/>
        <v>205.35714285714286</v>
      </c>
      <c r="KD40" s="10">
        <f t="shared" si="159"/>
        <v>17.113095238095237</v>
      </c>
      <c r="KE40" s="10">
        <f t="shared" si="160"/>
        <v>0</v>
      </c>
      <c r="KF40" s="10">
        <f t="shared" si="161"/>
        <v>102.67857142857143</v>
      </c>
      <c r="KG40" s="10">
        <f t="shared" si="162"/>
        <v>0</v>
      </c>
      <c r="KH40" s="10">
        <f t="shared" si="163"/>
        <v>0</v>
      </c>
      <c r="KI40" s="10">
        <f t="shared" si="164"/>
        <v>0</v>
      </c>
      <c r="KJ40" s="10">
        <f t="shared" si="165"/>
        <v>0</v>
      </c>
      <c r="KK40" s="10">
        <f t="shared" si="166"/>
        <v>0</v>
      </c>
      <c r="KL40" s="10">
        <f t="shared" si="167"/>
        <v>34.226190476190474</v>
      </c>
      <c r="KM40" s="10">
        <f t="shared" si="168"/>
        <v>0</v>
      </c>
      <c r="KN40" s="10">
        <f t="shared" si="169"/>
        <v>0</v>
      </c>
      <c r="KO40" s="10">
        <f t="shared" si="170"/>
        <v>0</v>
      </c>
      <c r="KP40" s="10">
        <f t="shared" si="171"/>
        <v>0</v>
      </c>
      <c r="KQ40" s="11">
        <v>1916.6666666666661</v>
      </c>
      <c r="KR40" s="16"/>
      <c r="KS40" s="12">
        <v>5427.3663809565151</v>
      </c>
      <c r="KT40" s="26"/>
      <c r="KU40" s="26"/>
      <c r="KV40" s="26"/>
      <c r="KW40" s="26">
        <v>-13.82</v>
      </c>
      <c r="KX40" s="26">
        <v>11.29</v>
      </c>
      <c r="KY40" s="27">
        <v>3.1482308621824306</v>
      </c>
      <c r="KZ40" s="27">
        <v>3.672499115668264</v>
      </c>
      <c r="LA40" s="17"/>
      <c r="LB40" s="2">
        <v>5340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1108</v>
      </c>
      <c r="LM40" s="1">
        <v>124</v>
      </c>
      <c r="LN40" s="1">
        <v>280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776</v>
      </c>
      <c r="LU40" s="1">
        <v>4</v>
      </c>
      <c r="LV40" s="1">
        <v>0</v>
      </c>
      <c r="LW40" s="1">
        <v>0</v>
      </c>
      <c r="LX40" s="1">
        <v>0</v>
      </c>
      <c r="LY40" s="1">
        <v>16</v>
      </c>
      <c r="LZ40" s="1">
        <v>4</v>
      </c>
      <c r="MA40" s="1">
        <v>0</v>
      </c>
      <c r="MB40" s="1">
        <v>0</v>
      </c>
      <c r="MC40" s="1">
        <v>0</v>
      </c>
      <c r="MD40" s="1">
        <v>3028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28"/>
      <c r="ML40" t="s">
        <v>856</v>
      </c>
      <c r="MM40" t="s">
        <v>352</v>
      </c>
      <c r="MN40" t="s">
        <v>320</v>
      </c>
      <c r="MO40" t="s">
        <v>337</v>
      </c>
      <c r="MP40" t="s">
        <v>338</v>
      </c>
      <c r="MQ40" t="s">
        <v>339</v>
      </c>
      <c r="MR40">
        <v>0.06</v>
      </c>
      <c r="MS40" t="s">
        <v>278</v>
      </c>
      <c r="MT40" t="s">
        <v>279</v>
      </c>
      <c r="MU40" t="s">
        <v>280</v>
      </c>
      <c r="MV40">
        <v>7250</v>
      </c>
      <c r="MW40" s="13">
        <v>441</v>
      </c>
      <c r="MX40" s="13" t="s">
        <v>281</v>
      </c>
      <c r="MY40" t="s">
        <v>240</v>
      </c>
      <c r="MZ40" t="s">
        <v>241</v>
      </c>
      <c r="NA40" t="s">
        <v>242</v>
      </c>
      <c r="NB40" t="s">
        <v>282</v>
      </c>
      <c r="ND40" s="18">
        <v>43281</v>
      </c>
      <c r="NE40" s="19">
        <v>0.1423611111111111</v>
      </c>
      <c r="NF40" t="s">
        <v>244</v>
      </c>
      <c r="NG40" t="s">
        <v>283</v>
      </c>
      <c r="NH40" t="s">
        <v>246</v>
      </c>
      <c r="NI40">
        <v>92</v>
      </c>
      <c r="NJ40" t="s">
        <v>244</v>
      </c>
      <c r="NK40">
        <v>2</v>
      </c>
      <c r="NL40" t="s">
        <v>248</v>
      </c>
      <c r="NM40">
        <v>29.648520000000001</v>
      </c>
      <c r="NN40">
        <v>-84.891220000000004</v>
      </c>
      <c r="NO40" t="s">
        <v>248</v>
      </c>
      <c r="NP40" t="s">
        <v>284</v>
      </c>
      <c r="NQ40" t="s">
        <v>244</v>
      </c>
      <c r="NR40" t="s">
        <v>247</v>
      </c>
      <c r="NS40">
        <v>982000410609779</v>
      </c>
      <c r="NT40" t="s">
        <v>244</v>
      </c>
      <c r="NU40" t="s">
        <v>244</v>
      </c>
      <c r="NV40" t="s">
        <v>248</v>
      </c>
      <c r="NW40" t="s">
        <v>279</v>
      </c>
      <c r="NX40" t="s">
        <v>280</v>
      </c>
      <c r="NY40">
        <v>86.65</v>
      </c>
      <c r="NZ40">
        <v>85</v>
      </c>
      <c r="OA40">
        <v>79.75</v>
      </c>
      <c r="OB40" s="14">
        <v>5427.3663809565151</v>
      </c>
      <c r="OC40" t="s">
        <v>248</v>
      </c>
      <c r="OD40" t="s">
        <v>247</v>
      </c>
      <c r="OE40" t="s">
        <v>248</v>
      </c>
      <c r="OF40" t="s">
        <v>285</v>
      </c>
      <c r="OG40" t="s">
        <v>247</v>
      </c>
      <c r="ON40">
        <v>-13.82</v>
      </c>
      <c r="OO40">
        <v>11.29</v>
      </c>
      <c r="OP40" s="25">
        <v>3.1482308621824306</v>
      </c>
      <c r="OQ40" s="25">
        <v>3.672499115668264</v>
      </c>
      <c r="OR40" t="s">
        <v>911</v>
      </c>
      <c r="OS40" t="s">
        <v>911</v>
      </c>
    </row>
    <row r="41" spans="1:409" x14ac:dyDescent="0.25">
      <c r="A41">
        <v>40</v>
      </c>
      <c r="B41" s="1">
        <v>126</v>
      </c>
      <c r="C41" s="1">
        <v>117</v>
      </c>
      <c r="D41" s="1">
        <v>0</v>
      </c>
      <c r="E41" s="1">
        <v>0</v>
      </c>
      <c r="F41" s="1">
        <v>207</v>
      </c>
      <c r="G41" s="1">
        <v>0</v>
      </c>
      <c r="H41" s="1">
        <v>0</v>
      </c>
      <c r="I41" s="1">
        <v>13</v>
      </c>
      <c r="J41" s="1">
        <v>513</v>
      </c>
      <c r="K41" s="1">
        <v>4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7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2">
        <v>987</v>
      </c>
      <c r="Y41" s="3"/>
      <c r="Z41" s="15">
        <f t="shared" si="172"/>
        <v>8.804866119109926</v>
      </c>
      <c r="AA41" s="15">
        <f t="shared" si="173"/>
        <v>8.175947110602074</v>
      </c>
      <c r="AB41" s="15">
        <f t="shared" si="174"/>
        <v>0</v>
      </c>
      <c r="AC41" s="15">
        <f t="shared" si="175"/>
        <v>0</v>
      </c>
      <c r="AD41" s="15">
        <f t="shared" si="176"/>
        <v>14.465137195680594</v>
      </c>
      <c r="AE41" s="15">
        <f t="shared" si="177"/>
        <v>0</v>
      </c>
      <c r="AF41" s="15">
        <f t="shared" si="178"/>
        <v>0</v>
      </c>
      <c r="AG41" s="15">
        <f t="shared" si="179"/>
        <v>0.90843856784467492</v>
      </c>
      <c r="AH41" s="15">
        <f t="shared" si="180"/>
        <v>35.848383484947554</v>
      </c>
      <c r="AI41" s="15">
        <f t="shared" si="181"/>
        <v>0.27951955933682304</v>
      </c>
      <c r="AJ41" s="15">
        <f t="shared" si="182"/>
        <v>0</v>
      </c>
      <c r="AK41" s="15">
        <f t="shared" si="183"/>
        <v>0</v>
      </c>
      <c r="AL41" s="15">
        <f t="shared" si="184"/>
        <v>0</v>
      </c>
      <c r="AM41" s="15">
        <f t="shared" si="185"/>
        <v>0</v>
      </c>
      <c r="AN41" s="15">
        <f t="shared" si="186"/>
        <v>0</v>
      </c>
      <c r="AO41" s="15">
        <f t="shared" si="187"/>
        <v>0.4891592288394403</v>
      </c>
      <c r="AP41" s="15">
        <f t="shared" si="188"/>
        <v>0</v>
      </c>
      <c r="AQ41" s="15">
        <f t="shared" si="189"/>
        <v>0</v>
      </c>
      <c r="AR41" s="15">
        <f t="shared" si="190"/>
        <v>0</v>
      </c>
      <c r="AS41" s="15">
        <f t="shared" si="191"/>
        <v>0</v>
      </c>
      <c r="AT41" s="15">
        <f t="shared" si="192"/>
        <v>0</v>
      </c>
      <c r="AU41" s="15">
        <f t="shared" si="193"/>
        <v>0</v>
      </c>
      <c r="AV41" s="5">
        <f t="shared" si="194"/>
        <v>68.971451266361086</v>
      </c>
      <c r="AW41" s="16"/>
      <c r="AX41" s="6">
        <v>6300</v>
      </c>
      <c r="AY41" s="6">
        <v>5850</v>
      </c>
      <c r="AZ41" s="6">
        <v>0</v>
      </c>
      <c r="BA41" s="6">
        <v>0</v>
      </c>
      <c r="BB41" s="6">
        <v>10350</v>
      </c>
      <c r="BC41" s="6">
        <v>0</v>
      </c>
      <c r="BD41" s="6">
        <v>0</v>
      </c>
      <c r="BE41" s="6">
        <v>650</v>
      </c>
      <c r="BF41" s="6">
        <v>25650</v>
      </c>
      <c r="BG41" s="6">
        <v>200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350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7">
        <v>49350</v>
      </c>
      <c r="BU41" s="16"/>
      <c r="BV41" s="8">
        <v>0</v>
      </c>
      <c r="BW41" s="8">
        <v>1.0000000000000002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119.00000000000001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1.0000000000000002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1.0000000000000002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2.0000000000000004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1.0000000000000002</v>
      </c>
      <c r="EC41" s="8">
        <v>0</v>
      </c>
      <c r="ED41" s="8">
        <v>0</v>
      </c>
      <c r="EE41" s="8">
        <v>1.0000000000000002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4.0000000000000009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9">
        <v>130.00000000000003</v>
      </c>
      <c r="GG41" s="3"/>
      <c r="GH41" s="10">
        <f t="shared" si="60"/>
        <v>0</v>
      </c>
      <c r="GI41" s="10">
        <f t="shared" si="61"/>
        <v>48.461538461538467</v>
      </c>
      <c r="GJ41" s="10">
        <f t="shared" si="62"/>
        <v>0</v>
      </c>
      <c r="GK41" s="10">
        <f t="shared" si="63"/>
        <v>0</v>
      </c>
      <c r="GL41" s="10">
        <f t="shared" si="64"/>
        <v>0</v>
      </c>
      <c r="GM41" s="10">
        <f t="shared" si="65"/>
        <v>0</v>
      </c>
      <c r="GN41" s="10">
        <f t="shared" si="66"/>
        <v>0</v>
      </c>
      <c r="GO41" s="10">
        <f t="shared" si="67"/>
        <v>0</v>
      </c>
      <c r="GP41" s="10">
        <f t="shared" si="68"/>
        <v>0</v>
      </c>
      <c r="GQ41" s="10">
        <f t="shared" si="69"/>
        <v>0</v>
      </c>
      <c r="GR41" s="10">
        <f t="shared" si="70"/>
        <v>0</v>
      </c>
      <c r="GS41" s="10">
        <f t="shared" si="71"/>
        <v>0</v>
      </c>
      <c r="GT41" s="10">
        <f t="shared" si="72"/>
        <v>0</v>
      </c>
      <c r="GU41" s="10">
        <f t="shared" si="73"/>
        <v>0</v>
      </c>
      <c r="GV41" s="10">
        <f t="shared" si="74"/>
        <v>0</v>
      </c>
      <c r="GW41" s="10">
        <f t="shared" si="75"/>
        <v>0</v>
      </c>
      <c r="GX41" s="10">
        <f t="shared" si="76"/>
        <v>0</v>
      </c>
      <c r="GY41" s="10">
        <f t="shared" si="77"/>
        <v>0</v>
      </c>
      <c r="GZ41" s="10">
        <f t="shared" si="78"/>
        <v>5766.9230769230762</v>
      </c>
      <c r="HA41" s="10">
        <f t="shared" si="79"/>
        <v>0</v>
      </c>
      <c r="HB41" s="10">
        <f t="shared" si="80"/>
        <v>0</v>
      </c>
      <c r="HC41" s="10">
        <f t="shared" si="81"/>
        <v>0</v>
      </c>
      <c r="HD41" s="10">
        <f t="shared" si="82"/>
        <v>0</v>
      </c>
      <c r="HE41" s="10">
        <f t="shared" si="83"/>
        <v>0</v>
      </c>
      <c r="HF41" s="10">
        <f t="shared" si="84"/>
        <v>0</v>
      </c>
      <c r="HG41" s="10">
        <f t="shared" si="85"/>
        <v>0</v>
      </c>
      <c r="HH41" s="10">
        <f t="shared" si="86"/>
        <v>0</v>
      </c>
      <c r="HI41" s="10">
        <f t="shared" si="87"/>
        <v>0</v>
      </c>
      <c r="HJ41" s="10">
        <f t="shared" si="88"/>
        <v>48.461538461538467</v>
      </c>
      <c r="HK41" s="10">
        <f t="shared" si="89"/>
        <v>0</v>
      </c>
      <c r="HL41" s="10">
        <f t="shared" si="90"/>
        <v>0</v>
      </c>
      <c r="HM41" s="10">
        <f t="shared" si="91"/>
        <v>0</v>
      </c>
      <c r="HN41" s="10">
        <f t="shared" si="92"/>
        <v>0</v>
      </c>
      <c r="HO41" s="10">
        <f t="shared" si="93"/>
        <v>0</v>
      </c>
      <c r="HP41" s="10">
        <f t="shared" si="94"/>
        <v>0</v>
      </c>
      <c r="HQ41" s="10">
        <f t="shared" si="95"/>
        <v>0</v>
      </c>
      <c r="HR41" s="10">
        <f t="shared" si="96"/>
        <v>0</v>
      </c>
      <c r="HS41" s="10">
        <f t="shared" si="97"/>
        <v>0</v>
      </c>
      <c r="HT41" s="10">
        <f t="shared" si="98"/>
        <v>0</v>
      </c>
      <c r="HU41" s="10">
        <f t="shared" si="99"/>
        <v>48.461538461538467</v>
      </c>
      <c r="HV41" s="10">
        <f t="shared" si="100"/>
        <v>0</v>
      </c>
      <c r="HW41" s="10">
        <f t="shared" si="101"/>
        <v>0</v>
      </c>
      <c r="HX41" s="10">
        <f t="shared" si="102"/>
        <v>0</v>
      </c>
      <c r="HY41" s="10">
        <f t="shared" si="103"/>
        <v>0</v>
      </c>
      <c r="HZ41" s="10">
        <f t="shared" si="104"/>
        <v>0</v>
      </c>
      <c r="IA41" s="10">
        <f t="shared" si="105"/>
        <v>0</v>
      </c>
      <c r="IB41" s="10">
        <f t="shared" si="106"/>
        <v>0</v>
      </c>
      <c r="IC41" s="10">
        <f t="shared" si="107"/>
        <v>0</v>
      </c>
      <c r="ID41" s="10">
        <f t="shared" si="108"/>
        <v>0</v>
      </c>
      <c r="IE41" s="10">
        <f t="shared" si="109"/>
        <v>96.923076923076934</v>
      </c>
      <c r="IF41" s="10">
        <f t="shared" si="110"/>
        <v>0</v>
      </c>
      <c r="IG41" s="10">
        <f t="shared" si="111"/>
        <v>0</v>
      </c>
      <c r="IH41" s="10">
        <f t="shared" si="112"/>
        <v>0</v>
      </c>
      <c r="II41" s="10">
        <f t="shared" si="113"/>
        <v>0</v>
      </c>
      <c r="IJ41" s="10">
        <f t="shared" si="114"/>
        <v>0</v>
      </c>
      <c r="IK41" s="10">
        <f t="shared" si="115"/>
        <v>0</v>
      </c>
      <c r="IL41" s="10">
        <f t="shared" si="116"/>
        <v>0</v>
      </c>
      <c r="IM41" s="10">
        <f t="shared" si="117"/>
        <v>0</v>
      </c>
      <c r="IN41" s="10">
        <f t="shared" si="118"/>
        <v>48.461538461538467</v>
      </c>
      <c r="IO41" s="10">
        <f t="shared" si="119"/>
        <v>0</v>
      </c>
      <c r="IP41" s="10">
        <f t="shared" si="120"/>
        <v>0</v>
      </c>
      <c r="IQ41" s="10">
        <f t="shared" si="121"/>
        <v>48.461538461538467</v>
      </c>
      <c r="IR41" s="10">
        <f t="shared" si="122"/>
        <v>0</v>
      </c>
      <c r="IS41" s="10">
        <f t="shared" si="123"/>
        <v>0</v>
      </c>
      <c r="IT41" s="10">
        <f t="shared" si="124"/>
        <v>0</v>
      </c>
      <c r="IU41" s="10">
        <f t="shared" si="125"/>
        <v>0</v>
      </c>
      <c r="IV41" s="10">
        <f t="shared" si="126"/>
        <v>0</v>
      </c>
      <c r="IW41" s="10">
        <f t="shared" si="127"/>
        <v>0</v>
      </c>
      <c r="IX41" s="10">
        <f t="shared" si="128"/>
        <v>0</v>
      </c>
      <c r="IY41" s="10">
        <f t="shared" si="129"/>
        <v>0</v>
      </c>
      <c r="IZ41" s="10">
        <f t="shared" si="130"/>
        <v>0</v>
      </c>
      <c r="JA41" s="10">
        <f t="shared" si="131"/>
        <v>0</v>
      </c>
      <c r="JB41" s="10">
        <f t="shared" si="132"/>
        <v>0</v>
      </c>
      <c r="JC41" s="10">
        <f t="shared" si="133"/>
        <v>0</v>
      </c>
      <c r="JD41" s="10">
        <f t="shared" si="134"/>
        <v>0</v>
      </c>
      <c r="JE41" s="10">
        <f t="shared" si="135"/>
        <v>0</v>
      </c>
      <c r="JF41" s="10">
        <f t="shared" si="136"/>
        <v>0</v>
      </c>
      <c r="JG41" s="10">
        <v>0</v>
      </c>
      <c r="JH41" s="10">
        <f t="shared" si="137"/>
        <v>0</v>
      </c>
      <c r="JI41" s="10">
        <f t="shared" si="138"/>
        <v>0</v>
      </c>
      <c r="JJ41" s="10">
        <f t="shared" si="139"/>
        <v>0</v>
      </c>
      <c r="JK41" s="10">
        <f t="shared" si="140"/>
        <v>0</v>
      </c>
      <c r="JL41" s="10">
        <f t="shared" si="141"/>
        <v>0</v>
      </c>
      <c r="JM41" s="10">
        <f t="shared" si="142"/>
        <v>0</v>
      </c>
      <c r="JN41" s="10">
        <f t="shared" si="143"/>
        <v>0</v>
      </c>
      <c r="JO41" s="10">
        <f t="shared" si="144"/>
        <v>0</v>
      </c>
      <c r="JP41" s="10">
        <f t="shared" si="145"/>
        <v>0</v>
      </c>
      <c r="JQ41" s="10">
        <f t="shared" si="146"/>
        <v>0</v>
      </c>
      <c r="JR41" s="10">
        <f t="shared" si="147"/>
        <v>0</v>
      </c>
      <c r="JS41" s="10">
        <f t="shared" si="148"/>
        <v>0</v>
      </c>
      <c r="JT41" s="10">
        <f t="shared" si="149"/>
        <v>0</v>
      </c>
      <c r="JU41" s="10">
        <f t="shared" si="150"/>
        <v>0</v>
      </c>
      <c r="JV41" s="10">
        <f t="shared" si="151"/>
        <v>0</v>
      </c>
      <c r="JW41" s="10">
        <f t="shared" si="152"/>
        <v>0</v>
      </c>
      <c r="JX41" s="10">
        <f t="shared" si="153"/>
        <v>0</v>
      </c>
      <c r="JY41" s="10">
        <f t="shared" si="154"/>
        <v>0</v>
      </c>
      <c r="JZ41" s="10">
        <f t="shared" si="155"/>
        <v>0</v>
      </c>
      <c r="KA41" s="10">
        <f t="shared" si="156"/>
        <v>0</v>
      </c>
      <c r="KB41" s="10">
        <f t="shared" si="157"/>
        <v>0</v>
      </c>
      <c r="KC41" s="10">
        <f t="shared" si="158"/>
        <v>0</v>
      </c>
      <c r="KD41" s="10">
        <f t="shared" si="159"/>
        <v>0</v>
      </c>
      <c r="KE41" s="10">
        <f t="shared" si="160"/>
        <v>0</v>
      </c>
      <c r="KF41" s="10">
        <f t="shared" si="161"/>
        <v>193.84615384615387</v>
      </c>
      <c r="KG41" s="10">
        <f t="shared" si="162"/>
        <v>0</v>
      </c>
      <c r="KH41" s="10">
        <f t="shared" si="163"/>
        <v>0</v>
      </c>
      <c r="KI41" s="10">
        <f t="shared" si="164"/>
        <v>0</v>
      </c>
      <c r="KJ41" s="10">
        <f t="shared" si="165"/>
        <v>0</v>
      </c>
      <c r="KK41" s="10">
        <f t="shared" si="166"/>
        <v>0</v>
      </c>
      <c r="KL41" s="10">
        <f t="shared" si="167"/>
        <v>0</v>
      </c>
      <c r="KM41" s="10">
        <f t="shared" si="168"/>
        <v>0</v>
      </c>
      <c r="KN41" s="10">
        <f t="shared" si="169"/>
        <v>0</v>
      </c>
      <c r="KO41" s="10">
        <f t="shared" si="170"/>
        <v>0</v>
      </c>
      <c r="KP41" s="10">
        <f t="shared" si="171"/>
        <v>0</v>
      </c>
      <c r="KQ41" s="11">
        <v>6299.9999999999982</v>
      </c>
      <c r="KR41" s="16"/>
      <c r="KS41" s="12">
        <v>7155.1343481834338</v>
      </c>
      <c r="KT41" s="26">
        <v>80</v>
      </c>
      <c r="KU41" s="26">
        <v>0.92500000000000004</v>
      </c>
      <c r="KV41" s="26">
        <v>0.86486486486486491</v>
      </c>
      <c r="KW41" s="26">
        <v>-16.829999999999998</v>
      </c>
      <c r="KX41" s="26">
        <v>11.39</v>
      </c>
      <c r="KY41" s="27">
        <v>2.999636421396906</v>
      </c>
      <c r="KZ41" s="27">
        <v>3.4991595556844839</v>
      </c>
      <c r="LA41" s="17"/>
      <c r="LB41" s="2">
        <v>4773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1583</v>
      </c>
      <c r="LM41" s="1">
        <v>28</v>
      </c>
      <c r="LN41" s="1">
        <v>16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265</v>
      </c>
      <c r="LU41" s="1">
        <v>0</v>
      </c>
      <c r="LV41" s="1">
        <v>4</v>
      </c>
      <c r="LW41" s="1">
        <v>0</v>
      </c>
      <c r="LX41" s="1">
        <v>0</v>
      </c>
      <c r="LY41" s="1">
        <v>1</v>
      </c>
      <c r="LZ41" s="1">
        <v>0</v>
      </c>
      <c r="MA41" s="1">
        <v>0</v>
      </c>
      <c r="MB41" s="1">
        <v>0</v>
      </c>
      <c r="MC41" s="1">
        <v>0</v>
      </c>
      <c r="MD41" s="1">
        <v>2876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0</v>
      </c>
      <c r="MK41" s="28"/>
      <c r="ML41" t="s">
        <v>857</v>
      </c>
      <c r="MM41" t="s">
        <v>353</v>
      </c>
      <c r="MN41" t="s">
        <v>320</v>
      </c>
      <c r="MO41" t="s">
        <v>354</v>
      </c>
      <c r="MP41" t="s">
        <v>355</v>
      </c>
      <c r="MQ41" t="s">
        <v>323</v>
      </c>
      <c r="MR41">
        <v>0.02</v>
      </c>
      <c r="MS41" t="s">
        <v>356</v>
      </c>
      <c r="MT41" t="s">
        <v>357</v>
      </c>
      <c r="MU41" t="s">
        <v>358</v>
      </c>
      <c r="MV41">
        <v>49350</v>
      </c>
      <c r="MW41" s="13">
        <v>346</v>
      </c>
      <c r="MX41" s="13" t="s">
        <v>359</v>
      </c>
      <c r="MY41" t="s">
        <v>240</v>
      </c>
      <c r="MZ41" t="s">
        <v>241</v>
      </c>
      <c r="NA41" t="s">
        <v>242</v>
      </c>
      <c r="NB41" t="s">
        <v>306</v>
      </c>
      <c r="NC41" t="s">
        <v>360</v>
      </c>
      <c r="ND41" s="18">
        <v>43268</v>
      </c>
      <c r="NE41" s="19">
        <v>0.93472222222222223</v>
      </c>
      <c r="NF41" t="s">
        <v>361</v>
      </c>
      <c r="NG41" t="s">
        <v>245</v>
      </c>
      <c r="NH41" t="s">
        <v>246</v>
      </c>
      <c r="NI41">
        <v>113</v>
      </c>
      <c r="NJ41" t="s">
        <v>244</v>
      </c>
      <c r="NK41">
        <v>4</v>
      </c>
      <c r="NL41" t="s">
        <v>247</v>
      </c>
      <c r="NM41">
        <v>29.638839999999998</v>
      </c>
      <c r="NN41">
        <v>-84.909099999999995</v>
      </c>
      <c r="NO41" t="s">
        <v>248</v>
      </c>
      <c r="NP41" t="s">
        <v>307</v>
      </c>
      <c r="NQ41">
        <v>12</v>
      </c>
      <c r="NR41" t="s">
        <v>247</v>
      </c>
      <c r="NS41" t="s">
        <v>362</v>
      </c>
      <c r="NT41" t="s">
        <v>248</v>
      </c>
      <c r="NU41" t="s">
        <v>248</v>
      </c>
      <c r="NV41" t="s">
        <v>248</v>
      </c>
      <c r="NW41" t="s">
        <v>357</v>
      </c>
      <c r="NX41" t="s">
        <v>358</v>
      </c>
      <c r="NY41">
        <v>101</v>
      </c>
      <c r="NZ41">
        <v>99.5</v>
      </c>
      <c r="OA41">
        <v>90.2</v>
      </c>
      <c r="OB41" s="14">
        <v>7155.1343481834338</v>
      </c>
      <c r="OC41" t="s">
        <v>248</v>
      </c>
      <c r="OD41" t="s">
        <v>331</v>
      </c>
      <c r="OE41" t="s">
        <v>248</v>
      </c>
      <c r="OF41" t="s">
        <v>363</v>
      </c>
      <c r="OG41" t="s">
        <v>247</v>
      </c>
      <c r="OH41">
        <v>27</v>
      </c>
      <c r="OI41" t="s">
        <v>357</v>
      </c>
      <c r="OJ41" t="s">
        <v>360</v>
      </c>
      <c r="OK41">
        <v>80</v>
      </c>
      <c r="OL41">
        <v>0.92500000000000004</v>
      </c>
      <c r="OM41">
        <v>0.86486486486486491</v>
      </c>
      <c r="ON41">
        <v>-16.829999999999998</v>
      </c>
      <c r="OO41">
        <v>11.39</v>
      </c>
      <c r="OP41" s="25">
        <v>2.999636421396906</v>
      </c>
      <c r="OQ41" s="25">
        <v>3.4991595556844839</v>
      </c>
      <c r="OR41" t="s">
        <v>911</v>
      </c>
      <c r="OS41" t="s">
        <v>911</v>
      </c>
    </row>
    <row r="42" spans="1:409" x14ac:dyDescent="0.25">
      <c r="A42">
        <v>41</v>
      </c>
      <c r="B42" s="1">
        <v>66</v>
      </c>
      <c r="C42" s="1">
        <v>21</v>
      </c>
      <c r="D42" s="1">
        <v>2</v>
      </c>
      <c r="E42" s="1">
        <v>3</v>
      </c>
      <c r="F42" s="1">
        <v>256</v>
      </c>
      <c r="G42" s="1">
        <v>4</v>
      </c>
      <c r="H42" s="1">
        <v>0</v>
      </c>
      <c r="I42" s="1">
        <v>0</v>
      </c>
      <c r="J42" s="1">
        <v>23</v>
      </c>
      <c r="K42" s="1">
        <v>0</v>
      </c>
      <c r="L42" s="1">
        <v>3</v>
      </c>
      <c r="M42" s="1">
        <v>0</v>
      </c>
      <c r="N42" s="1">
        <v>27</v>
      </c>
      <c r="O42" s="1">
        <v>0</v>
      </c>
      <c r="P42" s="1">
        <v>0</v>
      </c>
      <c r="Q42" s="1">
        <v>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2">
        <v>413</v>
      </c>
      <c r="Y42" s="3"/>
      <c r="Z42" s="15">
        <f t="shared" si="172"/>
        <v>1.6408148982385669</v>
      </c>
      <c r="AA42" s="15">
        <f t="shared" si="173"/>
        <v>0.52207746762136209</v>
      </c>
      <c r="AB42" s="15">
        <f t="shared" si="174"/>
        <v>4.9721663582986866E-2</v>
      </c>
      <c r="AC42" s="15">
        <f t="shared" si="175"/>
        <v>7.4582495374480293E-2</v>
      </c>
      <c r="AD42" s="15">
        <f t="shared" si="176"/>
        <v>6.3643729386223189</v>
      </c>
      <c r="AE42" s="15">
        <f t="shared" si="177"/>
        <v>9.9443327165973733E-2</v>
      </c>
      <c r="AF42" s="15">
        <f t="shared" si="178"/>
        <v>0</v>
      </c>
      <c r="AG42" s="15">
        <f t="shared" si="179"/>
        <v>0</v>
      </c>
      <c r="AH42" s="15">
        <f t="shared" si="180"/>
        <v>0.571799131204349</v>
      </c>
      <c r="AI42" s="15">
        <f t="shared" si="181"/>
        <v>0</v>
      </c>
      <c r="AJ42" s="15">
        <f t="shared" si="182"/>
        <v>7.4582495374480293E-2</v>
      </c>
      <c r="AK42" s="15">
        <f t="shared" si="183"/>
        <v>0</v>
      </c>
      <c r="AL42" s="15">
        <f t="shared" si="184"/>
        <v>0.6712424583703227</v>
      </c>
      <c r="AM42" s="15">
        <f t="shared" si="185"/>
        <v>0</v>
      </c>
      <c r="AN42" s="15">
        <f t="shared" si="186"/>
        <v>0</v>
      </c>
      <c r="AO42" s="15">
        <f t="shared" si="187"/>
        <v>0.19888665433194747</v>
      </c>
      <c r="AP42" s="15">
        <f t="shared" si="188"/>
        <v>0</v>
      </c>
      <c r="AQ42" s="15">
        <f t="shared" si="189"/>
        <v>0</v>
      </c>
      <c r="AR42" s="15">
        <f t="shared" si="190"/>
        <v>0</v>
      </c>
      <c r="AS42" s="15">
        <f t="shared" si="191"/>
        <v>0</v>
      </c>
      <c r="AT42" s="15">
        <f t="shared" si="192"/>
        <v>0</v>
      </c>
      <c r="AU42" s="15">
        <f t="shared" si="193"/>
        <v>0</v>
      </c>
      <c r="AV42" s="5">
        <f t="shared" si="194"/>
        <v>10.267523529886788</v>
      </c>
      <c r="AW42" s="16"/>
      <c r="AX42" s="6">
        <v>1100</v>
      </c>
      <c r="AY42" s="6">
        <v>350</v>
      </c>
      <c r="AZ42" s="6">
        <v>33.333333333333336</v>
      </c>
      <c r="BA42" s="6">
        <v>50</v>
      </c>
      <c r="BB42" s="6">
        <v>4266.666666666667</v>
      </c>
      <c r="BC42" s="6">
        <v>66.666666666666671</v>
      </c>
      <c r="BD42" s="6">
        <v>0</v>
      </c>
      <c r="BE42" s="6">
        <v>0</v>
      </c>
      <c r="BF42" s="6">
        <v>383.33333333333337</v>
      </c>
      <c r="BG42" s="6">
        <v>0</v>
      </c>
      <c r="BH42" s="6">
        <v>50</v>
      </c>
      <c r="BI42" s="6">
        <v>0</v>
      </c>
      <c r="BJ42" s="6">
        <v>450</v>
      </c>
      <c r="BK42" s="6">
        <v>0</v>
      </c>
      <c r="BL42" s="6">
        <v>0</v>
      </c>
      <c r="BM42" s="6">
        <v>133.33333333333334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7">
        <v>6883.333333333333</v>
      </c>
      <c r="BU42" s="16"/>
      <c r="BV42" s="8">
        <v>0</v>
      </c>
      <c r="BW42" s="8">
        <v>19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1</v>
      </c>
      <c r="CM42" s="8">
        <v>0</v>
      </c>
      <c r="CN42" s="8">
        <v>6</v>
      </c>
      <c r="CO42" s="8">
        <v>20</v>
      </c>
      <c r="CP42" s="8">
        <v>0</v>
      </c>
      <c r="CQ42" s="8">
        <v>0</v>
      </c>
      <c r="CR42" s="8">
        <v>2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1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1</v>
      </c>
      <c r="FS42" s="8">
        <v>0</v>
      </c>
      <c r="FT42" s="8">
        <v>0</v>
      </c>
      <c r="FU42" s="8">
        <v>26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3</v>
      </c>
      <c r="GD42" s="8">
        <v>0</v>
      </c>
      <c r="GE42" s="8">
        <v>0</v>
      </c>
      <c r="GF42" s="9">
        <v>79</v>
      </c>
      <c r="GG42" s="3"/>
      <c r="GH42" s="10">
        <f t="shared" si="60"/>
        <v>0</v>
      </c>
      <c r="GI42" s="10">
        <f t="shared" si="61"/>
        <v>264.55696202531647</v>
      </c>
      <c r="GJ42" s="10">
        <f t="shared" si="62"/>
        <v>0</v>
      </c>
      <c r="GK42" s="10">
        <f t="shared" si="63"/>
        <v>0</v>
      </c>
      <c r="GL42" s="10">
        <f t="shared" si="64"/>
        <v>0</v>
      </c>
      <c r="GM42" s="10">
        <f t="shared" si="65"/>
        <v>0</v>
      </c>
      <c r="GN42" s="10">
        <f t="shared" si="66"/>
        <v>0</v>
      </c>
      <c r="GO42" s="10">
        <f t="shared" si="67"/>
        <v>0</v>
      </c>
      <c r="GP42" s="10">
        <f t="shared" si="68"/>
        <v>0</v>
      </c>
      <c r="GQ42" s="10">
        <f t="shared" si="69"/>
        <v>0</v>
      </c>
      <c r="GR42" s="10">
        <f t="shared" si="70"/>
        <v>0</v>
      </c>
      <c r="GS42" s="10">
        <f t="shared" si="71"/>
        <v>0</v>
      </c>
      <c r="GT42" s="10">
        <f t="shared" si="72"/>
        <v>0</v>
      </c>
      <c r="GU42" s="10">
        <f t="shared" si="73"/>
        <v>0</v>
      </c>
      <c r="GV42" s="10">
        <f t="shared" si="74"/>
        <v>0</v>
      </c>
      <c r="GW42" s="10">
        <f t="shared" si="75"/>
        <v>0</v>
      </c>
      <c r="GX42" s="10">
        <f t="shared" si="76"/>
        <v>13.924050632911392</v>
      </c>
      <c r="GY42" s="10">
        <f t="shared" si="77"/>
        <v>0</v>
      </c>
      <c r="GZ42" s="10">
        <f t="shared" si="78"/>
        <v>83.544303797468359</v>
      </c>
      <c r="HA42" s="10">
        <f t="shared" si="79"/>
        <v>278.48101265822788</v>
      </c>
      <c r="HB42" s="10">
        <f t="shared" si="80"/>
        <v>0</v>
      </c>
      <c r="HC42" s="10">
        <f t="shared" si="81"/>
        <v>0</v>
      </c>
      <c r="HD42" s="10">
        <f t="shared" si="82"/>
        <v>27.848101265822784</v>
      </c>
      <c r="HE42" s="10">
        <f t="shared" si="83"/>
        <v>0</v>
      </c>
      <c r="HF42" s="10">
        <f t="shared" si="84"/>
        <v>0</v>
      </c>
      <c r="HG42" s="10">
        <f t="shared" si="85"/>
        <v>0</v>
      </c>
      <c r="HH42" s="10">
        <f t="shared" si="86"/>
        <v>0</v>
      </c>
      <c r="HI42" s="10">
        <f t="shared" si="87"/>
        <v>0</v>
      </c>
      <c r="HJ42" s="10">
        <f t="shared" si="88"/>
        <v>0</v>
      </c>
      <c r="HK42" s="10">
        <f t="shared" si="89"/>
        <v>0</v>
      </c>
      <c r="HL42" s="10">
        <f t="shared" si="90"/>
        <v>0</v>
      </c>
      <c r="HM42" s="10">
        <f t="shared" si="91"/>
        <v>0</v>
      </c>
      <c r="HN42" s="10">
        <f t="shared" si="92"/>
        <v>0</v>
      </c>
      <c r="HO42" s="10">
        <f t="shared" si="93"/>
        <v>0</v>
      </c>
      <c r="HP42" s="10">
        <f t="shared" si="94"/>
        <v>0</v>
      </c>
      <c r="HQ42" s="10">
        <f t="shared" si="95"/>
        <v>0</v>
      </c>
      <c r="HR42" s="10">
        <f t="shared" si="96"/>
        <v>0</v>
      </c>
      <c r="HS42" s="10">
        <f t="shared" si="97"/>
        <v>0</v>
      </c>
      <c r="HT42" s="10">
        <f t="shared" si="98"/>
        <v>0</v>
      </c>
      <c r="HU42" s="10">
        <f t="shared" si="99"/>
        <v>0</v>
      </c>
      <c r="HV42" s="10">
        <f t="shared" si="100"/>
        <v>0</v>
      </c>
      <c r="HW42" s="10">
        <f t="shared" si="101"/>
        <v>0</v>
      </c>
      <c r="HX42" s="10">
        <f t="shared" si="102"/>
        <v>0</v>
      </c>
      <c r="HY42" s="10">
        <f t="shared" si="103"/>
        <v>0</v>
      </c>
      <c r="HZ42" s="10">
        <f t="shared" si="104"/>
        <v>0</v>
      </c>
      <c r="IA42" s="10">
        <f t="shared" si="105"/>
        <v>0</v>
      </c>
      <c r="IB42" s="10">
        <f t="shared" si="106"/>
        <v>0</v>
      </c>
      <c r="IC42" s="10">
        <f t="shared" si="107"/>
        <v>0</v>
      </c>
      <c r="ID42" s="10">
        <f t="shared" si="108"/>
        <v>0</v>
      </c>
      <c r="IE42" s="10">
        <f t="shared" si="109"/>
        <v>13.924050632911392</v>
      </c>
      <c r="IF42" s="10">
        <f t="shared" si="110"/>
        <v>0</v>
      </c>
      <c r="IG42" s="10">
        <f t="shared" si="111"/>
        <v>0</v>
      </c>
      <c r="IH42" s="10">
        <f t="shared" si="112"/>
        <v>0</v>
      </c>
      <c r="II42" s="10">
        <f t="shared" si="113"/>
        <v>0</v>
      </c>
      <c r="IJ42" s="10">
        <f t="shared" si="114"/>
        <v>0</v>
      </c>
      <c r="IK42" s="10">
        <f t="shared" si="115"/>
        <v>0</v>
      </c>
      <c r="IL42" s="10">
        <f t="shared" si="116"/>
        <v>0</v>
      </c>
      <c r="IM42" s="10">
        <f t="shared" si="117"/>
        <v>0</v>
      </c>
      <c r="IN42" s="10">
        <f t="shared" si="118"/>
        <v>0</v>
      </c>
      <c r="IO42" s="10">
        <f t="shared" si="119"/>
        <v>0</v>
      </c>
      <c r="IP42" s="10">
        <f t="shared" si="120"/>
        <v>0</v>
      </c>
      <c r="IQ42" s="10">
        <f t="shared" si="121"/>
        <v>0</v>
      </c>
      <c r="IR42" s="10">
        <f t="shared" si="122"/>
        <v>0</v>
      </c>
      <c r="IS42" s="10">
        <f t="shared" si="123"/>
        <v>0</v>
      </c>
      <c r="IT42" s="10">
        <f t="shared" si="124"/>
        <v>0</v>
      </c>
      <c r="IU42" s="10">
        <f t="shared" si="125"/>
        <v>0</v>
      </c>
      <c r="IV42" s="10">
        <f t="shared" si="126"/>
        <v>0</v>
      </c>
      <c r="IW42" s="10">
        <f t="shared" si="127"/>
        <v>0</v>
      </c>
      <c r="IX42" s="10">
        <f t="shared" si="128"/>
        <v>0</v>
      </c>
      <c r="IY42" s="10">
        <f t="shared" si="129"/>
        <v>0</v>
      </c>
      <c r="IZ42" s="10">
        <f t="shared" si="130"/>
        <v>0</v>
      </c>
      <c r="JA42" s="10">
        <f t="shared" si="131"/>
        <v>0</v>
      </c>
      <c r="JB42" s="10">
        <f t="shared" si="132"/>
        <v>0</v>
      </c>
      <c r="JC42" s="10">
        <f t="shared" si="133"/>
        <v>0</v>
      </c>
      <c r="JD42" s="10">
        <f t="shared" si="134"/>
        <v>0</v>
      </c>
      <c r="JE42" s="10">
        <f t="shared" si="135"/>
        <v>0</v>
      </c>
      <c r="JF42" s="10">
        <f t="shared" si="136"/>
        <v>0</v>
      </c>
      <c r="JG42" s="10">
        <v>0</v>
      </c>
      <c r="JH42" s="10">
        <f t="shared" si="137"/>
        <v>0</v>
      </c>
      <c r="JI42" s="10">
        <f t="shared" si="138"/>
        <v>0</v>
      </c>
      <c r="JJ42" s="10">
        <f t="shared" si="139"/>
        <v>0</v>
      </c>
      <c r="JK42" s="10">
        <f t="shared" si="140"/>
        <v>0</v>
      </c>
      <c r="JL42" s="10">
        <f t="shared" si="141"/>
        <v>0</v>
      </c>
      <c r="JM42" s="10">
        <f t="shared" si="142"/>
        <v>0</v>
      </c>
      <c r="JN42" s="10">
        <f t="shared" si="143"/>
        <v>0</v>
      </c>
      <c r="JO42" s="10">
        <f t="shared" si="144"/>
        <v>0</v>
      </c>
      <c r="JP42" s="10">
        <f t="shared" si="145"/>
        <v>0</v>
      </c>
      <c r="JQ42" s="10">
        <f t="shared" si="146"/>
        <v>0</v>
      </c>
      <c r="JR42" s="10">
        <f t="shared" si="147"/>
        <v>0</v>
      </c>
      <c r="JS42" s="10">
        <f t="shared" si="148"/>
        <v>0</v>
      </c>
      <c r="JT42" s="10">
        <f t="shared" si="149"/>
        <v>0</v>
      </c>
      <c r="JU42" s="10">
        <f t="shared" si="150"/>
        <v>0</v>
      </c>
      <c r="JV42" s="10">
        <f t="shared" si="151"/>
        <v>0</v>
      </c>
      <c r="JW42" s="10">
        <f t="shared" si="152"/>
        <v>0</v>
      </c>
      <c r="JX42" s="10">
        <f t="shared" si="153"/>
        <v>0</v>
      </c>
      <c r="JY42" s="10">
        <f t="shared" si="154"/>
        <v>0</v>
      </c>
      <c r="JZ42" s="10">
        <f t="shared" si="155"/>
        <v>0</v>
      </c>
      <c r="KA42" s="10">
        <f t="shared" si="156"/>
        <v>0</v>
      </c>
      <c r="KB42" s="10">
        <f t="shared" si="157"/>
        <v>0</v>
      </c>
      <c r="KC42" s="10">
        <f t="shared" si="158"/>
        <v>13.924050632911392</v>
      </c>
      <c r="KD42" s="10">
        <f t="shared" si="159"/>
        <v>0</v>
      </c>
      <c r="KE42" s="10">
        <f t="shared" si="160"/>
        <v>0</v>
      </c>
      <c r="KF42" s="10">
        <f t="shared" si="161"/>
        <v>362.02531645569616</v>
      </c>
      <c r="KG42" s="10">
        <f t="shared" si="162"/>
        <v>0</v>
      </c>
      <c r="KH42" s="10">
        <f t="shared" si="163"/>
        <v>0</v>
      </c>
      <c r="KI42" s="10">
        <f t="shared" si="164"/>
        <v>0</v>
      </c>
      <c r="KJ42" s="10">
        <f t="shared" si="165"/>
        <v>0</v>
      </c>
      <c r="KK42" s="10">
        <f t="shared" si="166"/>
        <v>0</v>
      </c>
      <c r="KL42" s="10">
        <f t="shared" si="167"/>
        <v>0</v>
      </c>
      <c r="KM42" s="10">
        <f t="shared" si="168"/>
        <v>0</v>
      </c>
      <c r="KN42" s="10">
        <f t="shared" si="169"/>
        <v>41.77215189873418</v>
      </c>
      <c r="KO42" s="10">
        <f t="shared" si="170"/>
        <v>0</v>
      </c>
      <c r="KP42" s="10">
        <f t="shared" si="171"/>
        <v>0</v>
      </c>
      <c r="KQ42" s="11">
        <v>1100</v>
      </c>
      <c r="KR42" s="16"/>
      <c r="KS42" s="12">
        <v>6703.9859351646701</v>
      </c>
      <c r="KT42" s="26">
        <v>84</v>
      </c>
      <c r="KU42" s="26">
        <v>0.47619047619047616</v>
      </c>
      <c r="KV42" s="26">
        <v>0.95</v>
      </c>
      <c r="KW42" s="26">
        <v>-15.71</v>
      </c>
      <c r="KX42" s="26">
        <v>11.21</v>
      </c>
      <c r="KY42" s="27">
        <v>2.82</v>
      </c>
      <c r="KZ42" s="27">
        <v>3.29</v>
      </c>
      <c r="LA42" s="17"/>
      <c r="LB42" s="2">
        <v>1284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1062</v>
      </c>
      <c r="LM42" s="1">
        <v>10</v>
      </c>
      <c r="LN42" s="1">
        <v>42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36</v>
      </c>
      <c r="LU42" s="1">
        <v>0</v>
      </c>
      <c r="LV42" s="1">
        <v>0</v>
      </c>
      <c r="LW42" s="1">
        <v>38</v>
      </c>
      <c r="LX42" s="1">
        <v>0</v>
      </c>
      <c r="LY42" s="1">
        <v>18</v>
      </c>
      <c r="LZ42" s="1">
        <v>0</v>
      </c>
      <c r="MA42" s="1">
        <v>0</v>
      </c>
      <c r="MB42" s="1">
        <v>0</v>
      </c>
      <c r="MC42" s="1">
        <v>0</v>
      </c>
      <c r="MD42" s="1">
        <v>78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28"/>
      <c r="ML42" t="s">
        <v>858</v>
      </c>
      <c r="MM42" t="s">
        <v>286</v>
      </c>
      <c r="MN42" t="s">
        <v>320</v>
      </c>
      <c r="MO42" t="s">
        <v>321</v>
      </c>
      <c r="MP42" t="s">
        <v>322</v>
      </c>
      <c r="MQ42" t="s">
        <v>323</v>
      </c>
      <c r="MR42">
        <v>0.06</v>
      </c>
      <c r="MS42" t="s">
        <v>287</v>
      </c>
      <c r="MT42" t="s">
        <v>288</v>
      </c>
      <c r="MU42" t="s">
        <v>289</v>
      </c>
      <c r="MV42">
        <v>6883.3333333333339</v>
      </c>
      <c r="MW42" s="13">
        <v>433</v>
      </c>
      <c r="MX42" s="13" t="s">
        <v>290</v>
      </c>
      <c r="MY42" t="s">
        <v>240</v>
      </c>
      <c r="MZ42" t="s">
        <v>241</v>
      </c>
      <c r="NA42" t="s">
        <v>242</v>
      </c>
      <c r="NB42" t="s">
        <v>274</v>
      </c>
      <c r="ND42" s="18">
        <v>43281</v>
      </c>
      <c r="NE42" s="19">
        <v>5.5555555555555558E-3</v>
      </c>
      <c r="NF42" t="s">
        <v>244</v>
      </c>
      <c r="NG42" t="s">
        <v>245</v>
      </c>
      <c r="NH42" t="s">
        <v>246</v>
      </c>
      <c r="NI42">
        <v>92.5</v>
      </c>
      <c r="NJ42" t="s">
        <v>244</v>
      </c>
      <c r="NK42">
        <v>5</v>
      </c>
      <c r="NL42" t="s">
        <v>247</v>
      </c>
      <c r="NM42">
        <v>29.67417</v>
      </c>
      <c r="NN42">
        <v>-84.821529999999996</v>
      </c>
      <c r="NO42" t="s">
        <v>248</v>
      </c>
      <c r="NP42" t="s">
        <v>266</v>
      </c>
      <c r="NQ42">
        <v>12</v>
      </c>
      <c r="NR42" t="s">
        <v>247</v>
      </c>
      <c r="NS42" t="s">
        <v>244</v>
      </c>
      <c r="NT42">
        <v>982000410609806</v>
      </c>
      <c r="NU42" t="s">
        <v>244</v>
      </c>
      <c r="NV42" t="s">
        <v>247</v>
      </c>
      <c r="NW42" t="s">
        <v>288</v>
      </c>
      <c r="NX42" t="s">
        <v>289</v>
      </c>
      <c r="NY42">
        <v>95.8</v>
      </c>
      <c r="NZ42">
        <v>94.15</v>
      </c>
      <c r="OA42">
        <v>89.1</v>
      </c>
      <c r="OB42" s="14">
        <v>6703.9859351646701</v>
      </c>
      <c r="OC42" t="s">
        <v>248</v>
      </c>
      <c r="OD42" t="s">
        <v>247</v>
      </c>
      <c r="OE42" t="s">
        <v>248</v>
      </c>
      <c r="OF42" t="s">
        <v>291</v>
      </c>
      <c r="OG42" t="s">
        <v>247</v>
      </c>
      <c r="OH42">
        <v>30</v>
      </c>
      <c r="OI42" t="s">
        <v>288</v>
      </c>
      <c r="OJ42" t="s">
        <v>292</v>
      </c>
      <c r="OK42">
        <v>84</v>
      </c>
      <c r="OL42">
        <v>0.47619047619047616</v>
      </c>
      <c r="OM42">
        <v>0.95</v>
      </c>
      <c r="ON42">
        <v>-15.71</v>
      </c>
      <c r="OO42">
        <v>11.21</v>
      </c>
      <c r="OP42" s="25">
        <v>2.82</v>
      </c>
      <c r="OQ42" s="25">
        <v>3.29</v>
      </c>
      <c r="OR42" t="s">
        <v>911</v>
      </c>
      <c r="OS42" t="s">
        <v>911</v>
      </c>
    </row>
    <row r="43" spans="1:409" x14ac:dyDescent="0.25">
      <c r="A43">
        <v>42</v>
      </c>
      <c r="B43" s="1">
        <v>105</v>
      </c>
      <c r="C43" s="1">
        <v>11</v>
      </c>
      <c r="D43" s="1">
        <v>0</v>
      </c>
      <c r="E43" s="1">
        <v>0</v>
      </c>
      <c r="F43" s="1">
        <v>105</v>
      </c>
      <c r="G43" s="1">
        <v>0</v>
      </c>
      <c r="H43" s="1">
        <v>0</v>
      </c>
      <c r="I43" s="1">
        <v>1</v>
      </c>
      <c r="J43" s="1">
        <v>1</v>
      </c>
      <c r="K43" s="1">
        <v>1</v>
      </c>
      <c r="L43" s="1">
        <v>24</v>
      </c>
      <c r="M43" s="1">
        <v>0</v>
      </c>
      <c r="N43" s="1">
        <v>11</v>
      </c>
      <c r="O43" s="1">
        <v>0</v>
      </c>
      <c r="P43" s="1">
        <v>0</v>
      </c>
      <c r="Q43" s="1">
        <v>14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2">
        <v>273</v>
      </c>
      <c r="Y43" s="3"/>
      <c r="Z43" s="15">
        <f t="shared" si="172"/>
        <v>1.0441549352427242</v>
      </c>
      <c r="AA43" s="15">
        <f t="shared" si="173"/>
        <v>0.10938765988257113</v>
      </c>
      <c r="AB43" s="15">
        <f t="shared" si="174"/>
        <v>0</v>
      </c>
      <c r="AC43" s="15">
        <f t="shared" si="175"/>
        <v>0</v>
      </c>
      <c r="AD43" s="15">
        <f t="shared" si="176"/>
        <v>1.0441549352427242</v>
      </c>
      <c r="AE43" s="15">
        <f t="shared" si="177"/>
        <v>0</v>
      </c>
      <c r="AF43" s="15">
        <f t="shared" si="178"/>
        <v>0</v>
      </c>
      <c r="AG43" s="15">
        <f t="shared" si="179"/>
        <v>9.9443327165973736E-3</v>
      </c>
      <c r="AH43" s="15">
        <f t="shared" si="180"/>
        <v>9.9443327165973736E-3</v>
      </c>
      <c r="AI43" s="15">
        <f t="shared" si="181"/>
        <v>9.9443327165973736E-3</v>
      </c>
      <c r="AJ43" s="15">
        <f t="shared" si="182"/>
        <v>0.23866398519833698</v>
      </c>
      <c r="AK43" s="15">
        <f t="shared" si="183"/>
        <v>0</v>
      </c>
      <c r="AL43" s="15">
        <f t="shared" si="184"/>
        <v>0.10938765988257113</v>
      </c>
      <c r="AM43" s="15">
        <f t="shared" si="185"/>
        <v>0</v>
      </c>
      <c r="AN43" s="15">
        <f t="shared" si="186"/>
        <v>0</v>
      </c>
      <c r="AO43" s="15">
        <f t="shared" si="187"/>
        <v>0.13922065803236325</v>
      </c>
      <c r="AP43" s="15">
        <f t="shared" si="188"/>
        <v>0</v>
      </c>
      <c r="AQ43" s="15">
        <f t="shared" si="189"/>
        <v>0</v>
      </c>
      <c r="AR43" s="15">
        <f t="shared" si="190"/>
        <v>0</v>
      </c>
      <c r="AS43" s="15">
        <f t="shared" si="191"/>
        <v>0</v>
      </c>
      <c r="AT43" s="15">
        <f t="shared" si="192"/>
        <v>0</v>
      </c>
      <c r="AU43" s="15">
        <f t="shared" si="193"/>
        <v>0</v>
      </c>
      <c r="AV43" s="5">
        <f t="shared" si="194"/>
        <v>2.7148028316310837</v>
      </c>
      <c r="AW43" s="16"/>
      <c r="AX43" s="6">
        <v>700</v>
      </c>
      <c r="AY43" s="6">
        <v>73.333333333333343</v>
      </c>
      <c r="AZ43" s="6">
        <v>0</v>
      </c>
      <c r="BA43" s="6">
        <v>0</v>
      </c>
      <c r="BB43" s="6">
        <v>700</v>
      </c>
      <c r="BC43" s="6">
        <v>0</v>
      </c>
      <c r="BD43" s="6">
        <v>0</v>
      </c>
      <c r="BE43" s="6">
        <v>6.666666666666667</v>
      </c>
      <c r="BF43" s="6">
        <v>6.666666666666667</v>
      </c>
      <c r="BG43" s="6">
        <v>6.666666666666667</v>
      </c>
      <c r="BH43" s="6">
        <v>160</v>
      </c>
      <c r="BI43" s="6">
        <v>0</v>
      </c>
      <c r="BJ43" s="6">
        <v>73.333333333333343</v>
      </c>
      <c r="BK43" s="6">
        <v>0</v>
      </c>
      <c r="BL43" s="6">
        <v>0</v>
      </c>
      <c r="BM43" s="6">
        <v>93.333333333333343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7">
        <v>1820.0000000000002</v>
      </c>
      <c r="BU43" s="16"/>
      <c r="BV43" s="8">
        <v>1</v>
      </c>
      <c r="BW43" s="8">
        <v>39.999999999999993</v>
      </c>
      <c r="BX43" s="8">
        <v>2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2.9999999999999996</v>
      </c>
      <c r="CG43" s="8">
        <v>0</v>
      </c>
      <c r="CH43" s="8">
        <v>0</v>
      </c>
      <c r="CI43" s="8">
        <v>0</v>
      </c>
      <c r="CJ43" s="8">
        <v>1</v>
      </c>
      <c r="CK43" s="8">
        <v>0</v>
      </c>
      <c r="CL43" s="8">
        <v>0</v>
      </c>
      <c r="CM43" s="8">
        <v>0</v>
      </c>
      <c r="CN43" s="8">
        <v>2</v>
      </c>
      <c r="CO43" s="8">
        <v>26.999999999999996</v>
      </c>
      <c r="CP43" s="8">
        <v>0</v>
      </c>
      <c r="CQ43" s="8">
        <v>0</v>
      </c>
      <c r="CR43" s="8">
        <v>2</v>
      </c>
      <c r="CS43" s="8">
        <v>1</v>
      </c>
      <c r="CT43" s="8">
        <v>0</v>
      </c>
      <c r="CU43" s="8">
        <v>1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1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1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2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1</v>
      </c>
      <c r="EO43" s="8">
        <v>0</v>
      </c>
      <c r="EP43" s="8">
        <v>1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1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8</v>
      </c>
      <c r="FR43" s="8">
        <v>0</v>
      </c>
      <c r="FS43" s="8">
        <v>0</v>
      </c>
      <c r="FT43" s="8">
        <v>0</v>
      </c>
      <c r="FU43" s="8">
        <v>2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2</v>
      </c>
      <c r="GD43" s="8">
        <v>0</v>
      </c>
      <c r="GE43" s="8">
        <v>0</v>
      </c>
      <c r="GF43" s="9">
        <v>98.999999999999986</v>
      </c>
      <c r="GG43" s="3"/>
      <c r="GH43" s="10">
        <f t="shared" si="60"/>
        <v>7.0707070707070709</v>
      </c>
      <c r="GI43" s="10">
        <f t="shared" si="61"/>
        <v>282.82828282828279</v>
      </c>
      <c r="GJ43" s="10">
        <f t="shared" si="62"/>
        <v>14.141414141414142</v>
      </c>
      <c r="GK43" s="10">
        <f t="shared" si="63"/>
        <v>0</v>
      </c>
      <c r="GL43" s="10">
        <f t="shared" si="64"/>
        <v>0</v>
      </c>
      <c r="GM43" s="10">
        <f t="shared" si="65"/>
        <v>0</v>
      </c>
      <c r="GN43" s="10">
        <f t="shared" si="66"/>
        <v>0</v>
      </c>
      <c r="GO43" s="10">
        <f t="shared" si="67"/>
        <v>0</v>
      </c>
      <c r="GP43" s="10">
        <f t="shared" si="68"/>
        <v>0</v>
      </c>
      <c r="GQ43" s="10">
        <f t="shared" si="69"/>
        <v>0</v>
      </c>
      <c r="GR43" s="10">
        <f t="shared" si="70"/>
        <v>21.212121212121211</v>
      </c>
      <c r="GS43" s="10">
        <f t="shared" si="71"/>
        <v>0</v>
      </c>
      <c r="GT43" s="10">
        <f t="shared" si="72"/>
        <v>0</v>
      </c>
      <c r="GU43" s="10">
        <f t="shared" si="73"/>
        <v>0</v>
      </c>
      <c r="GV43" s="10">
        <f t="shared" si="74"/>
        <v>7.0707070707070709</v>
      </c>
      <c r="GW43" s="10">
        <f t="shared" si="75"/>
        <v>0</v>
      </c>
      <c r="GX43" s="10">
        <f t="shared" si="76"/>
        <v>0</v>
      </c>
      <c r="GY43" s="10">
        <f t="shared" si="77"/>
        <v>0</v>
      </c>
      <c r="GZ43" s="10">
        <f t="shared" si="78"/>
        <v>14.141414141414142</v>
      </c>
      <c r="HA43" s="10">
        <f t="shared" si="79"/>
        <v>190.90909090909091</v>
      </c>
      <c r="HB43" s="10">
        <f t="shared" si="80"/>
        <v>0</v>
      </c>
      <c r="HC43" s="10">
        <f t="shared" si="81"/>
        <v>0</v>
      </c>
      <c r="HD43" s="10">
        <f t="shared" si="82"/>
        <v>14.141414141414142</v>
      </c>
      <c r="HE43" s="10">
        <f t="shared" si="83"/>
        <v>7.0707070707070709</v>
      </c>
      <c r="HF43" s="10">
        <f t="shared" si="84"/>
        <v>0</v>
      </c>
      <c r="HG43" s="10">
        <f t="shared" si="85"/>
        <v>7.0707070707070709</v>
      </c>
      <c r="HH43" s="10">
        <f t="shared" si="86"/>
        <v>0</v>
      </c>
      <c r="HI43" s="10">
        <f t="shared" si="87"/>
        <v>0</v>
      </c>
      <c r="HJ43" s="10">
        <f t="shared" si="88"/>
        <v>0</v>
      </c>
      <c r="HK43" s="10">
        <f t="shared" si="89"/>
        <v>0</v>
      </c>
      <c r="HL43" s="10">
        <f t="shared" si="90"/>
        <v>0</v>
      </c>
      <c r="HM43" s="10">
        <f t="shared" si="91"/>
        <v>0</v>
      </c>
      <c r="HN43" s="10">
        <f t="shared" si="92"/>
        <v>0</v>
      </c>
      <c r="HO43" s="10">
        <f t="shared" si="93"/>
        <v>0</v>
      </c>
      <c r="HP43" s="10">
        <f t="shared" si="94"/>
        <v>0</v>
      </c>
      <c r="HQ43" s="10">
        <f t="shared" si="95"/>
        <v>0</v>
      </c>
      <c r="HR43" s="10">
        <f t="shared" si="96"/>
        <v>0</v>
      </c>
      <c r="HS43" s="10">
        <f t="shared" si="97"/>
        <v>0</v>
      </c>
      <c r="HT43" s="10">
        <f t="shared" si="98"/>
        <v>0</v>
      </c>
      <c r="HU43" s="10">
        <f t="shared" si="99"/>
        <v>7.0707070707070709</v>
      </c>
      <c r="HV43" s="10">
        <f t="shared" si="100"/>
        <v>0</v>
      </c>
      <c r="HW43" s="10">
        <f t="shared" si="101"/>
        <v>0</v>
      </c>
      <c r="HX43" s="10">
        <f t="shared" si="102"/>
        <v>0</v>
      </c>
      <c r="HY43" s="10">
        <f t="shared" si="103"/>
        <v>0</v>
      </c>
      <c r="HZ43" s="10">
        <f t="shared" si="104"/>
        <v>0</v>
      </c>
      <c r="IA43" s="10">
        <f t="shared" si="105"/>
        <v>0</v>
      </c>
      <c r="IB43" s="10">
        <f t="shared" si="106"/>
        <v>0</v>
      </c>
      <c r="IC43" s="10">
        <f t="shared" si="107"/>
        <v>0</v>
      </c>
      <c r="ID43" s="10">
        <f t="shared" si="108"/>
        <v>0</v>
      </c>
      <c r="IE43" s="10">
        <f t="shared" si="109"/>
        <v>7.0707070707070709</v>
      </c>
      <c r="IF43" s="10">
        <f t="shared" si="110"/>
        <v>0</v>
      </c>
      <c r="IG43" s="10">
        <f t="shared" si="111"/>
        <v>0</v>
      </c>
      <c r="IH43" s="10">
        <f t="shared" si="112"/>
        <v>0</v>
      </c>
      <c r="II43" s="10">
        <f t="shared" si="113"/>
        <v>0</v>
      </c>
      <c r="IJ43" s="10">
        <f t="shared" si="114"/>
        <v>0</v>
      </c>
      <c r="IK43" s="10">
        <f t="shared" si="115"/>
        <v>0</v>
      </c>
      <c r="IL43" s="10">
        <f t="shared" si="116"/>
        <v>0</v>
      </c>
      <c r="IM43" s="10">
        <f t="shared" si="117"/>
        <v>0</v>
      </c>
      <c r="IN43" s="10">
        <f t="shared" si="118"/>
        <v>0</v>
      </c>
      <c r="IO43" s="10">
        <f t="shared" si="119"/>
        <v>0</v>
      </c>
      <c r="IP43" s="10">
        <f t="shared" si="120"/>
        <v>0</v>
      </c>
      <c r="IQ43" s="10">
        <f t="shared" si="121"/>
        <v>14.141414141414142</v>
      </c>
      <c r="IR43" s="10">
        <f t="shared" si="122"/>
        <v>0</v>
      </c>
      <c r="IS43" s="10">
        <f t="shared" si="123"/>
        <v>0</v>
      </c>
      <c r="IT43" s="10">
        <f t="shared" si="124"/>
        <v>0</v>
      </c>
      <c r="IU43" s="10">
        <f t="shared" si="125"/>
        <v>0</v>
      </c>
      <c r="IV43" s="10">
        <f t="shared" si="126"/>
        <v>0</v>
      </c>
      <c r="IW43" s="10">
        <f t="shared" si="127"/>
        <v>0</v>
      </c>
      <c r="IX43" s="10">
        <f t="shared" si="128"/>
        <v>0</v>
      </c>
      <c r="IY43" s="10">
        <f t="shared" si="129"/>
        <v>0</v>
      </c>
      <c r="IZ43" s="10">
        <f t="shared" si="130"/>
        <v>7.0707070707070709</v>
      </c>
      <c r="JA43" s="10">
        <f t="shared" si="131"/>
        <v>0</v>
      </c>
      <c r="JB43" s="10">
        <f t="shared" si="132"/>
        <v>7.0707070707070709</v>
      </c>
      <c r="JC43" s="10">
        <f t="shared" si="133"/>
        <v>0</v>
      </c>
      <c r="JD43" s="10">
        <f t="shared" si="134"/>
        <v>0</v>
      </c>
      <c r="JE43" s="10">
        <f t="shared" si="135"/>
        <v>0</v>
      </c>
      <c r="JF43" s="10">
        <f t="shared" si="136"/>
        <v>0</v>
      </c>
      <c r="JG43" s="10">
        <v>0</v>
      </c>
      <c r="JH43" s="10">
        <f t="shared" si="137"/>
        <v>0</v>
      </c>
      <c r="JI43" s="10">
        <f t="shared" si="138"/>
        <v>0</v>
      </c>
      <c r="JJ43" s="10">
        <f t="shared" si="139"/>
        <v>0</v>
      </c>
      <c r="JK43" s="10">
        <f t="shared" si="140"/>
        <v>0</v>
      </c>
      <c r="JL43" s="10">
        <f t="shared" si="141"/>
        <v>0</v>
      </c>
      <c r="JM43" s="10">
        <f t="shared" si="142"/>
        <v>0</v>
      </c>
      <c r="JN43" s="10">
        <f t="shared" si="143"/>
        <v>7.0707070707070709</v>
      </c>
      <c r="JO43" s="10">
        <f t="shared" si="144"/>
        <v>0</v>
      </c>
      <c r="JP43" s="10">
        <f t="shared" si="145"/>
        <v>0</v>
      </c>
      <c r="JQ43" s="10">
        <f t="shared" si="146"/>
        <v>0</v>
      </c>
      <c r="JR43" s="10">
        <f t="shared" si="147"/>
        <v>0</v>
      </c>
      <c r="JS43" s="10">
        <f t="shared" si="148"/>
        <v>0</v>
      </c>
      <c r="JT43" s="10">
        <f t="shared" si="149"/>
        <v>0</v>
      </c>
      <c r="JU43" s="10">
        <f t="shared" si="150"/>
        <v>0</v>
      </c>
      <c r="JV43" s="10">
        <f t="shared" si="151"/>
        <v>0</v>
      </c>
      <c r="JW43" s="10">
        <f t="shared" si="152"/>
        <v>0</v>
      </c>
      <c r="JX43" s="10">
        <f t="shared" si="153"/>
        <v>0</v>
      </c>
      <c r="JY43" s="10">
        <f t="shared" si="154"/>
        <v>0</v>
      </c>
      <c r="JZ43" s="10">
        <f t="shared" si="155"/>
        <v>0</v>
      </c>
      <c r="KA43" s="10">
        <f t="shared" si="156"/>
        <v>0</v>
      </c>
      <c r="KB43" s="10">
        <f t="shared" si="157"/>
        <v>56.565656565656568</v>
      </c>
      <c r="KC43" s="10">
        <f t="shared" si="158"/>
        <v>0</v>
      </c>
      <c r="KD43" s="10">
        <f t="shared" si="159"/>
        <v>0</v>
      </c>
      <c r="KE43" s="10">
        <f t="shared" si="160"/>
        <v>0</v>
      </c>
      <c r="KF43" s="10">
        <f t="shared" si="161"/>
        <v>14.141414141414142</v>
      </c>
      <c r="KG43" s="10">
        <f t="shared" si="162"/>
        <v>0</v>
      </c>
      <c r="KH43" s="10">
        <f t="shared" si="163"/>
        <v>0</v>
      </c>
      <c r="KI43" s="10">
        <f t="shared" si="164"/>
        <v>0</v>
      </c>
      <c r="KJ43" s="10">
        <f t="shared" si="165"/>
        <v>0</v>
      </c>
      <c r="KK43" s="10">
        <f t="shared" si="166"/>
        <v>0</v>
      </c>
      <c r="KL43" s="10">
        <f t="shared" si="167"/>
        <v>0</v>
      </c>
      <c r="KM43" s="10">
        <f t="shared" si="168"/>
        <v>0</v>
      </c>
      <c r="KN43" s="10">
        <f t="shared" si="169"/>
        <v>14.141414141414142</v>
      </c>
      <c r="KO43" s="10">
        <f t="shared" si="170"/>
        <v>0</v>
      </c>
      <c r="KP43" s="10">
        <f t="shared" si="171"/>
        <v>0</v>
      </c>
      <c r="KQ43" s="11">
        <v>699.99999999999955</v>
      </c>
      <c r="KR43" s="16"/>
      <c r="KS43" s="12">
        <v>6703.9859351646701</v>
      </c>
      <c r="KT43" s="26">
        <v>84</v>
      </c>
      <c r="KU43" s="26">
        <v>0.47619047619047616</v>
      </c>
      <c r="KV43" s="26">
        <v>0.95</v>
      </c>
      <c r="KW43" s="26">
        <v>-15.71</v>
      </c>
      <c r="KX43" s="26">
        <v>11.21</v>
      </c>
      <c r="KY43" s="27">
        <v>2.82</v>
      </c>
      <c r="KZ43" s="27">
        <v>3.29</v>
      </c>
      <c r="LA43" s="17"/>
      <c r="LB43" s="2">
        <v>3184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2852</v>
      </c>
      <c r="LM43" s="1">
        <v>40</v>
      </c>
      <c r="LN43" s="1">
        <v>4</v>
      </c>
      <c r="LO43" s="1">
        <v>0</v>
      </c>
      <c r="LP43" s="1">
        <v>0</v>
      </c>
      <c r="LQ43" s="1">
        <v>0</v>
      </c>
      <c r="LR43" s="1">
        <v>0</v>
      </c>
      <c r="LS43" s="1">
        <v>8</v>
      </c>
      <c r="LT43" s="1">
        <v>112</v>
      </c>
      <c r="LU43" s="1">
        <v>0</v>
      </c>
      <c r="LV43" s="1">
        <v>0</v>
      </c>
      <c r="LW43" s="1">
        <v>0</v>
      </c>
      <c r="LX43" s="1">
        <v>0</v>
      </c>
      <c r="LY43" s="1">
        <v>40</v>
      </c>
      <c r="LZ43" s="1">
        <v>0</v>
      </c>
      <c r="MA43" s="1">
        <v>0</v>
      </c>
      <c r="MB43" s="1">
        <v>0</v>
      </c>
      <c r="MC43" s="1">
        <v>0</v>
      </c>
      <c r="MD43" s="1">
        <v>128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28"/>
      <c r="ML43" t="s">
        <v>859</v>
      </c>
      <c r="MM43" t="s">
        <v>287</v>
      </c>
      <c r="MN43" t="s">
        <v>320</v>
      </c>
      <c r="MO43" t="s">
        <v>334</v>
      </c>
      <c r="MP43" t="s">
        <v>335</v>
      </c>
      <c r="MQ43" t="s">
        <v>336</v>
      </c>
      <c r="MR43">
        <v>0.15</v>
      </c>
      <c r="MS43" t="s">
        <v>287</v>
      </c>
      <c r="MT43" t="s">
        <v>288</v>
      </c>
      <c r="MU43" t="s">
        <v>289</v>
      </c>
      <c r="MV43">
        <v>1820</v>
      </c>
      <c r="MW43" s="13">
        <v>433</v>
      </c>
      <c r="MX43" s="13" t="s">
        <v>290</v>
      </c>
      <c r="MY43" t="s">
        <v>240</v>
      </c>
      <c r="MZ43" t="s">
        <v>241</v>
      </c>
      <c r="NA43" t="s">
        <v>242</v>
      </c>
      <c r="NB43" t="s">
        <v>274</v>
      </c>
      <c r="ND43" s="18">
        <v>43281</v>
      </c>
      <c r="NE43" s="19">
        <v>5.5555555555555558E-3</v>
      </c>
      <c r="NF43" t="s">
        <v>244</v>
      </c>
      <c r="NG43" t="s">
        <v>245</v>
      </c>
      <c r="NH43" t="s">
        <v>246</v>
      </c>
      <c r="NI43">
        <v>92.5</v>
      </c>
      <c r="NJ43" t="s">
        <v>244</v>
      </c>
      <c r="NK43">
        <v>5</v>
      </c>
      <c r="NL43" t="s">
        <v>247</v>
      </c>
      <c r="NM43">
        <v>29.67417</v>
      </c>
      <c r="NN43">
        <v>-84.821529999999996</v>
      </c>
      <c r="NO43" t="s">
        <v>248</v>
      </c>
      <c r="NP43" t="s">
        <v>266</v>
      </c>
      <c r="NQ43">
        <v>12</v>
      </c>
      <c r="NR43" t="s">
        <v>247</v>
      </c>
      <c r="NS43" t="s">
        <v>244</v>
      </c>
      <c r="NT43">
        <v>982000410609806</v>
      </c>
      <c r="NU43" t="s">
        <v>244</v>
      </c>
      <c r="NV43" t="s">
        <v>247</v>
      </c>
      <c r="NW43" t="s">
        <v>288</v>
      </c>
      <c r="NX43" t="s">
        <v>289</v>
      </c>
      <c r="NY43">
        <v>95.8</v>
      </c>
      <c r="NZ43">
        <v>94.15</v>
      </c>
      <c r="OA43">
        <v>89.1</v>
      </c>
      <c r="OB43" s="14">
        <v>6703.9859351646701</v>
      </c>
      <c r="OC43" t="s">
        <v>248</v>
      </c>
      <c r="OD43" t="s">
        <v>247</v>
      </c>
      <c r="OE43" t="s">
        <v>248</v>
      </c>
      <c r="OF43" t="s">
        <v>291</v>
      </c>
      <c r="OG43" t="s">
        <v>247</v>
      </c>
      <c r="OH43">
        <v>29</v>
      </c>
      <c r="OI43" t="s">
        <v>288</v>
      </c>
      <c r="OJ43" t="s">
        <v>292</v>
      </c>
      <c r="OK43">
        <v>84</v>
      </c>
      <c r="OL43">
        <v>0.47619047619047616</v>
      </c>
      <c r="OM43">
        <v>0.95</v>
      </c>
      <c r="ON43">
        <v>-15.71</v>
      </c>
      <c r="OO43">
        <v>11.21</v>
      </c>
      <c r="OP43" s="25">
        <v>2.82</v>
      </c>
      <c r="OQ43" s="25">
        <v>3.29</v>
      </c>
      <c r="OR43" t="s">
        <v>911</v>
      </c>
      <c r="OS43" t="s">
        <v>910</v>
      </c>
    </row>
    <row r="44" spans="1:409" x14ac:dyDescent="0.25">
      <c r="A44">
        <v>43</v>
      </c>
      <c r="B44" s="1">
        <v>54</v>
      </c>
      <c r="C44" s="1">
        <v>39</v>
      </c>
      <c r="D44" s="1">
        <v>0</v>
      </c>
      <c r="E44" s="1">
        <v>0</v>
      </c>
      <c r="F44" s="1">
        <v>92</v>
      </c>
      <c r="G44" s="1">
        <v>0</v>
      </c>
      <c r="H44" s="1">
        <v>0</v>
      </c>
      <c r="I44" s="1">
        <v>3</v>
      </c>
      <c r="J44" s="1">
        <v>0</v>
      </c>
      <c r="K44" s="1">
        <v>0</v>
      </c>
      <c r="L44" s="1">
        <v>9</v>
      </c>
      <c r="M44" s="1">
        <v>0</v>
      </c>
      <c r="N44" s="1">
        <v>6</v>
      </c>
      <c r="O44" s="1">
        <v>0</v>
      </c>
      <c r="P44" s="1">
        <v>0</v>
      </c>
      <c r="Q44" s="1">
        <v>12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2">
        <v>215</v>
      </c>
      <c r="Y44" s="3"/>
      <c r="Z44" s="15">
        <f t="shared" si="172"/>
        <v>0.40274547502219366</v>
      </c>
      <c r="AA44" s="15">
        <f t="shared" si="173"/>
        <v>0.29087173196047317</v>
      </c>
      <c r="AB44" s="15">
        <f t="shared" si="174"/>
        <v>0</v>
      </c>
      <c r="AC44" s="15">
        <f t="shared" si="175"/>
        <v>0</v>
      </c>
      <c r="AD44" s="15">
        <f t="shared" si="176"/>
        <v>0.68615895744521871</v>
      </c>
      <c r="AE44" s="15">
        <f t="shared" si="177"/>
        <v>0</v>
      </c>
      <c r="AF44" s="15">
        <f t="shared" si="178"/>
        <v>0</v>
      </c>
      <c r="AG44" s="15">
        <f t="shared" si="179"/>
        <v>2.2374748612344092E-2</v>
      </c>
      <c r="AH44" s="15">
        <f t="shared" si="180"/>
        <v>0</v>
      </c>
      <c r="AI44" s="15">
        <f t="shared" si="181"/>
        <v>0</v>
      </c>
      <c r="AJ44" s="15">
        <f t="shared" si="182"/>
        <v>6.7124245837032276E-2</v>
      </c>
      <c r="AK44" s="15">
        <f t="shared" si="183"/>
        <v>0</v>
      </c>
      <c r="AL44" s="15">
        <f t="shared" si="184"/>
        <v>4.4749497224688184E-2</v>
      </c>
      <c r="AM44" s="15">
        <f t="shared" si="185"/>
        <v>0</v>
      </c>
      <c r="AN44" s="15">
        <f t="shared" si="186"/>
        <v>0</v>
      </c>
      <c r="AO44" s="15">
        <f t="shared" si="187"/>
        <v>8.9498994449376368E-2</v>
      </c>
      <c r="AP44" s="15">
        <f t="shared" si="188"/>
        <v>0</v>
      </c>
      <c r="AQ44" s="15">
        <f t="shared" si="189"/>
        <v>0</v>
      </c>
      <c r="AR44" s="15">
        <f t="shared" si="190"/>
        <v>0</v>
      </c>
      <c r="AS44" s="15">
        <f t="shared" si="191"/>
        <v>0</v>
      </c>
      <c r="AT44" s="15">
        <f t="shared" si="192"/>
        <v>0</v>
      </c>
      <c r="AU44" s="15">
        <f t="shared" si="193"/>
        <v>0</v>
      </c>
      <c r="AV44" s="5">
        <f t="shared" si="194"/>
        <v>1.6035236505513264</v>
      </c>
      <c r="AW44" s="16"/>
      <c r="AX44" s="6">
        <v>270</v>
      </c>
      <c r="AY44" s="6">
        <v>195</v>
      </c>
      <c r="AZ44" s="6">
        <v>0</v>
      </c>
      <c r="BA44" s="6">
        <v>0</v>
      </c>
      <c r="BB44" s="6">
        <v>460</v>
      </c>
      <c r="BC44" s="6">
        <v>0</v>
      </c>
      <c r="BD44" s="6">
        <v>0</v>
      </c>
      <c r="BE44" s="6">
        <v>15</v>
      </c>
      <c r="BF44" s="6">
        <v>0</v>
      </c>
      <c r="BG44" s="6">
        <v>0</v>
      </c>
      <c r="BH44" s="6">
        <v>45</v>
      </c>
      <c r="BI44" s="6">
        <v>0</v>
      </c>
      <c r="BJ44" s="6">
        <v>30</v>
      </c>
      <c r="BK44" s="6">
        <v>0</v>
      </c>
      <c r="BL44" s="6">
        <v>0</v>
      </c>
      <c r="BM44" s="6">
        <v>60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7">
        <v>1075</v>
      </c>
      <c r="BU44" s="16"/>
      <c r="BV44" s="8">
        <v>0</v>
      </c>
      <c r="BW44" s="8">
        <v>23</v>
      </c>
      <c r="BX44" s="8">
        <v>1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2</v>
      </c>
      <c r="CG44" s="8">
        <v>0</v>
      </c>
      <c r="CH44" s="8">
        <v>0</v>
      </c>
      <c r="CI44" s="8">
        <v>0</v>
      </c>
      <c r="CJ44" s="8">
        <v>4</v>
      </c>
      <c r="CK44" s="8">
        <v>0</v>
      </c>
      <c r="CL44" s="8">
        <v>1</v>
      </c>
      <c r="CM44" s="8">
        <v>0</v>
      </c>
      <c r="CN44" s="8">
        <v>0</v>
      </c>
      <c r="CO44" s="8">
        <v>29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2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2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1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1</v>
      </c>
      <c r="EC44" s="8">
        <v>0</v>
      </c>
      <c r="ED44" s="8">
        <v>0</v>
      </c>
      <c r="EE44" s="8">
        <v>1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1</v>
      </c>
      <c r="EP44" s="8">
        <v>0</v>
      </c>
      <c r="EQ44" s="8">
        <v>1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1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2</v>
      </c>
      <c r="GB44" s="8">
        <v>0</v>
      </c>
      <c r="GC44" s="8">
        <v>3</v>
      </c>
      <c r="GD44" s="8">
        <v>0</v>
      </c>
      <c r="GE44" s="8">
        <v>0</v>
      </c>
      <c r="GF44" s="9">
        <v>75</v>
      </c>
      <c r="GG44" s="3"/>
      <c r="GH44" s="10">
        <f t="shared" si="60"/>
        <v>0</v>
      </c>
      <c r="GI44" s="10">
        <f t="shared" si="61"/>
        <v>82.8</v>
      </c>
      <c r="GJ44" s="10">
        <f t="shared" si="62"/>
        <v>3.6</v>
      </c>
      <c r="GK44" s="10">
        <f t="shared" si="63"/>
        <v>0</v>
      </c>
      <c r="GL44" s="10">
        <f t="shared" si="64"/>
        <v>0</v>
      </c>
      <c r="GM44" s="10">
        <f t="shared" si="65"/>
        <v>0</v>
      </c>
      <c r="GN44" s="10">
        <f t="shared" si="66"/>
        <v>0</v>
      </c>
      <c r="GO44" s="10">
        <f t="shared" si="67"/>
        <v>0</v>
      </c>
      <c r="GP44" s="10">
        <f t="shared" si="68"/>
        <v>0</v>
      </c>
      <c r="GQ44" s="10">
        <f t="shared" si="69"/>
        <v>0</v>
      </c>
      <c r="GR44" s="10">
        <f t="shared" si="70"/>
        <v>7.2</v>
      </c>
      <c r="GS44" s="10">
        <f t="shared" si="71"/>
        <v>0</v>
      </c>
      <c r="GT44" s="10">
        <f t="shared" si="72"/>
        <v>0</v>
      </c>
      <c r="GU44" s="10">
        <f t="shared" si="73"/>
        <v>0</v>
      </c>
      <c r="GV44" s="10">
        <f t="shared" si="74"/>
        <v>14.4</v>
      </c>
      <c r="GW44" s="10">
        <f t="shared" si="75"/>
        <v>0</v>
      </c>
      <c r="GX44" s="10">
        <f t="shared" si="76"/>
        <v>3.6</v>
      </c>
      <c r="GY44" s="10">
        <f t="shared" si="77"/>
        <v>0</v>
      </c>
      <c r="GZ44" s="10">
        <f t="shared" si="78"/>
        <v>0</v>
      </c>
      <c r="HA44" s="10">
        <f t="shared" si="79"/>
        <v>104.39999999999999</v>
      </c>
      <c r="HB44" s="10">
        <f t="shared" si="80"/>
        <v>0</v>
      </c>
      <c r="HC44" s="10">
        <f t="shared" si="81"/>
        <v>0</v>
      </c>
      <c r="HD44" s="10">
        <f t="shared" si="82"/>
        <v>0</v>
      </c>
      <c r="HE44" s="10">
        <f t="shared" si="83"/>
        <v>0</v>
      </c>
      <c r="HF44" s="10">
        <f t="shared" si="84"/>
        <v>0</v>
      </c>
      <c r="HG44" s="10">
        <f t="shared" si="85"/>
        <v>0</v>
      </c>
      <c r="HH44" s="10">
        <f t="shared" si="86"/>
        <v>0</v>
      </c>
      <c r="HI44" s="10">
        <f t="shared" si="87"/>
        <v>0</v>
      </c>
      <c r="HJ44" s="10">
        <f t="shared" si="88"/>
        <v>0</v>
      </c>
      <c r="HK44" s="10">
        <f t="shared" si="89"/>
        <v>0</v>
      </c>
      <c r="HL44" s="10">
        <f t="shared" si="90"/>
        <v>0</v>
      </c>
      <c r="HM44" s="10">
        <f t="shared" si="91"/>
        <v>0</v>
      </c>
      <c r="HN44" s="10">
        <f t="shared" si="92"/>
        <v>0</v>
      </c>
      <c r="HO44" s="10">
        <f t="shared" si="93"/>
        <v>7.2</v>
      </c>
      <c r="HP44" s="10">
        <f t="shared" si="94"/>
        <v>0</v>
      </c>
      <c r="HQ44" s="10">
        <f t="shared" si="95"/>
        <v>0</v>
      </c>
      <c r="HR44" s="10">
        <f t="shared" si="96"/>
        <v>0</v>
      </c>
      <c r="HS44" s="10">
        <f t="shared" si="97"/>
        <v>0</v>
      </c>
      <c r="HT44" s="10">
        <f t="shared" si="98"/>
        <v>0</v>
      </c>
      <c r="HU44" s="10">
        <f t="shared" si="99"/>
        <v>7.2</v>
      </c>
      <c r="HV44" s="10">
        <f t="shared" si="100"/>
        <v>0</v>
      </c>
      <c r="HW44" s="10">
        <f t="shared" si="101"/>
        <v>0</v>
      </c>
      <c r="HX44" s="10">
        <f t="shared" si="102"/>
        <v>0</v>
      </c>
      <c r="HY44" s="10">
        <f t="shared" si="103"/>
        <v>0</v>
      </c>
      <c r="HZ44" s="10">
        <f t="shared" si="104"/>
        <v>0</v>
      </c>
      <c r="IA44" s="10">
        <f t="shared" si="105"/>
        <v>0</v>
      </c>
      <c r="IB44" s="10">
        <f t="shared" si="106"/>
        <v>0</v>
      </c>
      <c r="IC44" s="10">
        <f t="shared" si="107"/>
        <v>0</v>
      </c>
      <c r="ID44" s="10">
        <f t="shared" si="108"/>
        <v>0</v>
      </c>
      <c r="IE44" s="10">
        <f t="shared" si="109"/>
        <v>3.6</v>
      </c>
      <c r="IF44" s="10">
        <f t="shared" si="110"/>
        <v>0</v>
      </c>
      <c r="IG44" s="10">
        <f t="shared" si="111"/>
        <v>0</v>
      </c>
      <c r="IH44" s="10">
        <f t="shared" si="112"/>
        <v>0</v>
      </c>
      <c r="II44" s="10">
        <f t="shared" si="113"/>
        <v>0</v>
      </c>
      <c r="IJ44" s="10">
        <f t="shared" si="114"/>
        <v>0</v>
      </c>
      <c r="IK44" s="10">
        <f t="shared" si="115"/>
        <v>0</v>
      </c>
      <c r="IL44" s="10">
        <f t="shared" si="116"/>
        <v>0</v>
      </c>
      <c r="IM44" s="10">
        <f t="shared" si="117"/>
        <v>0</v>
      </c>
      <c r="IN44" s="10">
        <f t="shared" si="118"/>
        <v>3.6</v>
      </c>
      <c r="IO44" s="10">
        <f t="shared" si="119"/>
        <v>0</v>
      </c>
      <c r="IP44" s="10">
        <f t="shared" si="120"/>
        <v>0</v>
      </c>
      <c r="IQ44" s="10">
        <f t="shared" si="121"/>
        <v>3.6</v>
      </c>
      <c r="IR44" s="10">
        <f t="shared" si="122"/>
        <v>0</v>
      </c>
      <c r="IS44" s="10">
        <f t="shared" si="123"/>
        <v>0</v>
      </c>
      <c r="IT44" s="10">
        <f t="shared" si="124"/>
        <v>0</v>
      </c>
      <c r="IU44" s="10">
        <f t="shared" si="125"/>
        <v>0</v>
      </c>
      <c r="IV44" s="10">
        <f t="shared" si="126"/>
        <v>0</v>
      </c>
      <c r="IW44" s="10">
        <f t="shared" si="127"/>
        <v>0</v>
      </c>
      <c r="IX44" s="10">
        <f t="shared" si="128"/>
        <v>0</v>
      </c>
      <c r="IY44" s="10">
        <f t="shared" si="129"/>
        <v>0</v>
      </c>
      <c r="IZ44" s="10">
        <f t="shared" si="130"/>
        <v>0</v>
      </c>
      <c r="JA44" s="10">
        <f t="shared" si="131"/>
        <v>3.6</v>
      </c>
      <c r="JB44" s="10">
        <f t="shared" si="132"/>
        <v>0</v>
      </c>
      <c r="JC44" s="10">
        <f t="shared" si="133"/>
        <v>3.6</v>
      </c>
      <c r="JD44" s="10">
        <f t="shared" si="134"/>
        <v>0</v>
      </c>
      <c r="JE44" s="10">
        <f t="shared" si="135"/>
        <v>0</v>
      </c>
      <c r="JF44" s="10">
        <f t="shared" si="136"/>
        <v>0</v>
      </c>
      <c r="JG44" s="10">
        <v>0</v>
      </c>
      <c r="JH44" s="10">
        <f t="shared" si="137"/>
        <v>0</v>
      </c>
      <c r="JI44" s="10">
        <f t="shared" si="138"/>
        <v>0</v>
      </c>
      <c r="JJ44" s="10">
        <f t="shared" si="139"/>
        <v>0</v>
      </c>
      <c r="JK44" s="10">
        <f t="shared" si="140"/>
        <v>0</v>
      </c>
      <c r="JL44" s="10">
        <f t="shared" si="141"/>
        <v>0</v>
      </c>
      <c r="JM44" s="10">
        <f t="shared" si="142"/>
        <v>0</v>
      </c>
      <c r="JN44" s="10">
        <f t="shared" si="143"/>
        <v>0</v>
      </c>
      <c r="JO44" s="10">
        <f t="shared" si="144"/>
        <v>0</v>
      </c>
      <c r="JP44" s="10">
        <f t="shared" si="145"/>
        <v>0</v>
      </c>
      <c r="JQ44" s="10">
        <f t="shared" si="146"/>
        <v>0</v>
      </c>
      <c r="JR44" s="10">
        <f t="shared" si="147"/>
        <v>0</v>
      </c>
      <c r="JS44" s="10">
        <f t="shared" si="148"/>
        <v>0</v>
      </c>
      <c r="JT44" s="10">
        <f t="shared" si="149"/>
        <v>0</v>
      </c>
      <c r="JU44" s="10">
        <f t="shared" si="150"/>
        <v>0</v>
      </c>
      <c r="JV44" s="10">
        <f t="shared" si="151"/>
        <v>0</v>
      </c>
      <c r="JW44" s="10">
        <f t="shared" si="152"/>
        <v>0</v>
      </c>
      <c r="JX44" s="10">
        <f t="shared" si="153"/>
        <v>0</v>
      </c>
      <c r="JY44" s="10">
        <f t="shared" si="154"/>
        <v>0</v>
      </c>
      <c r="JZ44" s="10">
        <f t="shared" si="155"/>
        <v>0</v>
      </c>
      <c r="KA44" s="10">
        <f t="shared" si="156"/>
        <v>0</v>
      </c>
      <c r="KB44" s="10">
        <f t="shared" si="157"/>
        <v>3.6</v>
      </c>
      <c r="KC44" s="10">
        <f t="shared" si="158"/>
        <v>0</v>
      </c>
      <c r="KD44" s="10">
        <f t="shared" si="159"/>
        <v>0</v>
      </c>
      <c r="KE44" s="10">
        <f t="shared" si="160"/>
        <v>0</v>
      </c>
      <c r="KF44" s="10">
        <f t="shared" si="161"/>
        <v>0</v>
      </c>
      <c r="KG44" s="10">
        <f t="shared" si="162"/>
        <v>0</v>
      </c>
      <c r="KH44" s="10">
        <f t="shared" si="163"/>
        <v>0</v>
      </c>
      <c r="KI44" s="10">
        <f t="shared" si="164"/>
        <v>0</v>
      </c>
      <c r="KJ44" s="10">
        <f t="shared" si="165"/>
        <v>0</v>
      </c>
      <c r="KK44" s="10">
        <f t="shared" si="166"/>
        <v>0</v>
      </c>
      <c r="KL44" s="10">
        <f t="shared" si="167"/>
        <v>7.2</v>
      </c>
      <c r="KM44" s="10">
        <f t="shared" si="168"/>
        <v>0</v>
      </c>
      <c r="KN44" s="10">
        <f t="shared" si="169"/>
        <v>10.8</v>
      </c>
      <c r="KO44" s="10">
        <f t="shared" si="170"/>
        <v>0</v>
      </c>
      <c r="KP44" s="10">
        <f t="shared" si="171"/>
        <v>0</v>
      </c>
      <c r="KQ44" s="11">
        <v>269.99999999999994</v>
      </c>
      <c r="KR44" s="16"/>
      <c r="KS44" s="12">
        <v>6703.9859351646701</v>
      </c>
      <c r="KT44" s="26">
        <v>84</v>
      </c>
      <c r="KU44" s="26">
        <v>0.47619047619047616</v>
      </c>
      <c r="KV44" s="26">
        <v>0.95</v>
      </c>
      <c r="KW44" s="26">
        <v>-15.71</v>
      </c>
      <c r="KX44" s="26">
        <v>11.21</v>
      </c>
      <c r="KY44" s="27">
        <v>2.82</v>
      </c>
      <c r="KZ44" s="27">
        <v>3.29</v>
      </c>
      <c r="LA44" s="17"/>
      <c r="LB44" s="2">
        <v>5788</v>
      </c>
      <c r="LC44" s="1">
        <v>0</v>
      </c>
      <c r="LD44" s="1">
        <v>0</v>
      </c>
      <c r="LE44" s="1">
        <v>4</v>
      </c>
      <c r="LF44" s="1">
        <v>0</v>
      </c>
      <c r="LG44" s="1">
        <v>8</v>
      </c>
      <c r="LH44" s="1">
        <v>0</v>
      </c>
      <c r="LI44" s="1">
        <v>0</v>
      </c>
      <c r="LJ44" s="1">
        <v>0</v>
      </c>
      <c r="LK44" s="1">
        <v>0</v>
      </c>
      <c r="LL44" s="1">
        <v>4892</v>
      </c>
      <c r="LM44" s="1">
        <v>176</v>
      </c>
      <c r="LN44" s="1">
        <v>16</v>
      </c>
      <c r="LO44" s="1">
        <v>0</v>
      </c>
      <c r="LP44" s="1">
        <v>0</v>
      </c>
      <c r="LQ44" s="1">
        <v>0</v>
      </c>
      <c r="LR44" s="1">
        <v>0</v>
      </c>
      <c r="LS44" s="1">
        <v>4</v>
      </c>
      <c r="LT44" s="1">
        <v>328</v>
      </c>
      <c r="LU44" s="1">
        <v>0</v>
      </c>
      <c r="LV44" s="1">
        <v>0</v>
      </c>
      <c r="LW44" s="1">
        <v>56</v>
      </c>
      <c r="LX44" s="1">
        <v>0</v>
      </c>
      <c r="LY44" s="1">
        <v>144</v>
      </c>
      <c r="LZ44" s="1">
        <v>4</v>
      </c>
      <c r="MA44" s="1">
        <v>4</v>
      </c>
      <c r="MB44" s="1">
        <v>0</v>
      </c>
      <c r="MC44" s="1">
        <v>0</v>
      </c>
      <c r="MD44" s="1">
        <v>152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28"/>
      <c r="ML44" t="s">
        <v>860</v>
      </c>
      <c r="MM44" t="s">
        <v>287</v>
      </c>
      <c r="MN44" t="s">
        <v>320</v>
      </c>
      <c r="MO44" t="s">
        <v>337</v>
      </c>
      <c r="MP44" t="s">
        <v>338</v>
      </c>
      <c r="MQ44" t="s">
        <v>339</v>
      </c>
      <c r="MR44">
        <v>0.2</v>
      </c>
      <c r="MS44" t="s">
        <v>287</v>
      </c>
      <c r="MT44" t="s">
        <v>288</v>
      </c>
      <c r="MU44" t="s">
        <v>289</v>
      </c>
      <c r="MV44">
        <v>1075</v>
      </c>
      <c r="MW44" s="13">
        <v>433</v>
      </c>
      <c r="MX44" s="13" t="s">
        <v>290</v>
      </c>
      <c r="MY44" t="s">
        <v>240</v>
      </c>
      <c r="MZ44" t="s">
        <v>241</v>
      </c>
      <c r="NA44" t="s">
        <v>242</v>
      </c>
      <c r="NB44" t="s">
        <v>274</v>
      </c>
      <c r="ND44" s="18">
        <v>43281</v>
      </c>
      <c r="NE44" s="19">
        <v>5.5555555555555558E-3</v>
      </c>
      <c r="NF44" t="s">
        <v>244</v>
      </c>
      <c r="NG44" t="s">
        <v>245</v>
      </c>
      <c r="NH44" t="s">
        <v>246</v>
      </c>
      <c r="NI44">
        <v>92.5</v>
      </c>
      <c r="NJ44" t="s">
        <v>244</v>
      </c>
      <c r="NK44">
        <v>5</v>
      </c>
      <c r="NL44" t="s">
        <v>247</v>
      </c>
      <c r="NM44">
        <v>29.67417</v>
      </c>
      <c r="NN44">
        <v>-84.821529999999996</v>
      </c>
      <c r="NO44" t="s">
        <v>248</v>
      </c>
      <c r="NP44" t="s">
        <v>266</v>
      </c>
      <c r="NQ44">
        <v>12</v>
      </c>
      <c r="NR44" t="s">
        <v>247</v>
      </c>
      <c r="NS44" t="s">
        <v>244</v>
      </c>
      <c r="NT44">
        <v>982000410609806</v>
      </c>
      <c r="NU44" t="s">
        <v>244</v>
      </c>
      <c r="NV44" t="s">
        <v>247</v>
      </c>
      <c r="NW44" t="s">
        <v>288</v>
      </c>
      <c r="NX44" t="s">
        <v>289</v>
      </c>
      <c r="NY44">
        <v>95.8</v>
      </c>
      <c r="NZ44">
        <v>94.15</v>
      </c>
      <c r="OA44">
        <v>89.1</v>
      </c>
      <c r="OB44" s="14">
        <v>6703.9859351646701</v>
      </c>
      <c r="OC44" t="s">
        <v>248</v>
      </c>
      <c r="OD44" t="s">
        <v>247</v>
      </c>
      <c r="OE44" t="s">
        <v>248</v>
      </c>
      <c r="OF44" t="s">
        <v>291</v>
      </c>
      <c r="OG44" t="s">
        <v>247</v>
      </c>
      <c r="OH44">
        <v>28</v>
      </c>
      <c r="OI44" t="s">
        <v>288</v>
      </c>
      <c r="OJ44" t="s">
        <v>292</v>
      </c>
      <c r="OK44">
        <v>84</v>
      </c>
      <c r="OL44">
        <v>0.47619047619047616</v>
      </c>
      <c r="OM44">
        <v>0.95</v>
      </c>
      <c r="ON44">
        <v>-15.71</v>
      </c>
      <c r="OO44">
        <v>11.21</v>
      </c>
      <c r="OP44" s="25">
        <v>2.82</v>
      </c>
      <c r="OQ44" s="25">
        <v>3.29</v>
      </c>
      <c r="OR44" t="s">
        <v>911</v>
      </c>
      <c r="OS44" t="s">
        <v>910</v>
      </c>
    </row>
    <row r="45" spans="1:409" x14ac:dyDescent="0.25">
      <c r="A45">
        <v>44</v>
      </c>
      <c r="B45" s="1">
        <v>13</v>
      </c>
      <c r="C45" s="1">
        <v>21</v>
      </c>
      <c r="D45" s="1">
        <v>0</v>
      </c>
      <c r="E45" s="1">
        <v>3</v>
      </c>
      <c r="F45" s="1">
        <v>189</v>
      </c>
      <c r="G45" s="1">
        <v>35</v>
      </c>
      <c r="H45" s="1">
        <v>5</v>
      </c>
      <c r="I45" s="1">
        <v>0</v>
      </c>
      <c r="J45" s="1">
        <v>0</v>
      </c>
      <c r="K45" s="1">
        <v>0</v>
      </c>
      <c r="L45" s="1">
        <v>6</v>
      </c>
      <c r="M45" s="1">
        <v>0</v>
      </c>
      <c r="N45" s="1">
        <v>30</v>
      </c>
      <c r="O45" s="1">
        <v>0</v>
      </c>
      <c r="P45" s="1">
        <v>0</v>
      </c>
      <c r="Q45" s="1">
        <v>4</v>
      </c>
      <c r="R45" s="1">
        <v>0</v>
      </c>
      <c r="S45" s="1">
        <v>0</v>
      </c>
      <c r="T45" s="1">
        <v>2</v>
      </c>
      <c r="U45" s="1">
        <v>0</v>
      </c>
      <c r="V45" s="1">
        <v>0</v>
      </c>
      <c r="W45" s="1">
        <v>0</v>
      </c>
      <c r="X45" s="2">
        <v>308</v>
      </c>
      <c r="Y45" s="3"/>
      <c r="Z45" s="15">
        <f t="shared" si="172"/>
        <v>0.46673003839265509</v>
      </c>
      <c r="AA45" s="15">
        <f t="shared" si="173"/>
        <v>0.75394852355736597</v>
      </c>
      <c r="AB45" s="15">
        <f t="shared" si="174"/>
        <v>0</v>
      </c>
      <c r="AC45" s="15">
        <f t="shared" si="175"/>
        <v>0.10770693193676656</v>
      </c>
      <c r="AD45" s="15">
        <f t="shared" si="176"/>
        <v>6.7855367120162935</v>
      </c>
      <c r="AE45" s="15">
        <f t="shared" si="177"/>
        <v>1.2565808725956098</v>
      </c>
      <c r="AF45" s="15">
        <f t="shared" si="178"/>
        <v>0.17951155322794426</v>
      </c>
      <c r="AG45" s="15">
        <f t="shared" si="179"/>
        <v>0</v>
      </c>
      <c r="AH45" s="15">
        <f t="shared" si="180"/>
        <v>0</v>
      </c>
      <c r="AI45" s="15">
        <f t="shared" si="181"/>
        <v>0</v>
      </c>
      <c r="AJ45" s="15">
        <f t="shared" si="182"/>
        <v>0.21541386387353312</v>
      </c>
      <c r="AK45" s="15">
        <f t="shared" si="183"/>
        <v>0</v>
      </c>
      <c r="AL45" s="15">
        <f t="shared" si="184"/>
        <v>1.0770693193676655</v>
      </c>
      <c r="AM45" s="15">
        <f t="shared" si="185"/>
        <v>0</v>
      </c>
      <c r="AN45" s="15">
        <f t="shared" si="186"/>
        <v>0</v>
      </c>
      <c r="AO45" s="15">
        <f t="shared" si="187"/>
        <v>0.14360924258235541</v>
      </c>
      <c r="AP45" s="15">
        <f t="shared" si="188"/>
        <v>0</v>
      </c>
      <c r="AQ45" s="15">
        <f t="shared" si="189"/>
        <v>0</v>
      </c>
      <c r="AR45" s="15">
        <f t="shared" si="190"/>
        <v>7.1804621291177706E-2</v>
      </c>
      <c r="AS45" s="15">
        <f t="shared" si="191"/>
        <v>0</v>
      </c>
      <c r="AT45" s="15">
        <f t="shared" si="192"/>
        <v>0</v>
      </c>
      <c r="AU45" s="15">
        <f t="shared" si="193"/>
        <v>0</v>
      </c>
      <c r="AV45" s="5">
        <f t="shared" si="194"/>
        <v>11.057911678841366</v>
      </c>
      <c r="AW45" s="16"/>
      <c r="AX45" s="6">
        <v>260</v>
      </c>
      <c r="AY45" s="6">
        <v>420</v>
      </c>
      <c r="AZ45" s="6">
        <v>0</v>
      </c>
      <c r="BA45" s="6">
        <v>60</v>
      </c>
      <c r="BB45" s="6">
        <v>3780</v>
      </c>
      <c r="BC45" s="6">
        <v>700</v>
      </c>
      <c r="BD45" s="6">
        <v>100</v>
      </c>
      <c r="BE45" s="6">
        <v>0</v>
      </c>
      <c r="BF45" s="6">
        <v>0</v>
      </c>
      <c r="BG45" s="6">
        <v>0</v>
      </c>
      <c r="BH45" s="6">
        <v>120</v>
      </c>
      <c r="BI45" s="6">
        <v>0</v>
      </c>
      <c r="BJ45" s="6">
        <v>600</v>
      </c>
      <c r="BK45" s="6">
        <v>0</v>
      </c>
      <c r="BL45" s="6">
        <v>0</v>
      </c>
      <c r="BM45" s="6">
        <v>80</v>
      </c>
      <c r="BN45" s="6">
        <v>0</v>
      </c>
      <c r="BO45" s="6">
        <v>0</v>
      </c>
      <c r="BP45" s="6">
        <v>40</v>
      </c>
      <c r="BQ45" s="6">
        <v>0</v>
      </c>
      <c r="BR45" s="6">
        <v>0</v>
      </c>
      <c r="BS45" s="6">
        <v>0</v>
      </c>
      <c r="BT45" s="7">
        <v>6160</v>
      </c>
      <c r="BU45" s="16"/>
      <c r="BV45" s="8">
        <v>0</v>
      </c>
      <c r="BW45" s="8">
        <v>1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1</v>
      </c>
      <c r="CG45" s="8">
        <v>0</v>
      </c>
      <c r="CH45" s="8">
        <v>2</v>
      </c>
      <c r="CI45" s="8">
        <v>0</v>
      </c>
      <c r="CJ45" s="8">
        <v>1</v>
      </c>
      <c r="CK45" s="8">
        <v>1</v>
      </c>
      <c r="CL45" s="8">
        <v>0</v>
      </c>
      <c r="CM45" s="8">
        <v>1</v>
      </c>
      <c r="CN45" s="8">
        <v>17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2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1</v>
      </c>
      <c r="EG45" s="8">
        <v>0</v>
      </c>
      <c r="EH45" s="8">
        <v>0</v>
      </c>
      <c r="EI45" s="8">
        <v>0</v>
      </c>
      <c r="EJ45" s="8">
        <v>0</v>
      </c>
      <c r="EK45" s="8">
        <v>1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1</v>
      </c>
      <c r="FJ45" s="8">
        <v>0</v>
      </c>
      <c r="FK45" s="8">
        <v>0</v>
      </c>
      <c r="FL45" s="8">
        <v>0</v>
      </c>
      <c r="FM45" s="8">
        <v>3</v>
      </c>
      <c r="FN45" s="8">
        <v>0</v>
      </c>
      <c r="FO45" s="8">
        <v>0</v>
      </c>
      <c r="FP45" s="8">
        <v>0</v>
      </c>
      <c r="FQ45" s="8">
        <v>1</v>
      </c>
      <c r="FR45" s="8">
        <v>0</v>
      </c>
      <c r="FS45" s="8">
        <v>0</v>
      </c>
      <c r="FT45" s="8">
        <v>0</v>
      </c>
      <c r="FU45" s="8">
        <v>2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1</v>
      </c>
      <c r="GB45" s="8">
        <v>0</v>
      </c>
      <c r="GC45" s="8">
        <v>0</v>
      </c>
      <c r="GD45" s="8">
        <v>0</v>
      </c>
      <c r="GE45" s="8">
        <v>0</v>
      </c>
      <c r="GF45" s="9">
        <v>36</v>
      </c>
      <c r="GG45" s="3"/>
      <c r="GH45" s="10">
        <f t="shared" si="60"/>
        <v>0</v>
      </c>
      <c r="GI45" s="10">
        <f t="shared" si="61"/>
        <v>7.2222222222222214</v>
      </c>
      <c r="GJ45" s="10">
        <f t="shared" si="62"/>
        <v>0</v>
      </c>
      <c r="GK45" s="10">
        <f t="shared" si="63"/>
        <v>0</v>
      </c>
      <c r="GL45" s="10">
        <f t="shared" si="64"/>
        <v>0</v>
      </c>
      <c r="GM45" s="10">
        <f t="shared" si="65"/>
        <v>0</v>
      </c>
      <c r="GN45" s="10">
        <f t="shared" si="66"/>
        <v>0</v>
      </c>
      <c r="GO45" s="10">
        <f t="shared" si="67"/>
        <v>0</v>
      </c>
      <c r="GP45" s="10">
        <f t="shared" si="68"/>
        <v>0</v>
      </c>
      <c r="GQ45" s="10">
        <f t="shared" si="69"/>
        <v>0</v>
      </c>
      <c r="GR45" s="10">
        <f t="shared" si="70"/>
        <v>7.2222222222222214</v>
      </c>
      <c r="GS45" s="10">
        <f t="shared" si="71"/>
        <v>0</v>
      </c>
      <c r="GT45" s="10">
        <f t="shared" si="72"/>
        <v>14.444444444444443</v>
      </c>
      <c r="GU45" s="10">
        <f t="shared" si="73"/>
        <v>0</v>
      </c>
      <c r="GV45" s="10">
        <f t="shared" si="74"/>
        <v>7.2222222222222214</v>
      </c>
      <c r="GW45" s="10">
        <f t="shared" si="75"/>
        <v>7.2222222222222214</v>
      </c>
      <c r="GX45" s="10">
        <f t="shared" si="76"/>
        <v>0</v>
      </c>
      <c r="GY45" s="10">
        <f t="shared" si="77"/>
        <v>7.2222222222222214</v>
      </c>
      <c r="GZ45" s="10">
        <f t="shared" si="78"/>
        <v>122.77777777777777</v>
      </c>
      <c r="HA45" s="10">
        <f t="shared" si="79"/>
        <v>0</v>
      </c>
      <c r="HB45" s="10">
        <f t="shared" si="80"/>
        <v>0</v>
      </c>
      <c r="HC45" s="10">
        <f t="shared" si="81"/>
        <v>0</v>
      </c>
      <c r="HD45" s="10">
        <f t="shared" si="82"/>
        <v>0</v>
      </c>
      <c r="HE45" s="10">
        <f t="shared" si="83"/>
        <v>0</v>
      </c>
      <c r="HF45" s="10">
        <f t="shared" si="84"/>
        <v>0</v>
      </c>
      <c r="HG45" s="10">
        <f t="shared" si="85"/>
        <v>0</v>
      </c>
      <c r="HH45" s="10">
        <f t="shared" si="86"/>
        <v>0</v>
      </c>
      <c r="HI45" s="10">
        <f t="shared" si="87"/>
        <v>0</v>
      </c>
      <c r="HJ45" s="10">
        <f t="shared" si="88"/>
        <v>0</v>
      </c>
      <c r="HK45" s="10">
        <f t="shared" si="89"/>
        <v>0</v>
      </c>
      <c r="HL45" s="10">
        <f t="shared" si="90"/>
        <v>0</v>
      </c>
      <c r="HM45" s="10">
        <f t="shared" si="91"/>
        <v>0</v>
      </c>
      <c r="HN45" s="10">
        <f t="shared" si="92"/>
        <v>0</v>
      </c>
      <c r="HO45" s="10">
        <f t="shared" si="93"/>
        <v>0</v>
      </c>
      <c r="HP45" s="10">
        <f t="shared" si="94"/>
        <v>0</v>
      </c>
      <c r="HQ45" s="10">
        <f t="shared" si="95"/>
        <v>0</v>
      </c>
      <c r="HR45" s="10">
        <f t="shared" si="96"/>
        <v>0</v>
      </c>
      <c r="HS45" s="10">
        <f t="shared" si="97"/>
        <v>0</v>
      </c>
      <c r="HT45" s="10">
        <f t="shared" si="98"/>
        <v>0</v>
      </c>
      <c r="HU45" s="10">
        <f t="shared" si="99"/>
        <v>0</v>
      </c>
      <c r="HV45" s="10">
        <f t="shared" si="100"/>
        <v>0</v>
      </c>
      <c r="HW45" s="10">
        <f t="shared" si="101"/>
        <v>0</v>
      </c>
      <c r="HX45" s="10">
        <f t="shared" si="102"/>
        <v>0</v>
      </c>
      <c r="HY45" s="10">
        <f t="shared" si="103"/>
        <v>0</v>
      </c>
      <c r="HZ45" s="10">
        <f t="shared" si="104"/>
        <v>0</v>
      </c>
      <c r="IA45" s="10">
        <f t="shared" si="105"/>
        <v>0</v>
      </c>
      <c r="IB45" s="10">
        <f t="shared" si="106"/>
        <v>0</v>
      </c>
      <c r="IC45" s="10">
        <f t="shared" si="107"/>
        <v>0</v>
      </c>
      <c r="ID45" s="10">
        <f t="shared" si="108"/>
        <v>0</v>
      </c>
      <c r="IE45" s="10">
        <f t="shared" si="109"/>
        <v>14.444444444444443</v>
      </c>
      <c r="IF45" s="10">
        <f t="shared" si="110"/>
        <v>0</v>
      </c>
      <c r="IG45" s="10">
        <f t="shared" si="111"/>
        <v>0</v>
      </c>
      <c r="IH45" s="10">
        <f t="shared" si="112"/>
        <v>0</v>
      </c>
      <c r="II45" s="10">
        <f t="shared" si="113"/>
        <v>0</v>
      </c>
      <c r="IJ45" s="10">
        <f t="shared" si="114"/>
        <v>0</v>
      </c>
      <c r="IK45" s="10">
        <f t="shared" si="115"/>
        <v>0</v>
      </c>
      <c r="IL45" s="10">
        <f t="shared" si="116"/>
        <v>0</v>
      </c>
      <c r="IM45" s="10">
        <f t="shared" si="117"/>
        <v>0</v>
      </c>
      <c r="IN45" s="10">
        <f t="shared" si="118"/>
        <v>0</v>
      </c>
      <c r="IO45" s="10">
        <f t="shared" si="119"/>
        <v>0</v>
      </c>
      <c r="IP45" s="10">
        <f t="shared" si="120"/>
        <v>0</v>
      </c>
      <c r="IQ45" s="10">
        <f t="shared" si="121"/>
        <v>0</v>
      </c>
      <c r="IR45" s="10">
        <f t="shared" si="122"/>
        <v>7.2222222222222214</v>
      </c>
      <c r="IS45" s="10">
        <f t="shared" si="123"/>
        <v>0</v>
      </c>
      <c r="IT45" s="10">
        <f t="shared" si="124"/>
        <v>0</v>
      </c>
      <c r="IU45" s="10">
        <f t="shared" si="125"/>
        <v>0</v>
      </c>
      <c r="IV45" s="10">
        <f t="shared" si="126"/>
        <v>0</v>
      </c>
      <c r="IW45" s="10">
        <f t="shared" si="127"/>
        <v>7.2222222222222214</v>
      </c>
      <c r="IX45" s="10">
        <f t="shared" si="128"/>
        <v>0</v>
      </c>
      <c r="IY45" s="10">
        <f t="shared" si="129"/>
        <v>0</v>
      </c>
      <c r="IZ45" s="10">
        <f t="shared" si="130"/>
        <v>0</v>
      </c>
      <c r="JA45" s="10">
        <f t="shared" si="131"/>
        <v>0</v>
      </c>
      <c r="JB45" s="10">
        <f t="shared" si="132"/>
        <v>0</v>
      </c>
      <c r="JC45" s="10">
        <f t="shared" si="133"/>
        <v>0</v>
      </c>
      <c r="JD45" s="10">
        <f t="shared" si="134"/>
        <v>0</v>
      </c>
      <c r="JE45" s="10">
        <f t="shared" si="135"/>
        <v>0</v>
      </c>
      <c r="JF45" s="10">
        <f t="shared" si="136"/>
        <v>0</v>
      </c>
      <c r="JG45" s="10">
        <v>0</v>
      </c>
      <c r="JH45" s="10">
        <f t="shared" si="137"/>
        <v>0</v>
      </c>
      <c r="JI45" s="10">
        <f t="shared" si="138"/>
        <v>0</v>
      </c>
      <c r="JJ45" s="10">
        <f t="shared" si="139"/>
        <v>0</v>
      </c>
      <c r="JK45" s="10">
        <f t="shared" si="140"/>
        <v>0</v>
      </c>
      <c r="JL45" s="10">
        <f t="shared" si="141"/>
        <v>0</v>
      </c>
      <c r="JM45" s="10">
        <f t="shared" si="142"/>
        <v>0</v>
      </c>
      <c r="JN45" s="10">
        <f t="shared" si="143"/>
        <v>0</v>
      </c>
      <c r="JO45" s="10">
        <f t="shared" si="144"/>
        <v>0</v>
      </c>
      <c r="JP45" s="10">
        <f t="shared" si="145"/>
        <v>0</v>
      </c>
      <c r="JQ45" s="10">
        <f t="shared" si="146"/>
        <v>0</v>
      </c>
      <c r="JR45" s="10">
        <f t="shared" si="147"/>
        <v>0</v>
      </c>
      <c r="JS45" s="10">
        <f t="shared" si="148"/>
        <v>0</v>
      </c>
      <c r="JT45" s="10">
        <f t="shared" si="149"/>
        <v>7.2222222222222214</v>
      </c>
      <c r="JU45" s="10">
        <f t="shared" si="150"/>
        <v>0</v>
      </c>
      <c r="JV45" s="10">
        <f t="shared" si="151"/>
        <v>0</v>
      </c>
      <c r="JW45" s="10">
        <f t="shared" si="152"/>
        <v>0</v>
      </c>
      <c r="JX45" s="10">
        <f t="shared" si="153"/>
        <v>21.666666666666664</v>
      </c>
      <c r="JY45" s="10">
        <f t="shared" si="154"/>
        <v>0</v>
      </c>
      <c r="JZ45" s="10">
        <f t="shared" si="155"/>
        <v>0</v>
      </c>
      <c r="KA45" s="10">
        <f t="shared" si="156"/>
        <v>0</v>
      </c>
      <c r="KB45" s="10">
        <f t="shared" si="157"/>
        <v>7.2222222222222214</v>
      </c>
      <c r="KC45" s="10">
        <f t="shared" si="158"/>
        <v>0</v>
      </c>
      <c r="KD45" s="10">
        <f t="shared" si="159"/>
        <v>0</v>
      </c>
      <c r="KE45" s="10">
        <f t="shared" si="160"/>
        <v>0</v>
      </c>
      <c r="KF45" s="10">
        <f t="shared" si="161"/>
        <v>14.444444444444443</v>
      </c>
      <c r="KG45" s="10">
        <f t="shared" si="162"/>
        <v>0</v>
      </c>
      <c r="KH45" s="10">
        <f t="shared" si="163"/>
        <v>0</v>
      </c>
      <c r="KI45" s="10">
        <f t="shared" si="164"/>
        <v>0</v>
      </c>
      <c r="KJ45" s="10">
        <f t="shared" si="165"/>
        <v>0</v>
      </c>
      <c r="KK45" s="10">
        <f t="shared" si="166"/>
        <v>0</v>
      </c>
      <c r="KL45" s="10">
        <f t="shared" si="167"/>
        <v>7.2222222222222214</v>
      </c>
      <c r="KM45" s="10">
        <f t="shared" si="168"/>
        <v>0</v>
      </c>
      <c r="KN45" s="10">
        <f t="shared" si="169"/>
        <v>0</v>
      </c>
      <c r="KO45" s="10">
        <f t="shared" si="170"/>
        <v>0</v>
      </c>
      <c r="KP45" s="10">
        <f t="shared" si="171"/>
        <v>0</v>
      </c>
      <c r="KQ45" s="11">
        <v>260</v>
      </c>
      <c r="KR45" s="16"/>
      <c r="KS45" s="12">
        <v>5570.6720933454199</v>
      </c>
      <c r="KT45" s="26">
        <v>96</v>
      </c>
      <c r="KU45" s="26">
        <v>0.96875</v>
      </c>
      <c r="KV45" s="26">
        <v>1</v>
      </c>
      <c r="KW45" s="26">
        <v>-14.26</v>
      </c>
      <c r="KX45" s="26">
        <v>11.35</v>
      </c>
      <c r="KY45" s="27">
        <v>2.9044732240354989</v>
      </c>
      <c r="KZ45" s="27">
        <v>3.388149031535165</v>
      </c>
      <c r="LA45" s="17"/>
      <c r="LB45" s="2">
        <v>242</v>
      </c>
      <c r="LC45" s="1">
        <v>0</v>
      </c>
      <c r="LD45" s="1">
        <v>0</v>
      </c>
      <c r="LE45" s="1">
        <v>0</v>
      </c>
      <c r="LF45" s="1">
        <v>0</v>
      </c>
      <c r="LG45" s="1">
        <v>4</v>
      </c>
      <c r="LH45" s="1">
        <v>0</v>
      </c>
      <c r="LI45" s="1">
        <v>0</v>
      </c>
      <c r="LJ45" s="1">
        <v>0</v>
      </c>
      <c r="LK45" s="1">
        <v>0</v>
      </c>
      <c r="LL45" s="1">
        <v>202</v>
      </c>
      <c r="LM45" s="1">
        <v>10</v>
      </c>
      <c r="LN45" s="1">
        <v>4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20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2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28"/>
      <c r="ML45" t="s">
        <v>861</v>
      </c>
      <c r="MM45" t="s">
        <v>364</v>
      </c>
      <c r="MN45" t="s">
        <v>320</v>
      </c>
      <c r="MO45" t="s">
        <v>321</v>
      </c>
      <c r="MP45" t="s">
        <v>322</v>
      </c>
      <c r="MQ45" t="s">
        <v>323</v>
      </c>
      <c r="MR45">
        <v>0.05</v>
      </c>
      <c r="MS45" t="s">
        <v>365</v>
      </c>
      <c r="MT45" t="s">
        <v>366</v>
      </c>
      <c r="MU45" t="s">
        <v>367</v>
      </c>
      <c r="MV45">
        <v>6160</v>
      </c>
      <c r="MW45" s="13">
        <v>382</v>
      </c>
      <c r="MX45" s="13" t="s">
        <v>368</v>
      </c>
      <c r="MY45" t="s">
        <v>240</v>
      </c>
      <c r="MZ45" t="s">
        <v>241</v>
      </c>
      <c r="NA45" t="s">
        <v>242</v>
      </c>
      <c r="NB45" t="s">
        <v>328</v>
      </c>
      <c r="ND45" s="18">
        <v>43271</v>
      </c>
      <c r="NE45" s="19">
        <v>0.90555555555555556</v>
      </c>
      <c r="NF45" t="s">
        <v>369</v>
      </c>
      <c r="NG45" t="s">
        <v>245</v>
      </c>
      <c r="NH45" t="s">
        <v>246</v>
      </c>
      <c r="NI45">
        <v>87</v>
      </c>
      <c r="NJ45" t="s">
        <v>244</v>
      </c>
      <c r="NK45">
        <v>4</v>
      </c>
      <c r="NL45" t="s">
        <v>247</v>
      </c>
      <c r="NM45">
        <v>29.652640000000002</v>
      </c>
      <c r="NN45">
        <v>-84.883529999999993</v>
      </c>
      <c r="NO45" t="s">
        <v>248</v>
      </c>
      <c r="NP45" t="s">
        <v>249</v>
      </c>
      <c r="NQ45">
        <v>12</v>
      </c>
      <c r="NR45" t="s">
        <v>247</v>
      </c>
      <c r="NS45" t="s">
        <v>370</v>
      </c>
      <c r="NT45" t="s">
        <v>244</v>
      </c>
      <c r="NU45" t="s">
        <v>244</v>
      </c>
      <c r="NV45" t="s">
        <v>248</v>
      </c>
      <c r="NW45" t="s">
        <v>366</v>
      </c>
      <c r="NX45" t="s">
        <v>367</v>
      </c>
      <c r="NY45">
        <v>88</v>
      </c>
      <c r="NZ45">
        <v>87.4</v>
      </c>
      <c r="OA45">
        <v>80.599999999999994</v>
      </c>
      <c r="OB45" s="14">
        <v>5570.6720933454199</v>
      </c>
      <c r="OC45" t="s">
        <v>248</v>
      </c>
      <c r="OD45" t="s">
        <v>247</v>
      </c>
      <c r="OE45" t="s">
        <v>371</v>
      </c>
      <c r="OF45" t="s">
        <v>372</v>
      </c>
      <c r="OG45" t="s">
        <v>247</v>
      </c>
      <c r="OH45">
        <v>36</v>
      </c>
      <c r="OI45" t="s">
        <v>366</v>
      </c>
      <c r="OJ45" t="s">
        <v>373</v>
      </c>
      <c r="OK45">
        <v>96</v>
      </c>
      <c r="OL45">
        <v>0.96875</v>
      </c>
      <c r="OM45">
        <v>1</v>
      </c>
      <c r="ON45">
        <v>-14.26</v>
      </c>
      <c r="OO45">
        <v>11.35</v>
      </c>
      <c r="OP45" s="25">
        <v>2.9044732240354989</v>
      </c>
      <c r="OQ45" s="25">
        <v>3.388149031535165</v>
      </c>
      <c r="OR45" t="s">
        <v>911</v>
      </c>
      <c r="OS45" t="s">
        <v>910</v>
      </c>
    </row>
    <row r="46" spans="1:409" x14ac:dyDescent="0.25">
      <c r="A46">
        <v>45</v>
      </c>
      <c r="B46" s="1">
        <v>205</v>
      </c>
      <c r="C46" s="1">
        <v>28</v>
      </c>
      <c r="D46" s="1">
        <v>6</v>
      </c>
      <c r="E46" s="1">
        <v>0</v>
      </c>
      <c r="F46" s="1">
        <v>118</v>
      </c>
      <c r="G46" s="1">
        <v>28</v>
      </c>
      <c r="H46" s="1">
        <v>0</v>
      </c>
      <c r="I46" s="1">
        <v>2</v>
      </c>
      <c r="J46" s="1">
        <v>1</v>
      </c>
      <c r="K46" s="1">
        <v>1</v>
      </c>
      <c r="L46" s="1">
        <v>0</v>
      </c>
      <c r="M46" s="1">
        <v>0</v>
      </c>
      <c r="N46" s="1">
        <v>24</v>
      </c>
      <c r="O46" s="1">
        <v>0</v>
      </c>
      <c r="P46" s="1">
        <v>0</v>
      </c>
      <c r="Q46" s="1">
        <v>2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2">
        <v>415</v>
      </c>
      <c r="Y46" s="3"/>
      <c r="Z46" s="15">
        <f t="shared" si="172"/>
        <v>7.3599736823457143</v>
      </c>
      <c r="AA46" s="15">
        <f t="shared" si="173"/>
        <v>1.0052646980764879</v>
      </c>
      <c r="AB46" s="15">
        <f t="shared" si="174"/>
        <v>0.21541386387353312</v>
      </c>
      <c r="AC46" s="15">
        <f t="shared" si="175"/>
        <v>0</v>
      </c>
      <c r="AD46" s="15">
        <f t="shared" si="176"/>
        <v>4.236472656179485</v>
      </c>
      <c r="AE46" s="15">
        <f t="shared" si="177"/>
        <v>1.0052646980764879</v>
      </c>
      <c r="AF46" s="15">
        <f t="shared" si="178"/>
        <v>0</v>
      </c>
      <c r="AG46" s="15">
        <f t="shared" si="179"/>
        <v>7.1804621291177706E-2</v>
      </c>
      <c r="AH46" s="15">
        <f t="shared" si="180"/>
        <v>3.5902310645588853E-2</v>
      </c>
      <c r="AI46" s="15">
        <f t="shared" si="181"/>
        <v>3.5902310645588853E-2</v>
      </c>
      <c r="AJ46" s="15">
        <f t="shared" si="182"/>
        <v>0</v>
      </c>
      <c r="AK46" s="15">
        <f t="shared" si="183"/>
        <v>0</v>
      </c>
      <c r="AL46" s="15">
        <f t="shared" si="184"/>
        <v>0.86165545549413247</v>
      </c>
      <c r="AM46" s="15">
        <f t="shared" si="185"/>
        <v>0</v>
      </c>
      <c r="AN46" s="15">
        <f t="shared" si="186"/>
        <v>0</v>
      </c>
      <c r="AO46" s="15">
        <f t="shared" si="187"/>
        <v>7.1804621291177706E-2</v>
      </c>
      <c r="AP46" s="15">
        <f t="shared" si="188"/>
        <v>0</v>
      </c>
      <c r="AQ46" s="15">
        <f t="shared" si="189"/>
        <v>0</v>
      </c>
      <c r="AR46" s="15">
        <f t="shared" si="190"/>
        <v>0</v>
      </c>
      <c r="AS46" s="15">
        <f t="shared" si="191"/>
        <v>0</v>
      </c>
      <c r="AT46" s="15">
        <f t="shared" si="192"/>
        <v>0</v>
      </c>
      <c r="AU46" s="15">
        <f t="shared" si="193"/>
        <v>0</v>
      </c>
      <c r="AV46" s="5">
        <f t="shared" si="194"/>
        <v>14.899458917919372</v>
      </c>
      <c r="AW46" s="16"/>
      <c r="AX46" s="6">
        <v>4100</v>
      </c>
      <c r="AY46" s="6">
        <v>560</v>
      </c>
      <c r="AZ46" s="6">
        <v>120</v>
      </c>
      <c r="BA46" s="6">
        <v>0</v>
      </c>
      <c r="BB46" s="6">
        <v>2360</v>
      </c>
      <c r="BC46" s="6">
        <v>560</v>
      </c>
      <c r="BD46" s="6">
        <v>0</v>
      </c>
      <c r="BE46" s="6">
        <v>40</v>
      </c>
      <c r="BF46" s="6">
        <v>20</v>
      </c>
      <c r="BG46" s="6">
        <v>20</v>
      </c>
      <c r="BH46" s="6">
        <v>0</v>
      </c>
      <c r="BI46" s="6">
        <v>0</v>
      </c>
      <c r="BJ46" s="6">
        <v>480</v>
      </c>
      <c r="BK46" s="6">
        <v>0</v>
      </c>
      <c r="BL46" s="6">
        <v>0</v>
      </c>
      <c r="BM46" s="6">
        <v>40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7">
        <v>8300</v>
      </c>
      <c r="BU46" s="16"/>
      <c r="BV46" s="8">
        <v>0</v>
      </c>
      <c r="BW46" s="8">
        <v>3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1</v>
      </c>
      <c r="CD46" s="8">
        <v>0</v>
      </c>
      <c r="CE46" s="8">
        <v>0</v>
      </c>
      <c r="CF46" s="8">
        <v>1</v>
      </c>
      <c r="CG46" s="8">
        <v>0</v>
      </c>
      <c r="CH46" s="8">
        <v>0</v>
      </c>
      <c r="CI46" s="8">
        <v>0</v>
      </c>
      <c r="CJ46" s="8">
        <v>2</v>
      </c>
      <c r="CK46" s="8">
        <v>0</v>
      </c>
      <c r="CL46" s="8">
        <v>1</v>
      </c>
      <c r="CM46" s="8">
        <v>0</v>
      </c>
      <c r="CN46" s="8">
        <v>55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3</v>
      </c>
      <c r="CZ46" s="8">
        <v>0</v>
      </c>
      <c r="DA46" s="8">
        <v>0</v>
      </c>
      <c r="DB46" s="8">
        <v>1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1</v>
      </c>
      <c r="DJ46" s="8">
        <v>1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1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1</v>
      </c>
      <c r="EB46" s="8">
        <v>1</v>
      </c>
      <c r="EC46" s="8">
        <v>1</v>
      </c>
      <c r="ED46" s="8">
        <v>0</v>
      </c>
      <c r="EE46" s="8">
        <v>0</v>
      </c>
      <c r="EF46" s="8">
        <v>5</v>
      </c>
      <c r="EG46" s="8">
        <v>0</v>
      </c>
      <c r="EH46" s="8">
        <v>0</v>
      </c>
      <c r="EI46" s="8">
        <v>1</v>
      </c>
      <c r="EJ46" s="8">
        <v>0</v>
      </c>
      <c r="EK46" s="8">
        <v>2</v>
      </c>
      <c r="EL46" s="8">
        <v>0</v>
      </c>
      <c r="EM46" s="8">
        <v>0</v>
      </c>
      <c r="EN46" s="8">
        <v>0</v>
      </c>
      <c r="EO46" s="8">
        <v>0</v>
      </c>
      <c r="EP46" s="8">
        <v>2</v>
      </c>
      <c r="EQ46" s="8">
        <v>0</v>
      </c>
      <c r="ER46" s="8">
        <v>0</v>
      </c>
      <c r="ES46" s="8">
        <v>2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1</v>
      </c>
      <c r="FB46" s="8">
        <v>0</v>
      </c>
      <c r="FC46" s="8">
        <v>1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8</v>
      </c>
      <c r="FN46" s="8">
        <v>0</v>
      </c>
      <c r="FO46" s="8">
        <v>0</v>
      </c>
      <c r="FP46" s="8">
        <v>0</v>
      </c>
      <c r="FQ46" s="8">
        <v>3</v>
      </c>
      <c r="FR46" s="8">
        <v>2</v>
      </c>
      <c r="FS46" s="8">
        <v>0</v>
      </c>
      <c r="FT46" s="8">
        <v>0</v>
      </c>
      <c r="FU46" s="8">
        <v>3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1</v>
      </c>
      <c r="GB46" s="8">
        <v>0</v>
      </c>
      <c r="GC46" s="8">
        <v>1</v>
      </c>
      <c r="GD46" s="8">
        <v>1</v>
      </c>
      <c r="GE46" s="8">
        <v>0</v>
      </c>
      <c r="GF46" s="9">
        <v>106</v>
      </c>
      <c r="GG46" s="3"/>
      <c r="GH46" s="10">
        <f t="shared" si="60"/>
        <v>0</v>
      </c>
      <c r="GI46" s="10">
        <f t="shared" si="61"/>
        <v>116.0377358490566</v>
      </c>
      <c r="GJ46" s="10">
        <f t="shared" si="62"/>
        <v>0</v>
      </c>
      <c r="GK46" s="10">
        <f t="shared" si="63"/>
        <v>0</v>
      </c>
      <c r="GL46" s="10">
        <f t="shared" si="64"/>
        <v>0</v>
      </c>
      <c r="GM46" s="10">
        <f t="shared" si="65"/>
        <v>0</v>
      </c>
      <c r="GN46" s="10">
        <f t="shared" si="66"/>
        <v>0</v>
      </c>
      <c r="GO46" s="10">
        <f t="shared" si="67"/>
        <v>38.679245283018865</v>
      </c>
      <c r="GP46" s="10">
        <f t="shared" si="68"/>
        <v>0</v>
      </c>
      <c r="GQ46" s="10">
        <f t="shared" si="69"/>
        <v>0</v>
      </c>
      <c r="GR46" s="10">
        <f t="shared" si="70"/>
        <v>38.679245283018865</v>
      </c>
      <c r="GS46" s="10">
        <f t="shared" si="71"/>
        <v>0</v>
      </c>
      <c r="GT46" s="10">
        <f t="shared" si="72"/>
        <v>0</v>
      </c>
      <c r="GU46" s="10">
        <f t="shared" si="73"/>
        <v>0</v>
      </c>
      <c r="GV46" s="10">
        <f t="shared" si="74"/>
        <v>77.35849056603773</v>
      </c>
      <c r="GW46" s="10">
        <f t="shared" si="75"/>
        <v>0</v>
      </c>
      <c r="GX46" s="10">
        <f t="shared" si="76"/>
        <v>38.679245283018865</v>
      </c>
      <c r="GY46" s="10">
        <f t="shared" si="77"/>
        <v>0</v>
      </c>
      <c r="GZ46" s="10">
        <f t="shared" si="78"/>
        <v>2127.3584905660377</v>
      </c>
      <c r="HA46" s="10">
        <f t="shared" si="79"/>
        <v>0</v>
      </c>
      <c r="HB46" s="10">
        <f t="shared" si="80"/>
        <v>0</v>
      </c>
      <c r="HC46" s="10">
        <f t="shared" si="81"/>
        <v>0</v>
      </c>
      <c r="HD46" s="10">
        <f t="shared" si="82"/>
        <v>0</v>
      </c>
      <c r="HE46" s="10">
        <f t="shared" si="83"/>
        <v>0</v>
      </c>
      <c r="HF46" s="10">
        <f t="shared" si="84"/>
        <v>0</v>
      </c>
      <c r="HG46" s="10">
        <f t="shared" si="85"/>
        <v>0</v>
      </c>
      <c r="HH46" s="10">
        <f t="shared" si="86"/>
        <v>0</v>
      </c>
      <c r="HI46" s="10">
        <f t="shared" si="87"/>
        <v>0</v>
      </c>
      <c r="HJ46" s="10">
        <f t="shared" si="88"/>
        <v>0</v>
      </c>
      <c r="HK46" s="10">
        <f t="shared" si="89"/>
        <v>116.0377358490566</v>
      </c>
      <c r="HL46" s="10">
        <f t="shared" si="90"/>
        <v>0</v>
      </c>
      <c r="HM46" s="10">
        <f t="shared" si="91"/>
        <v>0</v>
      </c>
      <c r="HN46" s="10">
        <f t="shared" si="92"/>
        <v>38.679245283018865</v>
      </c>
      <c r="HO46" s="10">
        <f t="shared" si="93"/>
        <v>0</v>
      </c>
      <c r="HP46" s="10">
        <f t="shared" si="94"/>
        <v>0</v>
      </c>
      <c r="HQ46" s="10">
        <f t="shared" si="95"/>
        <v>0</v>
      </c>
      <c r="HR46" s="10">
        <f t="shared" si="96"/>
        <v>0</v>
      </c>
      <c r="HS46" s="10">
        <f t="shared" si="97"/>
        <v>0</v>
      </c>
      <c r="HT46" s="10">
        <f t="shared" si="98"/>
        <v>0</v>
      </c>
      <c r="HU46" s="10">
        <f t="shared" si="99"/>
        <v>38.679245283018865</v>
      </c>
      <c r="HV46" s="10">
        <f t="shared" si="100"/>
        <v>38.679245283018865</v>
      </c>
      <c r="HW46" s="10">
        <f t="shared" si="101"/>
        <v>0</v>
      </c>
      <c r="HX46" s="10">
        <f t="shared" si="102"/>
        <v>0</v>
      </c>
      <c r="HY46" s="10">
        <f t="shared" si="103"/>
        <v>0</v>
      </c>
      <c r="HZ46" s="10">
        <f t="shared" si="104"/>
        <v>0</v>
      </c>
      <c r="IA46" s="10">
        <f t="shared" si="105"/>
        <v>0</v>
      </c>
      <c r="IB46" s="10">
        <f t="shared" si="106"/>
        <v>0</v>
      </c>
      <c r="IC46" s="10">
        <f t="shared" si="107"/>
        <v>0</v>
      </c>
      <c r="ID46" s="10">
        <f t="shared" si="108"/>
        <v>0</v>
      </c>
      <c r="IE46" s="10">
        <f t="shared" si="109"/>
        <v>38.679245283018865</v>
      </c>
      <c r="IF46" s="10">
        <f t="shared" si="110"/>
        <v>0</v>
      </c>
      <c r="IG46" s="10">
        <f t="shared" si="111"/>
        <v>0</v>
      </c>
      <c r="IH46" s="10">
        <f t="shared" si="112"/>
        <v>0</v>
      </c>
      <c r="II46" s="10">
        <f t="shared" si="113"/>
        <v>0</v>
      </c>
      <c r="IJ46" s="10">
        <f t="shared" si="114"/>
        <v>0</v>
      </c>
      <c r="IK46" s="10">
        <f t="shared" si="115"/>
        <v>0</v>
      </c>
      <c r="IL46" s="10">
        <f t="shared" si="116"/>
        <v>0</v>
      </c>
      <c r="IM46" s="10">
        <f t="shared" si="117"/>
        <v>38.679245283018865</v>
      </c>
      <c r="IN46" s="10">
        <f t="shared" si="118"/>
        <v>38.679245283018865</v>
      </c>
      <c r="IO46" s="10">
        <f t="shared" si="119"/>
        <v>38.679245283018865</v>
      </c>
      <c r="IP46" s="10">
        <f t="shared" si="120"/>
        <v>0</v>
      </c>
      <c r="IQ46" s="10">
        <f t="shared" si="121"/>
        <v>0</v>
      </c>
      <c r="IR46" s="10">
        <f t="shared" si="122"/>
        <v>193.39622641509436</v>
      </c>
      <c r="IS46" s="10">
        <f t="shared" si="123"/>
        <v>0</v>
      </c>
      <c r="IT46" s="10">
        <f t="shared" si="124"/>
        <v>0</v>
      </c>
      <c r="IU46" s="10">
        <f t="shared" si="125"/>
        <v>38.679245283018865</v>
      </c>
      <c r="IV46" s="10">
        <f t="shared" si="126"/>
        <v>0</v>
      </c>
      <c r="IW46" s="10">
        <f t="shared" si="127"/>
        <v>77.35849056603773</v>
      </c>
      <c r="IX46" s="10">
        <f t="shared" si="128"/>
        <v>0</v>
      </c>
      <c r="IY46" s="10">
        <f t="shared" si="129"/>
        <v>0</v>
      </c>
      <c r="IZ46" s="10">
        <f t="shared" si="130"/>
        <v>0</v>
      </c>
      <c r="JA46" s="10">
        <f t="shared" si="131"/>
        <v>0</v>
      </c>
      <c r="JB46" s="10">
        <f t="shared" si="132"/>
        <v>77.35849056603773</v>
      </c>
      <c r="JC46" s="10">
        <f t="shared" si="133"/>
        <v>0</v>
      </c>
      <c r="JD46" s="10">
        <f t="shared" si="134"/>
        <v>0</v>
      </c>
      <c r="JE46" s="10">
        <f t="shared" si="135"/>
        <v>77.35849056603773</v>
      </c>
      <c r="JF46" s="10">
        <f t="shared" si="136"/>
        <v>0</v>
      </c>
      <c r="JG46" s="10">
        <v>0</v>
      </c>
      <c r="JH46" s="10">
        <f t="shared" si="137"/>
        <v>0</v>
      </c>
      <c r="JI46" s="10">
        <f t="shared" si="138"/>
        <v>0</v>
      </c>
      <c r="JJ46" s="10">
        <f t="shared" si="139"/>
        <v>0</v>
      </c>
      <c r="JK46" s="10">
        <f t="shared" si="140"/>
        <v>0</v>
      </c>
      <c r="JL46" s="10">
        <f t="shared" si="141"/>
        <v>38.679245283018865</v>
      </c>
      <c r="JM46" s="10">
        <f t="shared" si="142"/>
        <v>0</v>
      </c>
      <c r="JN46" s="10">
        <f t="shared" si="143"/>
        <v>38.679245283018865</v>
      </c>
      <c r="JO46" s="10">
        <f t="shared" si="144"/>
        <v>0</v>
      </c>
      <c r="JP46" s="10">
        <f t="shared" si="145"/>
        <v>0</v>
      </c>
      <c r="JQ46" s="10">
        <f t="shared" si="146"/>
        <v>0</v>
      </c>
      <c r="JR46" s="10">
        <f t="shared" si="147"/>
        <v>0</v>
      </c>
      <c r="JS46" s="10">
        <f t="shared" si="148"/>
        <v>0</v>
      </c>
      <c r="JT46" s="10">
        <f t="shared" si="149"/>
        <v>0</v>
      </c>
      <c r="JU46" s="10">
        <f t="shared" si="150"/>
        <v>0</v>
      </c>
      <c r="JV46" s="10">
        <f t="shared" si="151"/>
        <v>0</v>
      </c>
      <c r="JW46" s="10">
        <f t="shared" si="152"/>
        <v>0</v>
      </c>
      <c r="JX46" s="10">
        <f t="shared" si="153"/>
        <v>309.43396226415092</v>
      </c>
      <c r="JY46" s="10">
        <f t="shared" si="154"/>
        <v>0</v>
      </c>
      <c r="JZ46" s="10">
        <f t="shared" si="155"/>
        <v>0</v>
      </c>
      <c r="KA46" s="10">
        <f t="shared" si="156"/>
        <v>0</v>
      </c>
      <c r="KB46" s="10">
        <f t="shared" si="157"/>
        <v>116.0377358490566</v>
      </c>
      <c r="KC46" s="10">
        <f t="shared" si="158"/>
        <v>77.35849056603773</v>
      </c>
      <c r="KD46" s="10">
        <f t="shared" si="159"/>
        <v>0</v>
      </c>
      <c r="KE46" s="10">
        <f t="shared" si="160"/>
        <v>0</v>
      </c>
      <c r="KF46" s="10">
        <f t="shared" si="161"/>
        <v>116.0377358490566</v>
      </c>
      <c r="KG46" s="10">
        <f t="shared" si="162"/>
        <v>0</v>
      </c>
      <c r="KH46" s="10">
        <f t="shared" si="163"/>
        <v>0</v>
      </c>
      <c r="KI46" s="10">
        <f t="shared" si="164"/>
        <v>0</v>
      </c>
      <c r="KJ46" s="10">
        <f t="shared" si="165"/>
        <v>0</v>
      </c>
      <c r="KK46" s="10">
        <f t="shared" si="166"/>
        <v>0</v>
      </c>
      <c r="KL46" s="10">
        <f t="shared" si="167"/>
        <v>38.679245283018865</v>
      </c>
      <c r="KM46" s="10">
        <f t="shared" si="168"/>
        <v>0</v>
      </c>
      <c r="KN46" s="10">
        <f t="shared" si="169"/>
        <v>38.679245283018865</v>
      </c>
      <c r="KO46" s="10">
        <f t="shared" si="170"/>
        <v>38.679245283018865</v>
      </c>
      <c r="KP46" s="10">
        <f t="shared" si="171"/>
        <v>0</v>
      </c>
      <c r="KQ46" s="11">
        <v>4099.9999999999964</v>
      </c>
      <c r="KR46" s="16"/>
      <c r="KS46" s="12">
        <v>5570.6720933454199</v>
      </c>
      <c r="KT46" s="26">
        <v>96</v>
      </c>
      <c r="KU46" s="26">
        <v>0.96875</v>
      </c>
      <c r="KV46" s="26">
        <v>1</v>
      </c>
      <c r="KW46" s="26">
        <v>-14.26</v>
      </c>
      <c r="KX46" s="26">
        <v>11.35</v>
      </c>
      <c r="KY46" s="27">
        <v>2.9044732240354989</v>
      </c>
      <c r="KZ46" s="27">
        <v>3.388149031535165</v>
      </c>
      <c r="LA46" s="17"/>
      <c r="LB46" s="2">
        <v>515</v>
      </c>
      <c r="LC46" s="1">
        <v>0</v>
      </c>
      <c r="LD46" s="1">
        <v>0</v>
      </c>
      <c r="LE46" s="1">
        <v>0</v>
      </c>
      <c r="LF46" s="1">
        <v>0</v>
      </c>
      <c r="LG46" s="1">
        <v>9</v>
      </c>
      <c r="LH46" s="1">
        <v>0</v>
      </c>
      <c r="LI46" s="1">
        <v>0</v>
      </c>
      <c r="LJ46" s="1">
        <v>3</v>
      </c>
      <c r="LK46" s="1">
        <v>0</v>
      </c>
      <c r="LL46" s="1">
        <v>336</v>
      </c>
      <c r="LM46" s="1">
        <v>13</v>
      </c>
      <c r="LN46" s="1">
        <v>108</v>
      </c>
      <c r="LO46" s="1">
        <v>0</v>
      </c>
      <c r="LP46" s="1">
        <v>1</v>
      </c>
      <c r="LQ46" s="1">
        <v>0</v>
      </c>
      <c r="LR46" s="1">
        <v>1</v>
      </c>
      <c r="LS46" s="1">
        <v>0</v>
      </c>
      <c r="LT46" s="1">
        <v>19</v>
      </c>
      <c r="LU46" s="1">
        <v>0</v>
      </c>
      <c r="LV46" s="1">
        <v>0</v>
      </c>
      <c r="LW46" s="1">
        <v>2</v>
      </c>
      <c r="LX46" s="1">
        <v>0</v>
      </c>
      <c r="LY46" s="1">
        <v>16</v>
      </c>
      <c r="LZ46" s="1">
        <v>0</v>
      </c>
      <c r="MA46" s="1">
        <v>4</v>
      </c>
      <c r="MB46" s="1">
        <v>0</v>
      </c>
      <c r="MC46" s="1">
        <v>0</v>
      </c>
      <c r="MD46" s="1">
        <v>3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28"/>
      <c r="ML46" t="s">
        <v>862</v>
      </c>
      <c r="MM46" t="s">
        <v>364</v>
      </c>
      <c r="MN46" t="s">
        <v>320</v>
      </c>
      <c r="MO46" t="s">
        <v>334</v>
      </c>
      <c r="MP46" t="s">
        <v>335</v>
      </c>
      <c r="MQ46" t="s">
        <v>336</v>
      </c>
      <c r="MR46">
        <v>0.05</v>
      </c>
      <c r="MS46" t="s">
        <v>365</v>
      </c>
      <c r="MT46" t="s">
        <v>366</v>
      </c>
      <c r="MU46" t="s">
        <v>367</v>
      </c>
      <c r="MV46">
        <v>8300</v>
      </c>
      <c r="MW46" s="13">
        <v>382</v>
      </c>
      <c r="MX46" s="13" t="s">
        <v>368</v>
      </c>
      <c r="MY46" t="s">
        <v>240</v>
      </c>
      <c r="MZ46" t="s">
        <v>241</v>
      </c>
      <c r="NA46" t="s">
        <v>242</v>
      </c>
      <c r="NB46" t="s">
        <v>328</v>
      </c>
      <c r="ND46" s="18">
        <v>43271</v>
      </c>
      <c r="NE46" s="19">
        <v>0.90555555555555556</v>
      </c>
      <c r="NF46" t="s">
        <v>369</v>
      </c>
      <c r="NG46" t="s">
        <v>245</v>
      </c>
      <c r="NH46" t="s">
        <v>246</v>
      </c>
      <c r="NI46">
        <v>87</v>
      </c>
      <c r="NJ46" t="s">
        <v>244</v>
      </c>
      <c r="NK46">
        <v>4</v>
      </c>
      <c r="NL46" t="s">
        <v>247</v>
      </c>
      <c r="NM46">
        <v>29.652640000000002</v>
      </c>
      <c r="NN46">
        <v>-84.883529999999993</v>
      </c>
      <c r="NO46" t="s">
        <v>248</v>
      </c>
      <c r="NP46" t="s">
        <v>249</v>
      </c>
      <c r="NQ46">
        <v>12</v>
      </c>
      <c r="NR46" t="s">
        <v>247</v>
      </c>
      <c r="NS46" t="s">
        <v>370</v>
      </c>
      <c r="NT46" t="s">
        <v>244</v>
      </c>
      <c r="NU46" t="s">
        <v>244</v>
      </c>
      <c r="NV46" t="s">
        <v>248</v>
      </c>
      <c r="NW46" t="s">
        <v>366</v>
      </c>
      <c r="NX46" t="s">
        <v>367</v>
      </c>
      <c r="NY46">
        <v>88</v>
      </c>
      <c r="NZ46">
        <v>87.4</v>
      </c>
      <c r="OA46">
        <v>80.599999999999994</v>
      </c>
      <c r="OB46" s="14">
        <v>5570.6720933454199</v>
      </c>
      <c r="OC46" t="s">
        <v>248</v>
      </c>
      <c r="OD46" t="s">
        <v>247</v>
      </c>
      <c r="OE46" t="s">
        <v>371</v>
      </c>
      <c r="OF46" t="s">
        <v>372</v>
      </c>
      <c r="OG46" t="s">
        <v>247</v>
      </c>
      <c r="OH46">
        <v>35</v>
      </c>
      <c r="OI46" t="s">
        <v>366</v>
      </c>
      <c r="OJ46" t="s">
        <v>373</v>
      </c>
      <c r="OK46">
        <v>96</v>
      </c>
      <c r="OL46">
        <v>0.96875</v>
      </c>
      <c r="OM46">
        <v>1</v>
      </c>
      <c r="ON46">
        <v>-14.26</v>
      </c>
      <c r="OO46">
        <v>11.35</v>
      </c>
      <c r="OP46" s="25">
        <v>2.9044732240354989</v>
      </c>
      <c r="OQ46" s="25">
        <v>3.388149031535165</v>
      </c>
      <c r="OR46" t="s">
        <v>910</v>
      </c>
      <c r="OS46" t="s">
        <v>910</v>
      </c>
    </row>
    <row r="47" spans="1:409" x14ac:dyDescent="0.25">
      <c r="A47">
        <v>46</v>
      </c>
      <c r="B47" s="1">
        <v>100</v>
      </c>
      <c r="C47" s="1">
        <v>62</v>
      </c>
      <c r="D47" s="1">
        <v>2</v>
      </c>
      <c r="E47" s="1">
        <v>12</v>
      </c>
      <c r="F47" s="1">
        <v>150</v>
      </c>
      <c r="G47" s="1">
        <v>71</v>
      </c>
      <c r="H47" s="1">
        <v>4</v>
      </c>
      <c r="I47" s="1">
        <v>1</v>
      </c>
      <c r="J47" s="1">
        <v>5</v>
      </c>
      <c r="K47" s="1">
        <v>0</v>
      </c>
      <c r="L47" s="1">
        <v>210</v>
      </c>
      <c r="M47" s="1">
        <v>0</v>
      </c>
      <c r="N47" s="1">
        <v>100</v>
      </c>
      <c r="O47" s="1">
        <v>0</v>
      </c>
      <c r="P47" s="1">
        <v>0</v>
      </c>
      <c r="Q47" s="1">
        <v>8</v>
      </c>
      <c r="R47" s="1">
        <v>1</v>
      </c>
      <c r="S47" s="1">
        <v>1</v>
      </c>
      <c r="T47" s="1">
        <v>0</v>
      </c>
      <c r="U47" s="1">
        <v>0</v>
      </c>
      <c r="V47" s="1">
        <v>0</v>
      </c>
      <c r="W47" s="1">
        <v>0</v>
      </c>
      <c r="X47" s="2">
        <v>727</v>
      </c>
      <c r="Y47" s="3"/>
      <c r="Z47" s="15">
        <f t="shared" si="172"/>
        <v>3.5902310645588855</v>
      </c>
      <c r="AA47" s="15">
        <f t="shared" si="173"/>
        <v>2.2259432600265088</v>
      </c>
      <c r="AB47" s="15">
        <f t="shared" si="174"/>
        <v>7.1804621291177706E-2</v>
      </c>
      <c r="AC47" s="15">
        <f t="shared" si="175"/>
        <v>0.43082772774706624</v>
      </c>
      <c r="AD47" s="15">
        <f t="shared" si="176"/>
        <v>5.3853465968383274</v>
      </c>
      <c r="AE47" s="15">
        <f t="shared" si="177"/>
        <v>2.5490640558368085</v>
      </c>
      <c r="AF47" s="15">
        <f t="shared" si="178"/>
        <v>0.14360924258235541</v>
      </c>
      <c r="AG47" s="15">
        <f t="shared" si="179"/>
        <v>3.5902310645588853E-2</v>
      </c>
      <c r="AH47" s="15">
        <f t="shared" si="180"/>
        <v>0.17951155322794426</v>
      </c>
      <c r="AI47" s="15">
        <f t="shared" si="181"/>
        <v>0</v>
      </c>
      <c r="AJ47" s="15">
        <f t="shared" si="182"/>
        <v>7.5394852355736584</v>
      </c>
      <c r="AK47" s="15">
        <f t="shared" si="183"/>
        <v>0</v>
      </c>
      <c r="AL47" s="15">
        <f t="shared" si="184"/>
        <v>3.5902310645588855</v>
      </c>
      <c r="AM47" s="15">
        <f t="shared" si="185"/>
        <v>0</v>
      </c>
      <c r="AN47" s="15">
        <f t="shared" si="186"/>
        <v>0</v>
      </c>
      <c r="AO47" s="15">
        <f t="shared" si="187"/>
        <v>0.28721848516471082</v>
      </c>
      <c r="AP47" s="15">
        <f t="shared" si="188"/>
        <v>3.5902310645588853E-2</v>
      </c>
      <c r="AQ47" s="15">
        <f t="shared" si="189"/>
        <v>3.5902310645588853E-2</v>
      </c>
      <c r="AR47" s="15">
        <f t="shared" si="190"/>
        <v>0</v>
      </c>
      <c r="AS47" s="15">
        <f t="shared" si="191"/>
        <v>0</v>
      </c>
      <c r="AT47" s="15">
        <f t="shared" si="192"/>
        <v>0</v>
      </c>
      <c r="AU47" s="15">
        <f t="shared" si="193"/>
        <v>0</v>
      </c>
      <c r="AV47" s="5">
        <f t="shared" si="194"/>
        <v>26.100979839343097</v>
      </c>
      <c r="AW47" s="16"/>
      <c r="AX47" s="6">
        <v>2000</v>
      </c>
      <c r="AY47" s="6">
        <v>1240</v>
      </c>
      <c r="AZ47" s="6">
        <v>40</v>
      </c>
      <c r="BA47" s="6">
        <v>240</v>
      </c>
      <c r="BB47" s="6">
        <v>3000</v>
      </c>
      <c r="BC47" s="6">
        <v>1420</v>
      </c>
      <c r="BD47" s="6">
        <v>80</v>
      </c>
      <c r="BE47" s="6">
        <v>20</v>
      </c>
      <c r="BF47" s="6">
        <v>100</v>
      </c>
      <c r="BG47" s="6">
        <v>0</v>
      </c>
      <c r="BH47" s="6">
        <v>4200</v>
      </c>
      <c r="BI47" s="6">
        <v>0</v>
      </c>
      <c r="BJ47" s="6">
        <v>2000</v>
      </c>
      <c r="BK47" s="6">
        <v>0</v>
      </c>
      <c r="BL47" s="6">
        <v>0</v>
      </c>
      <c r="BM47" s="6">
        <v>160</v>
      </c>
      <c r="BN47" s="6">
        <v>20</v>
      </c>
      <c r="BO47" s="6">
        <v>20</v>
      </c>
      <c r="BP47" s="6">
        <v>0</v>
      </c>
      <c r="BQ47" s="6">
        <v>0</v>
      </c>
      <c r="BR47" s="6">
        <v>0</v>
      </c>
      <c r="BS47" s="6">
        <v>0</v>
      </c>
      <c r="BT47" s="7">
        <v>14540</v>
      </c>
      <c r="BU47" s="16"/>
      <c r="BV47" s="8">
        <v>0</v>
      </c>
      <c r="BW47" s="8">
        <v>6</v>
      </c>
      <c r="BX47" s="8">
        <v>0</v>
      </c>
      <c r="BY47" s="8">
        <v>0</v>
      </c>
      <c r="BZ47" s="8">
        <v>0</v>
      </c>
      <c r="CA47" s="8">
        <v>1</v>
      </c>
      <c r="CB47" s="8">
        <v>0</v>
      </c>
      <c r="CC47" s="8">
        <v>0</v>
      </c>
      <c r="CD47" s="8">
        <v>0</v>
      </c>
      <c r="CE47" s="8">
        <v>0</v>
      </c>
      <c r="CF47" s="8">
        <v>7</v>
      </c>
      <c r="CG47" s="8">
        <v>0</v>
      </c>
      <c r="CH47" s="8">
        <v>0</v>
      </c>
      <c r="CI47" s="8">
        <v>0</v>
      </c>
      <c r="CJ47" s="8">
        <v>5</v>
      </c>
      <c r="CK47" s="8">
        <v>0</v>
      </c>
      <c r="CL47" s="8">
        <v>0</v>
      </c>
      <c r="CM47" s="8">
        <v>0</v>
      </c>
      <c r="CN47" s="8">
        <v>64</v>
      </c>
      <c r="CO47" s="8">
        <v>0</v>
      </c>
      <c r="CP47" s="8">
        <v>0</v>
      </c>
      <c r="CQ47" s="8">
        <v>0</v>
      </c>
      <c r="CR47" s="8">
        <v>1</v>
      </c>
      <c r="CS47" s="8">
        <v>0</v>
      </c>
      <c r="CT47" s="8">
        <v>0</v>
      </c>
      <c r="CU47" s="8">
        <v>1</v>
      </c>
      <c r="CV47" s="8">
        <v>0</v>
      </c>
      <c r="CW47" s="8">
        <v>0</v>
      </c>
      <c r="CX47" s="8">
        <v>0</v>
      </c>
      <c r="CY47" s="8">
        <v>5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2</v>
      </c>
      <c r="DJ47" s="8">
        <v>0</v>
      </c>
      <c r="DK47" s="8">
        <v>0</v>
      </c>
      <c r="DL47" s="8">
        <v>0</v>
      </c>
      <c r="DM47" s="8">
        <v>0</v>
      </c>
      <c r="DN47" s="8">
        <v>2</v>
      </c>
      <c r="DO47" s="8">
        <v>0</v>
      </c>
      <c r="DP47" s="8">
        <v>0</v>
      </c>
      <c r="DQ47" s="8">
        <v>0</v>
      </c>
      <c r="DR47" s="8">
        <v>0</v>
      </c>
      <c r="DS47" s="8">
        <v>1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1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1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1</v>
      </c>
      <c r="FH47" s="8">
        <v>0</v>
      </c>
      <c r="FI47" s="8">
        <v>2</v>
      </c>
      <c r="FJ47" s="8">
        <v>0</v>
      </c>
      <c r="FK47" s="8">
        <v>0</v>
      </c>
      <c r="FL47" s="8">
        <v>0</v>
      </c>
      <c r="FM47" s="8">
        <v>6</v>
      </c>
      <c r="FN47" s="8">
        <v>0</v>
      </c>
      <c r="FO47" s="8">
        <v>0</v>
      </c>
      <c r="FP47" s="8">
        <v>0</v>
      </c>
      <c r="FQ47" s="8">
        <v>5</v>
      </c>
      <c r="FR47" s="8">
        <v>2</v>
      </c>
      <c r="FS47" s="8">
        <v>0</v>
      </c>
      <c r="FT47" s="8">
        <v>0</v>
      </c>
      <c r="FU47" s="8">
        <v>2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12</v>
      </c>
      <c r="GD47" s="8">
        <v>0</v>
      </c>
      <c r="GE47" s="8">
        <v>0</v>
      </c>
      <c r="GF47" s="9">
        <v>127</v>
      </c>
      <c r="GG47" s="3"/>
      <c r="GH47" s="10">
        <f t="shared" si="60"/>
        <v>0</v>
      </c>
      <c r="GI47" s="10">
        <f t="shared" si="61"/>
        <v>94.488188976377955</v>
      </c>
      <c r="GJ47" s="10">
        <f t="shared" si="62"/>
        <v>0</v>
      </c>
      <c r="GK47" s="10">
        <f t="shared" si="63"/>
        <v>0</v>
      </c>
      <c r="GL47" s="10">
        <f t="shared" si="64"/>
        <v>0</v>
      </c>
      <c r="GM47" s="10">
        <f t="shared" si="65"/>
        <v>15.748031496062993</v>
      </c>
      <c r="GN47" s="10">
        <f t="shared" si="66"/>
        <v>0</v>
      </c>
      <c r="GO47" s="10">
        <f t="shared" si="67"/>
        <v>0</v>
      </c>
      <c r="GP47" s="10">
        <f t="shared" si="68"/>
        <v>0</v>
      </c>
      <c r="GQ47" s="10">
        <f t="shared" si="69"/>
        <v>0</v>
      </c>
      <c r="GR47" s="10">
        <f t="shared" si="70"/>
        <v>110.23622047244095</v>
      </c>
      <c r="GS47" s="10">
        <f t="shared" si="71"/>
        <v>0</v>
      </c>
      <c r="GT47" s="10">
        <f t="shared" si="72"/>
        <v>0</v>
      </c>
      <c r="GU47" s="10">
        <f t="shared" si="73"/>
        <v>0</v>
      </c>
      <c r="GV47" s="10">
        <f t="shared" si="74"/>
        <v>78.740157480314963</v>
      </c>
      <c r="GW47" s="10">
        <f t="shared" si="75"/>
        <v>0</v>
      </c>
      <c r="GX47" s="10">
        <f t="shared" si="76"/>
        <v>0</v>
      </c>
      <c r="GY47" s="10">
        <f t="shared" si="77"/>
        <v>0</v>
      </c>
      <c r="GZ47" s="10">
        <f t="shared" si="78"/>
        <v>1007.8740157480315</v>
      </c>
      <c r="HA47" s="10">
        <f t="shared" si="79"/>
        <v>0</v>
      </c>
      <c r="HB47" s="10">
        <f t="shared" si="80"/>
        <v>0</v>
      </c>
      <c r="HC47" s="10">
        <f t="shared" si="81"/>
        <v>0</v>
      </c>
      <c r="HD47" s="10">
        <f t="shared" si="82"/>
        <v>15.748031496062993</v>
      </c>
      <c r="HE47" s="10">
        <f t="shared" si="83"/>
        <v>0</v>
      </c>
      <c r="HF47" s="10">
        <f t="shared" si="84"/>
        <v>0</v>
      </c>
      <c r="HG47" s="10">
        <f t="shared" si="85"/>
        <v>15.748031496062993</v>
      </c>
      <c r="HH47" s="10">
        <f t="shared" si="86"/>
        <v>0</v>
      </c>
      <c r="HI47" s="10">
        <f t="shared" si="87"/>
        <v>0</v>
      </c>
      <c r="HJ47" s="10">
        <f t="shared" si="88"/>
        <v>0</v>
      </c>
      <c r="HK47" s="10">
        <f t="shared" si="89"/>
        <v>78.740157480314963</v>
      </c>
      <c r="HL47" s="10">
        <f t="shared" si="90"/>
        <v>0</v>
      </c>
      <c r="HM47" s="10">
        <f t="shared" si="91"/>
        <v>0</v>
      </c>
      <c r="HN47" s="10">
        <f t="shared" si="92"/>
        <v>0</v>
      </c>
      <c r="HO47" s="10">
        <f t="shared" si="93"/>
        <v>0</v>
      </c>
      <c r="HP47" s="10">
        <f t="shared" si="94"/>
        <v>0</v>
      </c>
      <c r="HQ47" s="10">
        <f t="shared" si="95"/>
        <v>0</v>
      </c>
      <c r="HR47" s="10">
        <f t="shared" si="96"/>
        <v>0</v>
      </c>
      <c r="HS47" s="10">
        <f t="shared" si="97"/>
        <v>0</v>
      </c>
      <c r="HT47" s="10">
        <f t="shared" si="98"/>
        <v>0</v>
      </c>
      <c r="HU47" s="10">
        <f t="shared" si="99"/>
        <v>31.496062992125985</v>
      </c>
      <c r="HV47" s="10">
        <f t="shared" si="100"/>
        <v>0</v>
      </c>
      <c r="HW47" s="10">
        <f t="shared" si="101"/>
        <v>0</v>
      </c>
      <c r="HX47" s="10">
        <f t="shared" si="102"/>
        <v>0</v>
      </c>
      <c r="HY47" s="10">
        <f t="shared" si="103"/>
        <v>0</v>
      </c>
      <c r="HZ47" s="10">
        <f t="shared" si="104"/>
        <v>31.496062992125985</v>
      </c>
      <c r="IA47" s="10">
        <f t="shared" si="105"/>
        <v>0</v>
      </c>
      <c r="IB47" s="10">
        <f t="shared" si="106"/>
        <v>0</v>
      </c>
      <c r="IC47" s="10">
        <f t="shared" si="107"/>
        <v>0</v>
      </c>
      <c r="ID47" s="10">
        <f t="shared" si="108"/>
        <v>0</v>
      </c>
      <c r="IE47" s="10">
        <f t="shared" si="109"/>
        <v>15.748031496062993</v>
      </c>
      <c r="IF47" s="10">
        <f t="shared" si="110"/>
        <v>0</v>
      </c>
      <c r="IG47" s="10">
        <f t="shared" si="111"/>
        <v>0</v>
      </c>
      <c r="IH47" s="10">
        <f t="shared" si="112"/>
        <v>0</v>
      </c>
      <c r="II47" s="10">
        <f t="shared" si="113"/>
        <v>0</v>
      </c>
      <c r="IJ47" s="10">
        <f t="shared" si="114"/>
        <v>0</v>
      </c>
      <c r="IK47" s="10">
        <f t="shared" si="115"/>
        <v>0</v>
      </c>
      <c r="IL47" s="10">
        <f t="shared" si="116"/>
        <v>15.748031496062993</v>
      </c>
      <c r="IM47" s="10">
        <f t="shared" si="117"/>
        <v>0</v>
      </c>
      <c r="IN47" s="10">
        <f t="shared" si="118"/>
        <v>0</v>
      </c>
      <c r="IO47" s="10">
        <f t="shared" si="119"/>
        <v>0</v>
      </c>
      <c r="IP47" s="10">
        <f t="shared" si="120"/>
        <v>0</v>
      </c>
      <c r="IQ47" s="10">
        <f t="shared" si="121"/>
        <v>0</v>
      </c>
      <c r="IR47" s="10">
        <f t="shared" si="122"/>
        <v>15.748031496062993</v>
      </c>
      <c r="IS47" s="10">
        <f t="shared" si="123"/>
        <v>0</v>
      </c>
      <c r="IT47" s="10">
        <f t="shared" si="124"/>
        <v>0</v>
      </c>
      <c r="IU47" s="10">
        <f t="shared" si="125"/>
        <v>0</v>
      </c>
      <c r="IV47" s="10">
        <f t="shared" si="126"/>
        <v>0</v>
      </c>
      <c r="IW47" s="10">
        <f t="shared" si="127"/>
        <v>0</v>
      </c>
      <c r="IX47" s="10">
        <f t="shared" si="128"/>
        <v>0</v>
      </c>
      <c r="IY47" s="10">
        <f t="shared" si="129"/>
        <v>0</v>
      </c>
      <c r="IZ47" s="10">
        <f t="shared" si="130"/>
        <v>0</v>
      </c>
      <c r="JA47" s="10">
        <f t="shared" si="131"/>
        <v>0</v>
      </c>
      <c r="JB47" s="10">
        <f t="shared" si="132"/>
        <v>0</v>
      </c>
      <c r="JC47" s="10">
        <f t="shared" si="133"/>
        <v>0</v>
      </c>
      <c r="JD47" s="10">
        <f t="shared" si="134"/>
        <v>0</v>
      </c>
      <c r="JE47" s="10">
        <f t="shared" si="135"/>
        <v>0</v>
      </c>
      <c r="JF47" s="10">
        <f t="shared" si="136"/>
        <v>0</v>
      </c>
      <c r="JG47" s="10">
        <v>0</v>
      </c>
      <c r="JH47" s="10">
        <f t="shared" si="137"/>
        <v>0</v>
      </c>
      <c r="JI47" s="10">
        <f t="shared" si="138"/>
        <v>0</v>
      </c>
      <c r="JJ47" s="10">
        <f t="shared" si="139"/>
        <v>0</v>
      </c>
      <c r="JK47" s="10">
        <f t="shared" si="140"/>
        <v>0</v>
      </c>
      <c r="JL47" s="10">
        <f t="shared" si="141"/>
        <v>0</v>
      </c>
      <c r="JM47" s="10">
        <f t="shared" si="142"/>
        <v>0</v>
      </c>
      <c r="JN47" s="10">
        <f t="shared" si="143"/>
        <v>0</v>
      </c>
      <c r="JO47" s="10">
        <f t="shared" si="144"/>
        <v>0</v>
      </c>
      <c r="JP47" s="10">
        <f t="shared" si="145"/>
        <v>0</v>
      </c>
      <c r="JQ47" s="10">
        <f t="shared" si="146"/>
        <v>0</v>
      </c>
      <c r="JR47" s="10">
        <f t="shared" si="147"/>
        <v>15.748031496062993</v>
      </c>
      <c r="JS47" s="10">
        <f t="shared" si="148"/>
        <v>0</v>
      </c>
      <c r="JT47" s="10">
        <f t="shared" si="149"/>
        <v>31.496062992125985</v>
      </c>
      <c r="JU47" s="10">
        <f t="shared" si="150"/>
        <v>0</v>
      </c>
      <c r="JV47" s="10">
        <f t="shared" si="151"/>
        <v>0</v>
      </c>
      <c r="JW47" s="10">
        <f t="shared" si="152"/>
        <v>0</v>
      </c>
      <c r="JX47" s="10">
        <f t="shared" si="153"/>
        <v>94.488188976377955</v>
      </c>
      <c r="JY47" s="10">
        <f t="shared" si="154"/>
        <v>0</v>
      </c>
      <c r="JZ47" s="10">
        <f t="shared" si="155"/>
        <v>0</v>
      </c>
      <c r="KA47" s="10">
        <f t="shared" si="156"/>
        <v>0</v>
      </c>
      <c r="KB47" s="10">
        <f t="shared" si="157"/>
        <v>78.740157480314963</v>
      </c>
      <c r="KC47" s="10">
        <f t="shared" si="158"/>
        <v>31.496062992125985</v>
      </c>
      <c r="KD47" s="10">
        <f t="shared" si="159"/>
        <v>0</v>
      </c>
      <c r="KE47" s="10">
        <f t="shared" si="160"/>
        <v>0</v>
      </c>
      <c r="KF47" s="10">
        <f t="shared" si="161"/>
        <v>31.496062992125985</v>
      </c>
      <c r="KG47" s="10">
        <f t="shared" si="162"/>
        <v>0</v>
      </c>
      <c r="KH47" s="10">
        <f t="shared" si="163"/>
        <v>0</v>
      </c>
      <c r="KI47" s="10">
        <f t="shared" si="164"/>
        <v>0</v>
      </c>
      <c r="KJ47" s="10">
        <f t="shared" si="165"/>
        <v>0</v>
      </c>
      <c r="KK47" s="10">
        <f t="shared" si="166"/>
        <v>0</v>
      </c>
      <c r="KL47" s="10">
        <f t="shared" si="167"/>
        <v>0</v>
      </c>
      <c r="KM47" s="10">
        <f t="shared" si="168"/>
        <v>0</v>
      </c>
      <c r="KN47" s="10">
        <f t="shared" si="169"/>
        <v>188.97637795275591</v>
      </c>
      <c r="KO47" s="10">
        <f t="shared" si="170"/>
        <v>0</v>
      </c>
      <c r="KP47" s="10">
        <f t="shared" si="171"/>
        <v>0</v>
      </c>
      <c r="KQ47" s="11">
        <v>2000.0000000000007</v>
      </c>
      <c r="KR47" s="16"/>
      <c r="KS47" s="12">
        <v>5570.6720933454199</v>
      </c>
      <c r="KT47" s="26">
        <v>96</v>
      </c>
      <c r="KU47" s="26">
        <v>0.96875</v>
      </c>
      <c r="KV47" s="26">
        <v>1</v>
      </c>
      <c r="KW47" s="26">
        <v>-14.26</v>
      </c>
      <c r="KX47" s="26">
        <v>11.35</v>
      </c>
      <c r="KY47" s="27">
        <v>2.9044732240354989</v>
      </c>
      <c r="KZ47" s="27">
        <v>3.388149031535165</v>
      </c>
      <c r="LA47" s="17"/>
      <c r="LB47" s="2">
        <v>1692</v>
      </c>
      <c r="LC47" s="1">
        <v>0</v>
      </c>
      <c r="LD47" s="1">
        <v>0</v>
      </c>
      <c r="LE47" s="1">
        <v>0</v>
      </c>
      <c r="LF47" s="1">
        <v>0</v>
      </c>
      <c r="LG47" s="1">
        <v>46</v>
      </c>
      <c r="LH47" s="1">
        <v>2</v>
      </c>
      <c r="LI47" s="1">
        <v>0</v>
      </c>
      <c r="LJ47" s="1">
        <v>0</v>
      </c>
      <c r="LK47" s="1">
        <v>0</v>
      </c>
      <c r="LL47" s="1">
        <v>644</v>
      </c>
      <c r="LM47" s="1">
        <v>32</v>
      </c>
      <c r="LN47" s="1">
        <v>826</v>
      </c>
      <c r="LO47" s="1">
        <v>0</v>
      </c>
      <c r="LP47" s="1">
        <v>12</v>
      </c>
      <c r="LQ47" s="1">
        <v>0</v>
      </c>
      <c r="LR47" s="1">
        <v>0</v>
      </c>
      <c r="LS47" s="1">
        <v>0</v>
      </c>
      <c r="LT47" s="1">
        <v>82</v>
      </c>
      <c r="LU47" s="1">
        <v>0</v>
      </c>
      <c r="LV47" s="1">
        <v>0</v>
      </c>
      <c r="LW47" s="1">
        <v>0</v>
      </c>
      <c r="LX47" s="1">
        <v>0</v>
      </c>
      <c r="LY47" s="1">
        <v>26</v>
      </c>
      <c r="LZ47" s="1">
        <v>2</v>
      </c>
      <c r="MA47" s="1">
        <v>10</v>
      </c>
      <c r="MB47" s="1">
        <v>0</v>
      </c>
      <c r="MC47" s="1">
        <v>0</v>
      </c>
      <c r="MD47" s="1">
        <v>8</v>
      </c>
      <c r="ME47" s="1">
        <v>0</v>
      </c>
      <c r="MF47" s="1">
        <v>2</v>
      </c>
      <c r="MG47" s="1">
        <v>0</v>
      </c>
      <c r="MH47" s="1">
        <v>0</v>
      </c>
      <c r="MI47" s="1">
        <v>0</v>
      </c>
      <c r="MJ47" s="1">
        <v>0</v>
      </c>
      <c r="MK47" s="28"/>
      <c r="ML47" t="s">
        <v>863</v>
      </c>
      <c r="MM47" t="s">
        <v>364</v>
      </c>
      <c r="MN47" t="s">
        <v>320</v>
      </c>
      <c r="MO47" t="s">
        <v>337</v>
      </c>
      <c r="MP47" t="s">
        <v>338</v>
      </c>
      <c r="MQ47" t="s">
        <v>339</v>
      </c>
      <c r="MR47">
        <v>0.05</v>
      </c>
      <c r="MS47" t="s">
        <v>365</v>
      </c>
      <c r="MT47" t="s">
        <v>366</v>
      </c>
      <c r="MU47" t="s">
        <v>367</v>
      </c>
      <c r="MV47">
        <v>14540</v>
      </c>
      <c r="MW47" s="13">
        <v>382</v>
      </c>
      <c r="MX47" s="13" t="s">
        <v>368</v>
      </c>
      <c r="MY47" t="s">
        <v>240</v>
      </c>
      <c r="MZ47" t="s">
        <v>241</v>
      </c>
      <c r="NA47" t="s">
        <v>242</v>
      </c>
      <c r="NB47" t="s">
        <v>328</v>
      </c>
      <c r="ND47" s="18">
        <v>43271</v>
      </c>
      <c r="NE47" s="19">
        <v>0.90555555555555556</v>
      </c>
      <c r="NF47" t="s">
        <v>369</v>
      </c>
      <c r="NG47" t="s">
        <v>245</v>
      </c>
      <c r="NH47" t="s">
        <v>246</v>
      </c>
      <c r="NI47">
        <v>87</v>
      </c>
      <c r="NJ47" t="s">
        <v>244</v>
      </c>
      <c r="NK47">
        <v>4</v>
      </c>
      <c r="NL47" t="s">
        <v>247</v>
      </c>
      <c r="NM47">
        <v>29.652640000000002</v>
      </c>
      <c r="NN47">
        <v>-84.883529999999993</v>
      </c>
      <c r="NO47" t="s">
        <v>248</v>
      </c>
      <c r="NP47" t="s">
        <v>249</v>
      </c>
      <c r="NQ47">
        <v>12</v>
      </c>
      <c r="NR47" t="s">
        <v>247</v>
      </c>
      <c r="NS47" t="s">
        <v>370</v>
      </c>
      <c r="NT47" t="s">
        <v>244</v>
      </c>
      <c r="NU47" t="s">
        <v>244</v>
      </c>
      <c r="NV47" t="s">
        <v>248</v>
      </c>
      <c r="NW47" t="s">
        <v>366</v>
      </c>
      <c r="NX47" t="s">
        <v>367</v>
      </c>
      <c r="NY47">
        <v>88</v>
      </c>
      <c r="NZ47">
        <v>87.4</v>
      </c>
      <c r="OA47">
        <v>80.599999999999994</v>
      </c>
      <c r="OB47" s="14">
        <v>5570.6720933454199</v>
      </c>
      <c r="OC47" t="s">
        <v>248</v>
      </c>
      <c r="OD47" t="s">
        <v>247</v>
      </c>
      <c r="OE47" t="s">
        <v>371</v>
      </c>
      <c r="OF47" t="s">
        <v>372</v>
      </c>
      <c r="OG47" t="s">
        <v>247</v>
      </c>
      <c r="OH47">
        <v>34</v>
      </c>
      <c r="OI47" t="s">
        <v>366</v>
      </c>
      <c r="OJ47" t="s">
        <v>373</v>
      </c>
      <c r="OK47">
        <v>96</v>
      </c>
      <c r="OL47">
        <v>0.96875</v>
      </c>
      <c r="OM47">
        <v>1</v>
      </c>
      <c r="ON47">
        <v>-14.26</v>
      </c>
      <c r="OO47">
        <v>11.35</v>
      </c>
      <c r="OP47" s="25">
        <v>2.9044732240354989</v>
      </c>
      <c r="OQ47" s="25">
        <v>3.388149031535165</v>
      </c>
      <c r="OR47" t="s">
        <v>910</v>
      </c>
      <c r="OS47" t="s">
        <v>910</v>
      </c>
    </row>
    <row r="48" spans="1:409" x14ac:dyDescent="0.25">
      <c r="A48">
        <v>47</v>
      </c>
      <c r="B48" s="1">
        <v>334</v>
      </c>
      <c r="C48" s="1">
        <v>100</v>
      </c>
      <c r="D48" s="1">
        <v>36</v>
      </c>
      <c r="E48" s="1">
        <v>103</v>
      </c>
      <c r="F48" s="1">
        <v>3</v>
      </c>
      <c r="G48" s="1">
        <v>7</v>
      </c>
      <c r="H48" s="1">
        <v>0</v>
      </c>
      <c r="I48" s="1">
        <v>3</v>
      </c>
      <c r="J48" s="1">
        <v>23</v>
      </c>
      <c r="K48" s="1">
        <v>1</v>
      </c>
      <c r="L48" s="1">
        <v>383</v>
      </c>
      <c r="M48" s="1">
        <v>0</v>
      </c>
      <c r="N48" s="1">
        <v>17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2">
        <v>1010</v>
      </c>
      <c r="Y48" s="3"/>
      <c r="Z48" s="15">
        <f t="shared" si="172"/>
        <v>27.651763937106239</v>
      </c>
      <c r="AA48" s="15">
        <f t="shared" si="173"/>
        <v>8.2789712386545631</v>
      </c>
      <c r="AB48" s="15">
        <f t="shared" si="174"/>
        <v>2.9804296459156427</v>
      </c>
      <c r="AC48" s="15">
        <f t="shared" si="175"/>
        <v>8.5273403758141999</v>
      </c>
      <c r="AD48" s="15">
        <f t="shared" si="176"/>
        <v>0.2483691371596369</v>
      </c>
      <c r="AE48" s="15">
        <f t="shared" si="177"/>
        <v>0.5795279867058194</v>
      </c>
      <c r="AF48" s="15">
        <f t="shared" si="178"/>
        <v>0</v>
      </c>
      <c r="AG48" s="15">
        <f t="shared" si="179"/>
        <v>0.2483691371596369</v>
      </c>
      <c r="AH48" s="15">
        <f t="shared" si="180"/>
        <v>1.9041633848905495</v>
      </c>
      <c r="AI48" s="15">
        <f t="shared" si="181"/>
        <v>8.278971238654563E-2</v>
      </c>
      <c r="AJ48" s="15">
        <f t="shared" si="182"/>
        <v>31.708459844046978</v>
      </c>
      <c r="AK48" s="15">
        <f t="shared" si="183"/>
        <v>0</v>
      </c>
      <c r="AL48" s="15">
        <f t="shared" si="184"/>
        <v>1.4074251105712756</v>
      </c>
      <c r="AM48" s="15">
        <f t="shared" si="185"/>
        <v>0</v>
      </c>
      <c r="AN48" s="15">
        <f t="shared" si="186"/>
        <v>0</v>
      </c>
      <c r="AO48" s="15">
        <f t="shared" si="187"/>
        <v>0</v>
      </c>
      <c r="AP48" s="15">
        <f t="shared" si="188"/>
        <v>0</v>
      </c>
      <c r="AQ48" s="15">
        <f t="shared" si="189"/>
        <v>0</v>
      </c>
      <c r="AR48" s="15">
        <f t="shared" si="190"/>
        <v>0</v>
      </c>
      <c r="AS48" s="15">
        <f t="shared" si="191"/>
        <v>0</v>
      </c>
      <c r="AT48" s="15">
        <f t="shared" si="192"/>
        <v>0</v>
      </c>
      <c r="AU48" s="15">
        <f t="shared" si="193"/>
        <v>0</v>
      </c>
      <c r="AV48" s="5">
        <f t="shared" si="194"/>
        <v>83.617609510411071</v>
      </c>
      <c r="AW48" s="16"/>
      <c r="AX48" s="6">
        <v>16700</v>
      </c>
      <c r="AY48" s="6">
        <v>5000</v>
      </c>
      <c r="AZ48" s="6">
        <v>1800</v>
      </c>
      <c r="BA48" s="6">
        <v>5150</v>
      </c>
      <c r="BB48" s="6">
        <v>150</v>
      </c>
      <c r="BC48" s="6">
        <v>350</v>
      </c>
      <c r="BD48" s="6">
        <v>0</v>
      </c>
      <c r="BE48" s="6">
        <v>150</v>
      </c>
      <c r="BF48" s="6">
        <v>1150</v>
      </c>
      <c r="BG48" s="6">
        <v>50</v>
      </c>
      <c r="BH48" s="6">
        <v>19150</v>
      </c>
      <c r="BI48" s="6">
        <v>0</v>
      </c>
      <c r="BJ48" s="6">
        <v>850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7">
        <v>50500</v>
      </c>
      <c r="BU48" s="16"/>
      <c r="BV48" s="8">
        <v>0</v>
      </c>
      <c r="BW48" s="8">
        <v>2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1</v>
      </c>
      <c r="CF48" s="8">
        <v>10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24</v>
      </c>
      <c r="CP48" s="8">
        <v>0</v>
      </c>
      <c r="CQ48" s="8">
        <v>0</v>
      </c>
      <c r="CR48" s="8">
        <v>24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1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1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1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2</v>
      </c>
      <c r="FN48" s="8">
        <v>0</v>
      </c>
      <c r="FO48" s="8">
        <v>0</v>
      </c>
      <c r="FP48" s="8">
        <v>0</v>
      </c>
      <c r="FQ48" s="8">
        <v>1</v>
      </c>
      <c r="FR48" s="8">
        <v>35</v>
      </c>
      <c r="FS48" s="8">
        <v>0</v>
      </c>
      <c r="FT48" s="8">
        <v>0</v>
      </c>
      <c r="FU48" s="8">
        <v>3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9">
        <v>105</v>
      </c>
      <c r="GG48" s="3"/>
      <c r="GH48" s="10">
        <f t="shared" si="60"/>
        <v>0</v>
      </c>
      <c r="GI48" s="10">
        <f t="shared" si="61"/>
        <v>318.09523809523813</v>
      </c>
      <c r="GJ48" s="10">
        <f t="shared" si="62"/>
        <v>0</v>
      </c>
      <c r="GK48" s="10">
        <f t="shared" si="63"/>
        <v>0</v>
      </c>
      <c r="GL48" s="10">
        <f t="shared" si="64"/>
        <v>0</v>
      </c>
      <c r="GM48" s="10">
        <f t="shared" si="65"/>
        <v>0</v>
      </c>
      <c r="GN48" s="10">
        <f t="shared" si="66"/>
        <v>0</v>
      </c>
      <c r="GO48" s="10">
        <f t="shared" si="67"/>
        <v>0</v>
      </c>
      <c r="GP48" s="10">
        <f t="shared" si="68"/>
        <v>0</v>
      </c>
      <c r="GQ48" s="10">
        <f t="shared" si="69"/>
        <v>159.04761904761907</v>
      </c>
      <c r="GR48" s="10">
        <f t="shared" si="70"/>
        <v>1590.4761904761904</v>
      </c>
      <c r="GS48" s="10">
        <f t="shared" si="71"/>
        <v>0</v>
      </c>
      <c r="GT48" s="10">
        <f t="shared" si="72"/>
        <v>0</v>
      </c>
      <c r="GU48" s="10">
        <f t="shared" si="73"/>
        <v>0</v>
      </c>
      <c r="GV48" s="10">
        <f t="shared" si="74"/>
        <v>0</v>
      </c>
      <c r="GW48" s="10">
        <f t="shared" si="75"/>
        <v>0</v>
      </c>
      <c r="GX48" s="10">
        <f t="shared" si="76"/>
        <v>0</v>
      </c>
      <c r="GY48" s="10">
        <f t="shared" si="77"/>
        <v>0</v>
      </c>
      <c r="GZ48" s="10">
        <f t="shared" si="78"/>
        <v>0</v>
      </c>
      <c r="HA48" s="10">
        <f t="shared" si="79"/>
        <v>3817.1428571428569</v>
      </c>
      <c r="HB48" s="10">
        <f t="shared" si="80"/>
        <v>0</v>
      </c>
      <c r="HC48" s="10">
        <f t="shared" si="81"/>
        <v>0</v>
      </c>
      <c r="HD48" s="10">
        <f t="shared" si="82"/>
        <v>3817.1428571428569</v>
      </c>
      <c r="HE48" s="10">
        <f t="shared" si="83"/>
        <v>0</v>
      </c>
      <c r="HF48" s="10">
        <f t="shared" si="84"/>
        <v>0</v>
      </c>
      <c r="HG48" s="10">
        <f t="shared" si="85"/>
        <v>0</v>
      </c>
      <c r="HH48" s="10">
        <f t="shared" si="86"/>
        <v>0</v>
      </c>
      <c r="HI48" s="10">
        <f t="shared" si="87"/>
        <v>0</v>
      </c>
      <c r="HJ48" s="10">
        <f t="shared" si="88"/>
        <v>0</v>
      </c>
      <c r="HK48" s="10">
        <f t="shared" si="89"/>
        <v>0</v>
      </c>
      <c r="HL48" s="10">
        <f t="shared" si="90"/>
        <v>0</v>
      </c>
      <c r="HM48" s="10">
        <f t="shared" si="91"/>
        <v>0</v>
      </c>
      <c r="HN48" s="10">
        <f t="shared" si="92"/>
        <v>0</v>
      </c>
      <c r="HO48" s="10">
        <f t="shared" si="93"/>
        <v>159.04761904761907</v>
      </c>
      <c r="HP48" s="10">
        <f t="shared" si="94"/>
        <v>0</v>
      </c>
      <c r="HQ48" s="10">
        <f t="shared" si="95"/>
        <v>0</v>
      </c>
      <c r="HR48" s="10">
        <f t="shared" si="96"/>
        <v>0</v>
      </c>
      <c r="HS48" s="10">
        <f t="shared" si="97"/>
        <v>0</v>
      </c>
      <c r="HT48" s="10">
        <f t="shared" si="98"/>
        <v>0</v>
      </c>
      <c r="HU48" s="10">
        <f t="shared" si="99"/>
        <v>0</v>
      </c>
      <c r="HV48" s="10">
        <f t="shared" si="100"/>
        <v>0</v>
      </c>
      <c r="HW48" s="10">
        <f t="shared" si="101"/>
        <v>0</v>
      </c>
      <c r="HX48" s="10">
        <f t="shared" si="102"/>
        <v>0</v>
      </c>
      <c r="HY48" s="10">
        <f t="shared" si="103"/>
        <v>0</v>
      </c>
      <c r="HZ48" s="10">
        <f t="shared" si="104"/>
        <v>0</v>
      </c>
      <c r="IA48" s="10">
        <f t="shared" si="105"/>
        <v>0</v>
      </c>
      <c r="IB48" s="10">
        <f t="shared" si="106"/>
        <v>0</v>
      </c>
      <c r="IC48" s="10">
        <f t="shared" si="107"/>
        <v>0</v>
      </c>
      <c r="ID48" s="10">
        <f t="shared" si="108"/>
        <v>0</v>
      </c>
      <c r="IE48" s="10">
        <f t="shared" si="109"/>
        <v>0</v>
      </c>
      <c r="IF48" s="10">
        <f t="shared" si="110"/>
        <v>0</v>
      </c>
      <c r="IG48" s="10">
        <f t="shared" si="111"/>
        <v>0</v>
      </c>
      <c r="IH48" s="10">
        <f t="shared" si="112"/>
        <v>0</v>
      </c>
      <c r="II48" s="10">
        <f t="shared" si="113"/>
        <v>159.04761904761907</v>
      </c>
      <c r="IJ48" s="10">
        <f t="shared" si="114"/>
        <v>0</v>
      </c>
      <c r="IK48" s="10">
        <f t="shared" si="115"/>
        <v>0</v>
      </c>
      <c r="IL48" s="10">
        <f t="shared" si="116"/>
        <v>0</v>
      </c>
      <c r="IM48" s="10">
        <f t="shared" si="117"/>
        <v>0</v>
      </c>
      <c r="IN48" s="10">
        <f t="shared" si="118"/>
        <v>0</v>
      </c>
      <c r="IO48" s="10">
        <f t="shared" si="119"/>
        <v>0</v>
      </c>
      <c r="IP48" s="10">
        <f t="shared" si="120"/>
        <v>0</v>
      </c>
      <c r="IQ48" s="10">
        <f t="shared" si="121"/>
        <v>0</v>
      </c>
      <c r="IR48" s="10">
        <f t="shared" si="122"/>
        <v>159.04761904761907</v>
      </c>
      <c r="IS48" s="10">
        <f t="shared" si="123"/>
        <v>0</v>
      </c>
      <c r="IT48" s="10">
        <f t="shared" si="124"/>
        <v>0</v>
      </c>
      <c r="IU48" s="10">
        <f t="shared" si="125"/>
        <v>0</v>
      </c>
      <c r="IV48" s="10">
        <f t="shared" si="126"/>
        <v>0</v>
      </c>
      <c r="IW48" s="10">
        <f t="shared" si="127"/>
        <v>0</v>
      </c>
      <c r="IX48" s="10">
        <f t="shared" si="128"/>
        <v>0</v>
      </c>
      <c r="IY48" s="10">
        <f t="shared" si="129"/>
        <v>0</v>
      </c>
      <c r="IZ48" s="10">
        <f t="shared" si="130"/>
        <v>0</v>
      </c>
      <c r="JA48" s="10">
        <f t="shared" si="131"/>
        <v>0</v>
      </c>
      <c r="JB48" s="10">
        <f t="shared" si="132"/>
        <v>0</v>
      </c>
      <c r="JC48" s="10">
        <f t="shared" si="133"/>
        <v>0</v>
      </c>
      <c r="JD48" s="10">
        <f t="shared" si="134"/>
        <v>0</v>
      </c>
      <c r="JE48" s="10">
        <f t="shared" si="135"/>
        <v>0</v>
      </c>
      <c r="JF48" s="10">
        <f t="shared" si="136"/>
        <v>0</v>
      </c>
      <c r="JG48" s="10">
        <v>0</v>
      </c>
      <c r="JH48" s="10">
        <f t="shared" si="137"/>
        <v>0</v>
      </c>
      <c r="JI48" s="10">
        <f t="shared" si="138"/>
        <v>0</v>
      </c>
      <c r="JJ48" s="10">
        <f t="shared" si="139"/>
        <v>0</v>
      </c>
      <c r="JK48" s="10">
        <f t="shared" si="140"/>
        <v>0</v>
      </c>
      <c r="JL48" s="10">
        <f t="shared" si="141"/>
        <v>0</v>
      </c>
      <c r="JM48" s="10">
        <f t="shared" si="142"/>
        <v>0</v>
      </c>
      <c r="JN48" s="10">
        <f t="shared" si="143"/>
        <v>0</v>
      </c>
      <c r="JO48" s="10">
        <f t="shared" si="144"/>
        <v>0</v>
      </c>
      <c r="JP48" s="10">
        <f t="shared" si="145"/>
        <v>0</v>
      </c>
      <c r="JQ48" s="10">
        <f t="shared" si="146"/>
        <v>0</v>
      </c>
      <c r="JR48" s="10">
        <f t="shared" si="147"/>
        <v>0</v>
      </c>
      <c r="JS48" s="10">
        <f t="shared" si="148"/>
        <v>0</v>
      </c>
      <c r="JT48" s="10">
        <f t="shared" si="149"/>
        <v>0</v>
      </c>
      <c r="JU48" s="10">
        <f t="shared" si="150"/>
        <v>0</v>
      </c>
      <c r="JV48" s="10">
        <f t="shared" si="151"/>
        <v>0</v>
      </c>
      <c r="JW48" s="10">
        <f t="shared" si="152"/>
        <v>0</v>
      </c>
      <c r="JX48" s="10">
        <f t="shared" si="153"/>
        <v>318.09523809523813</v>
      </c>
      <c r="JY48" s="10">
        <f t="shared" si="154"/>
        <v>0</v>
      </c>
      <c r="JZ48" s="10">
        <f t="shared" si="155"/>
        <v>0</v>
      </c>
      <c r="KA48" s="10">
        <f t="shared" si="156"/>
        <v>0</v>
      </c>
      <c r="KB48" s="10">
        <f t="shared" si="157"/>
        <v>159.04761904761907</v>
      </c>
      <c r="KC48" s="10">
        <f t="shared" si="158"/>
        <v>5566.6666666666661</v>
      </c>
      <c r="KD48" s="10">
        <f t="shared" si="159"/>
        <v>0</v>
      </c>
      <c r="KE48" s="10">
        <f t="shared" si="160"/>
        <v>0</v>
      </c>
      <c r="KF48" s="10">
        <f t="shared" si="161"/>
        <v>477.14285714285711</v>
      </c>
      <c r="KG48" s="10">
        <f t="shared" si="162"/>
        <v>0</v>
      </c>
      <c r="KH48" s="10">
        <f t="shared" si="163"/>
        <v>0</v>
      </c>
      <c r="KI48" s="10">
        <f t="shared" si="164"/>
        <v>0</v>
      </c>
      <c r="KJ48" s="10">
        <f t="shared" si="165"/>
        <v>0</v>
      </c>
      <c r="KK48" s="10">
        <f t="shared" si="166"/>
        <v>0</v>
      </c>
      <c r="KL48" s="10">
        <f t="shared" si="167"/>
        <v>0</v>
      </c>
      <c r="KM48" s="10">
        <f t="shared" si="168"/>
        <v>0</v>
      </c>
      <c r="KN48" s="10">
        <f t="shared" si="169"/>
        <v>0</v>
      </c>
      <c r="KO48" s="10">
        <f t="shared" si="170"/>
        <v>0</v>
      </c>
      <c r="KP48" s="10">
        <f t="shared" si="171"/>
        <v>0</v>
      </c>
      <c r="KQ48" s="11">
        <v>16699.999999999996</v>
      </c>
      <c r="KR48" s="16"/>
      <c r="KS48" s="12">
        <v>6039.3977172610194</v>
      </c>
      <c r="KT48" s="26">
        <v>76</v>
      </c>
      <c r="KU48" s="26">
        <v>0</v>
      </c>
      <c r="KV48" s="26"/>
      <c r="KW48" s="26">
        <v>-14.49</v>
      </c>
      <c r="KX48" s="26">
        <v>8.4700000000000006</v>
      </c>
      <c r="KY48" s="27">
        <v>2.8780427718850534</v>
      </c>
      <c r="KZ48" s="27">
        <v>3.3573171718659114</v>
      </c>
      <c r="LA48" s="17"/>
      <c r="LB48" s="2">
        <v>20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2</v>
      </c>
      <c r="LM48" s="1">
        <v>2</v>
      </c>
      <c r="LN48" s="1">
        <v>1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15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28"/>
      <c r="ML48" t="s">
        <v>864</v>
      </c>
      <c r="MM48" t="s">
        <v>374</v>
      </c>
      <c r="MN48" t="s">
        <v>320</v>
      </c>
      <c r="MO48" t="s">
        <v>354</v>
      </c>
      <c r="MP48" t="s">
        <v>355</v>
      </c>
      <c r="MQ48" t="s">
        <v>323</v>
      </c>
      <c r="MR48">
        <v>0.02</v>
      </c>
      <c r="MS48" t="s">
        <v>375</v>
      </c>
      <c r="MT48" t="s">
        <v>376</v>
      </c>
      <c r="MU48" t="s">
        <v>377</v>
      </c>
      <c r="MV48">
        <v>50500</v>
      </c>
      <c r="MW48" s="13">
        <v>383</v>
      </c>
      <c r="MX48" s="13" t="s">
        <v>378</v>
      </c>
      <c r="MY48" t="s">
        <v>240</v>
      </c>
      <c r="MZ48" t="s">
        <v>241</v>
      </c>
      <c r="NA48" t="s">
        <v>242</v>
      </c>
      <c r="NB48" t="s">
        <v>243</v>
      </c>
      <c r="ND48" s="18">
        <v>43271</v>
      </c>
      <c r="NE48" s="19">
        <v>0.97916666666666663</v>
      </c>
      <c r="NF48" t="s">
        <v>379</v>
      </c>
      <c r="NG48" t="s">
        <v>245</v>
      </c>
      <c r="NH48" t="s">
        <v>246</v>
      </c>
      <c r="NI48">
        <v>91.7</v>
      </c>
      <c r="NJ48" t="s">
        <v>244</v>
      </c>
      <c r="NK48">
        <v>2</v>
      </c>
      <c r="NL48" t="s">
        <v>247</v>
      </c>
      <c r="NM48">
        <v>29.613589999999999</v>
      </c>
      <c r="NN48">
        <v>-84.956829999999997</v>
      </c>
      <c r="NO48" t="s">
        <v>248</v>
      </c>
      <c r="NP48" t="s">
        <v>249</v>
      </c>
      <c r="NQ48">
        <v>12</v>
      </c>
      <c r="NR48" t="s">
        <v>247</v>
      </c>
      <c r="NS48" t="s">
        <v>380</v>
      </c>
      <c r="NT48" t="s">
        <v>244</v>
      </c>
      <c r="NU48" t="s">
        <v>244</v>
      </c>
      <c r="NV48" t="s">
        <v>248</v>
      </c>
      <c r="NW48" t="s">
        <v>376</v>
      </c>
      <c r="NX48" t="s">
        <v>377</v>
      </c>
      <c r="NY48">
        <v>89</v>
      </c>
      <c r="NZ48">
        <v>88.6</v>
      </c>
      <c r="OA48">
        <v>86.4</v>
      </c>
      <c r="OB48" s="14">
        <v>6039.3977172610194</v>
      </c>
      <c r="OC48" t="s">
        <v>248</v>
      </c>
      <c r="OD48" t="s">
        <v>247</v>
      </c>
      <c r="OE48" t="s">
        <v>371</v>
      </c>
      <c r="OF48" t="s">
        <v>381</v>
      </c>
      <c r="OG48" t="s">
        <v>247</v>
      </c>
      <c r="OH48">
        <v>39</v>
      </c>
      <c r="OI48" t="s">
        <v>376</v>
      </c>
      <c r="OJ48" t="s">
        <v>382</v>
      </c>
      <c r="OK48">
        <v>76</v>
      </c>
      <c r="OL48">
        <v>0</v>
      </c>
      <c r="ON48">
        <v>-14.49</v>
      </c>
      <c r="OO48">
        <v>8.4700000000000006</v>
      </c>
      <c r="OP48" s="25">
        <v>2.8780427718850534</v>
      </c>
      <c r="OQ48" s="25">
        <v>3.3573171718659114</v>
      </c>
      <c r="OR48" t="s">
        <v>910</v>
      </c>
      <c r="OS48" t="s">
        <v>910</v>
      </c>
    </row>
    <row r="49" spans="1:409" x14ac:dyDescent="0.25">
      <c r="A49">
        <v>48</v>
      </c>
      <c r="B49" s="1">
        <v>11</v>
      </c>
      <c r="C49" s="1">
        <v>11</v>
      </c>
      <c r="D49" s="1">
        <v>8</v>
      </c>
      <c r="E49" s="1">
        <v>0</v>
      </c>
      <c r="F49" s="1">
        <v>0</v>
      </c>
      <c r="G49" s="1">
        <v>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2">
        <v>35</v>
      </c>
      <c r="Y49" s="3"/>
      <c r="Z49" s="15">
        <f t="shared" si="172"/>
        <v>0.36427473450080078</v>
      </c>
      <c r="AA49" s="15">
        <f t="shared" si="173"/>
        <v>0.36427473450080078</v>
      </c>
      <c r="AB49" s="15">
        <f t="shared" si="174"/>
        <v>0.26492707963694601</v>
      </c>
      <c r="AC49" s="15">
        <f t="shared" si="175"/>
        <v>0</v>
      </c>
      <c r="AD49" s="15">
        <f t="shared" si="176"/>
        <v>0</v>
      </c>
      <c r="AE49" s="15">
        <f t="shared" si="177"/>
        <v>0.16557942477309126</v>
      </c>
      <c r="AF49" s="15">
        <f t="shared" si="178"/>
        <v>0</v>
      </c>
      <c r="AG49" s="15">
        <f t="shared" si="179"/>
        <v>0</v>
      </c>
      <c r="AH49" s="15">
        <f t="shared" si="180"/>
        <v>0</v>
      </c>
      <c r="AI49" s="15">
        <f t="shared" si="181"/>
        <v>0</v>
      </c>
      <c r="AJ49" s="15">
        <f t="shared" si="182"/>
        <v>0</v>
      </c>
      <c r="AK49" s="15">
        <f t="shared" si="183"/>
        <v>0</v>
      </c>
      <c r="AL49" s="15">
        <f t="shared" si="184"/>
        <v>0</v>
      </c>
      <c r="AM49" s="15">
        <f t="shared" si="185"/>
        <v>0</v>
      </c>
      <c r="AN49" s="15">
        <f t="shared" si="186"/>
        <v>0</v>
      </c>
      <c r="AO49" s="15">
        <f t="shared" si="187"/>
        <v>0</v>
      </c>
      <c r="AP49" s="15">
        <f t="shared" si="188"/>
        <v>0</v>
      </c>
      <c r="AQ49" s="15">
        <f t="shared" si="189"/>
        <v>0</v>
      </c>
      <c r="AR49" s="15">
        <f t="shared" si="190"/>
        <v>0</v>
      </c>
      <c r="AS49" s="15">
        <f t="shared" si="191"/>
        <v>0</v>
      </c>
      <c r="AT49" s="15">
        <f t="shared" si="192"/>
        <v>0</v>
      </c>
      <c r="AU49" s="15">
        <f t="shared" si="193"/>
        <v>0</v>
      </c>
      <c r="AV49" s="5">
        <f t="shared" si="194"/>
        <v>1.1590559734116388</v>
      </c>
      <c r="AW49" s="16"/>
      <c r="AX49" s="6">
        <v>220</v>
      </c>
      <c r="AY49" s="6">
        <v>220</v>
      </c>
      <c r="AZ49" s="6">
        <v>160</v>
      </c>
      <c r="BA49" s="6">
        <v>0</v>
      </c>
      <c r="BB49" s="6">
        <v>0</v>
      </c>
      <c r="BC49" s="6">
        <v>100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7">
        <v>700</v>
      </c>
      <c r="BU49" s="16"/>
      <c r="BV49" s="8">
        <v>0</v>
      </c>
      <c r="BW49" s="8">
        <v>3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6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5</v>
      </c>
      <c r="CO49" s="8">
        <v>18</v>
      </c>
      <c r="CP49" s="8">
        <v>0</v>
      </c>
      <c r="CQ49" s="8">
        <v>0</v>
      </c>
      <c r="CR49" s="8">
        <v>16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1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1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1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2</v>
      </c>
      <c r="FN49" s="8">
        <v>0</v>
      </c>
      <c r="FO49" s="8">
        <v>0</v>
      </c>
      <c r="FP49" s="8">
        <v>0</v>
      </c>
      <c r="FQ49" s="8">
        <v>4</v>
      </c>
      <c r="FR49" s="8">
        <v>26</v>
      </c>
      <c r="FS49" s="8">
        <v>0</v>
      </c>
      <c r="FT49" s="8">
        <v>0</v>
      </c>
      <c r="FU49" s="8">
        <v>5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9">
        <v>88</v>
      </c>
      <c r="GG49" s="3"/>
      <c r="GH49" s="10">
        <f t="shared" ref="GH49:GH80" si="195">(BV49/$GF49)*$AX49</f>
        <v>0</v>
      </c>
      <c r="GI49" s="10">
        <f t="shared" ref="GI49:GI80" si="196">(BW49/$GF49)*$AX49</f>
        <v>7.4999999999999991</v>
      </c>
      <c r="GJ49" s="10">
        <f t="shared" ref="GJ49:GJ80" si="197">(BX49/$GF49)*$AX49</f>
        <v>0</v>
      </c>
      <c r="GK49" s="10">
        <f t="shared" ref="GK49:GK80" si="198">(BY49/$GF49)*$AX49</f>
        <v>0</v>
      </c>
      <c r="GL49" s="10">
        <f t="shared" ref="GL49:GL80" si="199">(BZ49/$GF49)*$AX49</f>
        <v>0</v>
      </c>
      <c r="GM49" s="10">
        <f t="shared" ref="GM49:GM80" si="200">(CA49/$GF49)*$AX49</f>
        <v>0</v>
      </c>
      <c r="GN49" s="10">
        <f t="shared" ref="GN49:GN80" si="201">(CB49/$GF49)*$AX49</f>
        <v>0</v>
      </c>
      <c r="GO49" s="10">
        <f t="shared" ref="GO49:GO80" si="202">(CC49/$GF49)*$AX49</f>
        <v>0</v>
      </c>
      <c r="GP49" s="10">
        <f t="shared" ref="GP49:GP80" si="203">(CD49/$GF49)*$AX49</f>
        <v>0</v>
      </c>
      <c r="GQ49" s="10">
        <f t="shared" ref="GQ49:GQ80" si="204">(CE49/$GF49)*$AX49</f>
        <v>0</v>
      </c>
      <c r="GR49" s="10">
        <f t="shared" ref="GR49:GR80" si="205">(CF49/$GF49)*$AX49</f>
        <v>14.999999999999998</v>
      </c>
      <c r="GS49" s="10">
        <f t="shared" ref="GS49:GS80" si="206">(CG49/$GF49)*$AX49</f>
        <v>0</v>
      </c>
      <c r="GT49" s="10">
        <f t="shared" ref="GT49:GT80" si="207">(CH49/$GF49)*$AX49</f>
        <v>0</v>
      </c>
      <c r="GU49" s="10">
        <f t="shared" ref="GU49:GU80" si="208">(CI49/$GF49)*$AX49</f>
        <v>0</v>
      </c>
      <c r="GV49" s="10">
        <f t="shared" ref="GV49:GV80" si="209">(CJ49/$GF49)*$AX49</f>
        <v>0</v>
      </c>
      <c r="GW49" s="10">
        <f t="shared" ref="GW49:GW80" si="210">(CK49/$GF49)*$AX49</f>
        <v>0</v>
      </c>
      <c r="GX49" s="10">
        <f t="shared" ref="GX49:GX80" si="211">(CL49/$GF49)*$AX49</f>
        <v>0</v>
      </c>
      <c r="GY49" s="10">
        <f t="shared" ref="GY49:GY80" si="212">(CM49/$GF49)*$AX49</f>
        <v>0</v>
      </c>
      <c r="GZ49" s="10">
        <f t="shared" ref="GZ49:GZ80" si="213">(CN49/$GF49)*$AX49</f>
        <v>12.5</v>
      </c>
      <c r="HA49" s="10">
        <f t="shared" ref="HA49:HA80" si="214">(CO49/$GF49)*$AX49</f>
        <v>45</v>
      </c>
      <c r="HB49" s="10">
        <f t="shared" ref="HB49:HB80" si="215">(CP49/$GF49)*$AX49</f>
        <v>0</v>
      </c>
      <c r="HC49" s="10">
        <f t="shared" ref="HC49:HC80" si="216">(CQ49/$GF49)*$AX49</f>
        <v>0</v>
      </c>
      <c r="HD49" s="10">
        <f t="shared" ref="HD49:HD80" si="217">(CR49/$GF49)*$AX49</f>
        <v>40</v>
      </c>
      <c r="HE49" s="10">
        <f t="shared" ref="HE49:HE80" si="218">(CS49/$GF49)*$AX49</f>
        <v>0</v>
      </c>
      <c r="HF49" s="10">
        <f t="shared" ref="HF49:HF80" si="219">(CT49/$GF49)*$AX49</f>
        <v>0</v>
      </c>
      <c r="HG49" s="10">
        <f t="shared" ref="HG49:HG80" si="220">(CU49/$GF49)*$AX49</f>
        <v>0</v>
      </c>
      <c r="HH49" s="10">
        <f t="shared" ref="HH49:HH80" si="221">(CV49/$GF49)*$AX49</f>
        <v>0</v>
      </c>
      <c r="HI49" s="10">
        <f t="shared" ref="HI49:HI80" si="222">(CW49/$GF49)*$AX49</f>
        <v>0</v>
      </c>
      <c r="HJ49" s="10">
        <f t="shared" ref="HJ49:HJ80" si="223">(CX49/$GF49)*$AX49</f>
        <v>0</v>
      </c>
      <c r="HK49" s="10">
        <f t="shared" ref="HK49:HK80" si="224">(CY49/$GF49)*$AX49</f>
        <v>0</v>
      </c>
      <c r="HL49" s="10">
        <f t="shared" ref="HL49:HL80" si="225">(CZ49/$GF49)*$AX49</f>
        <v>0</v>
      </c>
      <c r="HM49" s="10">
        <f t="shared" ref="HM49:HM80" si="226">(DA49/$GF49)*$AX49</f>
        <v>0</v>
      </c>
      <c r="HN49" s="10">
        <f t="shared" ref="HN49:HN80" si="227">(DB49/$GF49)*$AX49</f>
        <v>0</v>
      </c>
      <c r="HO49" s="10">
        <f t="shared" ref="HO49:HO80" si="228">(DC49/$GF49)*$AX49</f>
        <v>0</v>
      </c>
      <c r="HP49" s="10">
        <f t="shared" ref="HP49:HP80" si="229">(DD49/$GF49)*$AX49</f>
        <v>0</v>
      </c>
      <c r="HQ49" s="10">
        <f t="shared" ref="HQ49:HQ80" si="230">(DE49/$GF49)*$AX49</f>
        <v>0</v>
      </c>
      <c r="HR49" s="10">
        <f t="shared" ref="HR49:HR80" si="231">(DF49/$GF49)*$AX49</f>
        <v>0</v>
      </c>
      <c r="HS49" s="10">
        <f t="shared" ref="HS49:HS80" si="232">(DG49/$GF49)*$AX49</f>
        <v>0</v>
      </c>
      <c r="HT49" s="10">
        <f t="shared" ref="HT49:HT80" si="233">(DH49/$GF49)*$AX49</f>
        <v>0</v>
      </c>
      <c r="HU49" s="10">
        <f t="shared" ref="HU49:HU80" si="234">(DI49/$GF49)*$AX49</f>
        <v>0</v>
      </c>
      <c r="HV49" s="10">
        <f t="shared" ref="HV49:HV80" si="235">(DJ49/$GF49)*$AX49</f>
        <v>0</v>
      </c>
      <c r="HW49" s="10">
        <f t="shared" ref="HW49:HW80" si="236">(DK49/$GF49)*$AX49</f>
        <v>0</v>
      </c>
      <c r="HX49" s="10">
        <f t="shared" ref="HX49:HX80" si="237">(DL49/$GF49)*$AX49</f>
        <v>0</v>
      </c>
      <c r="HY49" s="10">
        <f t="shared" ref="HY49:HY80" si="238">(DM49/$GF49)*$AX49</f>
        <v>0</v>
      </c>
      <c r="HZ49" s="10">
        <f t="shared" ref="HZ49:HZ80" si="239">(DN49/$GF49)*$AX49</f>
        <v>0</v>
      </c>
      <c r="IA49" s="10">
        <f t="shared" ref="IA49:IA80" si="240">(DO49/$GF49)*$AX49</f>
        <v>0</v>
      </c>
      <c r="IB49" s="10">
        <f t="shared" ref="IB49:IB80" si="241">(DP49/$GF49)*$AX49</f>
        <v>0</v>
      </c>
      <c r="IC49" s="10">
        <f t="shared" ref="IC49:IC80" si="242">(DQ49/$GF49)*$AX49</f>
        <v>0</v>
      </c>
      <c r="ID49" s="10">
        <f t="shared" ref="ID49:ID80" si="243">(DR49/$GF49)*$AX49</f>
        <v>0</v>
      </c>
      <c r="IE49" s="10">
        <f t="shared" ref="IE49:IE80" si="244">(DS49/$GF49)*$AX49</f>
        <v>0</v>
      </c>
      <c r="IF49" s="10">
        <f t="shared" ref="IF49:IF80" si="245">(DT49/$GF49)*$AX49</f>
        <v>0</v>
      </c>
      <c r="IG49" s="10">
        <f t="shared" ref="IG49:IG80" si="246">(DU49/$GF49)*$AX49</f>
        <v>0</v>
      </c>
      <c r="IH49" s="10">
        <f t="shared" ref="IH49:IH80" si="247">(DV49/$GF49)*$AX49</f>
        <v>0</v>
      </c>
      <c r="II49" s="10">
        <f t="shared" ref="II49:II80" si="248">(DW49/$GF49)*$AX49</f>
        <v>2.5</v>
      </c>
      <c r="IJ49" s="10">
        <f t="shared" ref="IJ49:IJ80" si="249">(DX49/$GF49)*$AX49</f>
        <v>0</v>
      </c>
      <c r="IK49" s="10">
        <f t="shared" ref="IK49:IK80" si="250">(DY49/$GF49)*$AX49</f>
        <v>0</v>
      </c>
      <c r="IL49" s="10">
        <f t="shared" ref="IL49:IL80" si="251">(DZ49/$GF49)*$AX49</f>
        <v>0</v>
      </c>
      <c r="IM49" s="10">
        <f t="shared" ref="IM49:IM80" si="252">(EA49/$GF49)*$AX49</f>
        <v>0</v>
      </c>
      <c r="IN49" s="10">
        <f t="shared" ref="IN49:IN80" si="253">(EB49/$GF49)*$AX49</f>
        <v>0</v>
      </c>
      <c r="IO49" s="10">
        <f t="shared" ref="IO49:IO80" si="254">(EC49/$GF49)*$AX49</f>
        <v>0</v>
      </c>
      <c r="IP49" s="10">
        <f t="shared" ref="IP49:IP80" si="255">(ED49/$GF49)*$AX49</f>
        <v>2.5</v>
      </c>
      <c r="IQ49" s="10">
        <f t="shared" ref="IQ49:IQ80" si="256">(EE49/$GF49)*$AX49</f>
        <v>0</v>
      </c>
      <c r="IR49" s="10">
        <f t="shared" ref="IR49:IR80" si="257">(EF49/$GF49)*$AX49</f>
        <v>0</v>
      </c>
      <c r="IS49" s="10">
        <f t="shared" ref="IS49:IS80" si="258">(EG49/$GF49)*$AX49</f>
        <v>0</v>
      </c>
      <c r="IT49" s="10">
        <f t="shared" ref="IT49:IT80" si="259">(EH49/$GF49)*$AX49</f>
        <v>0</v>
      </c>
      <c r="IU49" s="10">
        <f t="shared" ref="IU49:IU80" si="260">(EI49/$GF49)*$AX49</f>
        <v>0</v>
      </c>
      <c r="IV49" s="10">
        <f t="shared" ref="IV49:IV80" si="261">(EJ49/$GF49)*$AX49</f>
        <v>0</v>
      </c>
      <c r="IW49" s="10">
        <f t="shared" ref="IW49:IW80" si="262">(EK49/$GF49)*$AX49</f>
        <v>0</v>
      </c>
      <c r="IX49" s="10">
        <f t="shared" ref="IX49:IX80" si="263">(EL49/$GF49)*$AX49</f>
        <v>0</v>
      </c>
      <c r="IY49" s="10">
        <f t="shared" ref="IY49:IY80" si="264">(EM49/$GF49)*$AX49</f>
        <v>0</v>
      </c>
      <c r="IZ49" s="10">
        <f t="shared" ref="IZ49:IZ80" si="265">(EN49/$GF49)*$AX49</f>
        <v>0</v>
      </c>
      <c r="JA49" s="10">
        <f t="shared" ref="JA49:JA80" si="266">(EO49/$GF49)*$AX49</f>
        <v>0</v>
      </c>
      <c r="JB49" s="10">
        <f t="shared" ref="JB49:JB80" si="267">(EP49/$GF49)*$AX49</f>
        <v>0</v>
      </c>
      <c r="JC49" s="10">
        <f t="shared" ref="JC49:JC80" si="268">(EQ49/$GF49)*$AX49</f>
        <v>0</v>
      </c>
      <c r="JD49" s="10">
        <f t="shared" ref="JD49:JD80" si="269">(ER49/$GF49)*$AX49</f>
        <v>0</v>
      </c>
      <c r="JE49" s="10">
        <f t="shared" ref="JE49:JE80" si="270">(ES49/$GF49)*$AX49</f>
        <v>0</v>
      </c>
      <c r="JF49" s="10">
        <f t="shared" ref="JF49:JF80" si="271">(ET49/$GF49)*$AX49</f>
        <v>0</v>
      </c>
      <c r="JG49" s="10">
        <v>0</v>
      </c>
      <c r="JH49" s="10">
        <f t="shared" ref="JH49:JH80" si="272">(EV49/$GF49)*$AX49</f>
        <v>0</v>
      </c>
      <c r="JI49" s="10">
        <f t="shared" ref="JI49:JI80" si="273">(EX49/$GF49)*$AX49</f>
        <v>0</v>
      </c>
      <c r="JJ49" s="10">
        <f t="shared" ref="JJ49:JJ80" si="274">(EY49/$GF49)*$AX49</f>
        <v>0</v>
      </c>
      <c r="JK49" s="10">
        <f t="shared" ref="JK49:JK80" si="275">(EZ49/$GF49)*$AX49</f>
        <v>2.5</v>
      </c>
      <c r="JL49" s="10">
        <f t="shared" ref="JL49:JL80" si="276">(FA49/$GF49)*$AX49</f>
        <v>0</v>
      </c>
      <c r="JM49" s="10">
        <f t="shared" ref="JM49:JM80" si="277">(FB49/$GF49)*$AX49</f>
        <v>0</v>
      </c>
      <c r="JN49" s="10">
        <f t="shared" ref="JN49:JN80" si="278">(FC49/$GF49)*$AX49</f>
        <v>0</v>
      </c>
      <c r="JO49" s="10">
        <f t="shared" ref="JO49:JO80" si="279">(FD49/$GF49)*$AX49</f>
        <v>0</v>
      </c>
      <c r="JP49" s="10">
        <f t="shared" ref="JP49:JP80" si="280">(FE49/$GF49)*$AX49</f>
        <v>0</v>
      </c>
      <c r="JQ49" s="10">
        <f t="shared" ref="JQ49:JQ80" si="281">(FF49/$GF49)*$AX49</f>
        <v>0</v>
      </c>
      <c r="JR49" s="10">
        <f t="shared" ref="JR49:JR80" si="282">(FG49/$GF49)*$AX49</f>
        <v>0</v>
      </c>
      <c r="JS49" s="10">
        <f t="shared" ref="JS49:JS80" si="283">(FH49/$GF49)*$AX49</f>
        <v>0</v>
      </c>
      <c r="JT49" s="10">
        <f t="shared" ref="JT49:JT80" si="284">(FI49/$GF49)*$AX49</f>
        <v>0</v>
      </c>
      <c r="JU49" s="10">
        <f t="shared" ref="JU49:JU80" si="285">(FJ49/$GF49)*$AX49</f>
        <v>0</v>
      </c>
      <c r="JV49" s="10">
        <f t="shared" ref="JV49:JV80" si="286">(FK49/$GF49)*$AX49</f>
        <v>0</v>
      </c>
      <c r="JW49" s="10">
        <f t="shared" ref="JW49:JW80" si="287">(FL49/$GF49)*$AX49</f>
        <v>0</v>
      </c>
      <c r="JX49" s="10">
        <f t="shared" ref="JX49:JX80" si="288">(FM49/$GF49)*$AX49</f>
        <v>5</v>
      </c>
      <c r="JY49" s="10">
        <f t="shared" ref="JY49:JY80" si="289">(FN49/$GF49)*$AX49</f>
        <v>0</v>
      </c>
      <c r="JZ49" s="10">
        <f t="shared" ref="JZ49:JZ80" si="290">(FO49/$GF49)*$AX49</f>
        <v>0</v>
      </c>
      <c r="KA49" s="10">
        <f t="shared" ref="KA49:KA80" si="291">(FP49/$GF49)*$AX49</f>
        <v>0</v>
      </c>
      <c r="KB49" s="10">
        <f t="shared" ref="KB49:KB80" si="292">(FQ49/$GF49)*$AX49</f>
        <v>10</v>
      </c>
      <c r="KC49" s="10">
        <f t="shared" ref="KC49:KC80" si="293">(FR49/$GF49)*$AX49</f>
        <v>65</v>
      </c>
      <c r="KD49" s="10">
        <f t="shared" ref="KD49:KD80" si="294">(FS49/$GF49)*$AX49</f>
        <v>0</v>
      </c>
      <c r="KE49" s="10">
        <f t="shared" ref="KE49:KE80" si="295">(FT49/$GF49)*$AX49</f>
        <v>0</v>
      </c>
      <c r="KF49" s="10">
        <f t="shared" ref="KF49:KF80" si="296">(FU49/$GF49)*$AX49</f>
        <v>12.5</v>
      </c>
      <c r="KG49" s="10">
        <f t="shared" ref="KG49:KG80" si="297">(FV49/$GF49)*$AX49</f>
        <v>0</v>
      </c>
      <c r="KH49" s="10">
        <f t="shared" ref="KH49:KH80" si="298">(FW49/$GF49)*$AX49</f>
        <v>0</v>
      </c>
      <c r="KI49" s="10">
        <f t="shared" ref="KI49:KI80" si="299">(FX49/$GF49)*$AX49</f>
        <v>0</v>
      </c>
      <c r="KJ49" s="10">
        <f t="shared" ref="KJ49:KJ80" si="300">(FY49/$GF49)*$AX49</f>
        <v>0</v>
      </c>
      <c r="KK49" s="10">
        <f t="shared" ref="KK49:KK80" si="301">(FZ49/$GF49)*$AX49</f>
        <v>0</v>
      </c>
      <c r="KL49" s="10">
        <f t="shared" ref="KL49:KL80" si="302">(GA49/$GF49)*$AX49</f>
        <v>0</v>
      </c>
      <c r="KM49" s="10">
        <f t="shared" ref="KM49:KM80" si="303">(GB49/$GF49)*$AX49</f>
        <v>0</v>
      </c>
      <c r="KN49" s="10">
        <f t="shared" ref="KN49:KN80" si="304">(GC49/$GF49)*$AX49</f>
        <v>0</v>
      </c>
      <c r="KO49" s="10">
        <f t="shared" ref="KO49:KO80" si="305">(GD49/$GF49)*$AX49</f>
        <v>0</v>
      </c>
      <c r="KP49" s="10">
        <f t="shared" ref="KP49:KP80" si="306">(GE49/$GF49)*$AX49</f>
        <v>0</v>
      </c>
      <c r="KQ49" s="11">
        <v>220</v>
      </c>
      <c r="KR49" s="16"/>
      <c r="KS49" s="12">
        <v>6039.3977172610194</v>
      </c>
      <c r="KT49" s="26">
        <v>76</v>
      </c>
      <c r="KU49" s="26">
        <v>0</v>
      </c>
      <c r="KV49" s="26"/>
      <c r="KW49" s="26">
        <v>-14.49</v>
      </c>
      <c r="KX49" s="26">
        <v>8.4700000000000006</v>
      </c>
      <c r="KY49" s="27">
        <v>2.8780427718850534</v>
      </c>
      <c r="KZ49" s="27">
        <v>3.3573171718659114</v>
      </c>
      <c r="LA49" s="17"/>
      <c r="LB49" s="2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28"/>
      <c r="ML49" t="s">
        <v>865</v>
      </c>
      <c r="MM49" t="s">
        <v>374</v>
      </c>
      <c r="MN49" t="s">
        <v>320</v>
      </c>
      <c r="MO49" t="s">
        <v>334</v>
      </c>
      <c r="MP49" t="s">
        <v>335</v>
      </c>
      <c r="MQ49" t="s">
        <v>336</v>
      </c>
      <c r="MR49">
        <v>0.05</v>
      </c>
      <c r="MS49" t="s">
        <v>375</v>
      </c>
      <c r="MT49" t="s">
        <v>376</v>
      </c>
      <c r="MU49" t="s">
        <v>377</v>
      </c>
      <c r="MV49">
        <v>700</v>
      </c>
      <c r="MW49" s="13">
        <v>383</v>
      </c>
      <c r="MX49" s="13" t="s">
        <v>378</v>
      </c>
      <c r="MY49" t="s">
        <v>240</v>
      </c>
      <c r="MZ49" t="s">
        <v>241</v>
      </c>
      <c r="NA49" t="s">
        <v>242</v>
      </c>
      <c r="NB49" t="s">
        <v>243</v>
      </c>
      <c r="ND49" s="18">
        <v>43271</v>
      </c>
      <c r="NE49" s="19">
        <v>0.97916666666666663</v>
      </c>
      <c r="NF49" t="s">
        <v>379</v>
      </c>
      <c r="NG49" t="s">
        <v>245</v>
      </c>
      <c r="NH49" t="s">
        <v>246</v>
      </c>
      <c r="NI49">
        <v>91.7</v>
      </c>
      <c r="NJ49" t="s">
        <v>244</v>
      </c>
      <c r="NK49">
        <v>2</v>
      </c>
      <c r="NL49" t="s">
        <v>247</v>
      </c>
      <c r="NM49">
        <v>29.613589999999999</v>
      </c>
      <c r="NN49">
        <v>-84.956829999999997</v>
      </c>
      <c r="NO49" t="s">
        <v>248</v>
      </c>
      <c r="NP49" t="s">
        <v>249</v>
      </c>
      <c r="NQ49">
        <v>12</v>
      </c>
      <c r="NR49" t="s">
        <v>247</v>
      </c>
      <c r="NS49" t="s">
        <v>380</v>
      </c>
      <c r="NT49" t="s">
        <v>244</v>
      </c>
      <c r="NU49" t="s">
        <v>244</v>
      </c>
      <c r="NV49" t="s">
        <v>248</v>
      </c>
      <c r="NW49" t="s">
        <v>376</v>
      </c>
      <c r="NX49" t="s">
        <v>377</v>
      </c>
      <c r="NY49">
        <v>89</v>
      </c>
      <c r="NZ49">
        <v>88.6</v>
      </c>
      <c r="OA49">
        <v>86.4</v>
      </c>
      <c r="OB49" s="14">
        <v>6039.3977172610194</v>
      </c>
      <c r="OC49" t="s">
        <v>248</v>
      </c>
      <c r="OD49" t="s">
        <v>247</v>
      </c>
      <c r="OE49" t="s">
        <v>371</v>
      </c>
      <c r="OF49" t="s">
        <v>381</v>
      </c>
      <c r="OG49" t="s">
        <v>247</v>
      </c>
      <c r="OH49">
        <v>38</v>
      </c>
      <c r="OI49" t="s">
        <v>376</v>
      </c>
      <c r="OJ49" t="s">
        <v>382</v>
      </c>
      <c r="OK49">
        <v>76</v>
      </c>
      <c r="OL49">
        <v>0</v>
      </c>
      <c r="ON49">
        <v>-14.49</v>
      </c>
      <c r="OO49">
        <v>8.4700000000000006</v>
      </c>
      <c r="OP49" s="25">
        <v>2.8780427718850534</v>
      </c>
      <c r="OQ49" s="25">
        <v>3.3573171718659114</v>
      </c>
      <c r="OR49" t="s">
        <v>910</v>
      </c>
      <c r="OS49" t="s">
        <v>910</v>
      </c>
    </row>
    <row r="50" spans="1:409" x14ac:dyDescent="0.25">
      <c r="A50">
        <v>49</v>
      </c>
      <c r="B50" s="1">
        <v>172</v>
      </c>
      <c r="C50" s="1">
        <v>16</v>
      </c>
      <c r="D50" s="1">
        <v>23</v>
      </c>
      <c r="E50" s="1">
        <v>0</v>
      </c>
      <c r="F50" s="1">
        <v>20</v>
      </c>
      <c r="G50" s="1">
        <v>12</v>
      </c>
      <c r="H50" s="1">
        <v>0</v>
      </c>
      <c r="I50" s="1">
        <v>0</v>
      </c>
      <c r="J50" s="1">
        <v>87</v>
      </c>
      <c r="K50" s="1">
        <v>7</v>
      </c>
      <c r="L50" s="1">
        <v>55</v>
      </c>
      <c r="M50" s="1">
        <v>0</v>
      </c>
      <c r="N50" s="1">
        <v>3</v>
      </c>
      <c r="O50" s="1">
        <v>0</v>
      </c>
      <c r="P50" s="1">
        <v>0</v>
      </c>
      <c r="Q50" s="1">
        <v>1</v>
      </c>
      <c r="R50" s="1">
        <v>1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2">
        <v>397</v>
      </c>
      <c r="Y50" s="3"/>
      <c r="Z50" s="15">
        <f t="shared" si="172"/>
        <v>14.239830530485849</v>
      </c>
      <c r="AA50" s="15">
        <f t="shared" si="173"/>
        <v>1.3246353981847301</v>
      </c>
      <c r="AB50" s="15">
        <f t="shared" si="174"/>
        <v>1.9041633848905495</v>
      </c>
      <c r="AC50" s="15">
        <f t="shared" si="175"/>
        <v>0</v>
      </c>
      <c r="AD50" s="15">
        <f t="shared" si="176"/>
        <v>1.6557942477309127</v>
      </c>
      <c r="AE50" s="15">
        <f t="shared" si="177"/>
        <v>0.99347654863854762</v>
      </c>
      <c r="AF50" s="15">
        <f t="shared" si="178"/>
        <v>0</v>
      </c>
      <c r="AG50" s="15">
        <f t="shared" si="179"/>
        <v>0</v>
      </c>
      <c r="AH50" s="15">
        <f t="shared" si="180"/>
        <v>7.2027049776294696</v>
      </c>
      <c r="AI50" s="15">
        <f t="shared" si="181"/>
        <v>0.5795279867058194</v>
      </c>
      <c r="AJ50" s="15">
        <f t="shared" si="182"/>
        <v>4.553434181260009</v>
      </c>
      <c r="AK50" s="15">
        <f t="shared" si="183"/>
        <v>0</v>
      </c>
      <c r="AL50" s="15">
        <f t="shared" si="184"/>
        <v>0.2483691371596369</v>
      </c>
      <c r="AM50" s="15">
        <f t="shared" si="185"/>
        <v>0</v>
      </c>
      <c r="AN50" s="15">
        <f t="shared" si="186"/>
        <v>0</v>
      </c>
      <c r="AO50" s="15">
        <f t="shared" si="187"/>
        <v>8.278971238654563E-2</v>
      </c>
      <c r="AP50" s="15">
        <f t="shared" si="188"/>
        <v>8.278971238654563E-2</v>
      </c>
      <c r="AQ50" s="15">
        <f t="shared" si="189"/>
        <v>0</v>
      </c>
      <c r="AR50" s="15">
        <f t="shared" si="190"/>
        <v>0</v>
      </c>
      <c r="AS50" s="15">
        <f t="shared" si="191"/>
        <v>0</v>
      </c>
      <c r="AT50" s="15">
        <f t="shared" si="192"/>
        <v>0</v>
      </c>
      <c r="AU50" s="15">
        <f t="shared" si="193"/>
        <v>0</v>
      </c>
      <c r="AV50" s="5">
        <f t="shared" si="194"/>
        <v>32.867515817458617</v>
      </c>
      <c r="AW50" s="16"/>
      <c r="AX50" s="6">
        <v>8600</v>
      </c>
      <c r="AY50" s="6">
        <v>800</v>
      </c>
      <c r="AZ50" s="6">
        <v>1150</v>
      </c>
      <c r="BA50" s="6">
        <v>0</v>
      </c>
      <c r="BB50" s="6">
        <v>1000</v>
      </c>
      <c r="BC50" s="6">
        <v>600</v>
      </c>
      <c r="BD50" s="6">
        <v>0</v>
      </c>
      <c r="BE50" s="6">
        <v>0</v>
      </c>
      <c r="BF50" s="6">
        <v>4350</v>
      </c>
      <c r="BG50" s="6">
        <v>350</v>
      </c>
      <c r="BH50" s="6">
        <v>2750</v>
      </c>
      <c r="BI50" s="6">
        <v>0</v>
      </c>
      <c r="BJ50" s="6">
        <v>150</v>
      </c>
      <c r="BK50" s="6">
        <v>0</v>
      </c>
      <c r="BL50" s="6">
        <v>0</v>
      </c>
      <c r="BM50" s="6">
        <v>50</v>
      </c>
      <c r="BN50" s="6">
        <v>50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7">
        <v>19850</v>
      </c>
      <c r="BU50" s="16"/>
      <c r="BV50" s="8">
        <v>0</v>
      </c>
      <c r="BW50" s="8">
        <v>12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6</v>
      </c>
      <c r="CG50" s="8">
        <v>0</v>
      </c>
      <c r="CH50" s="8">
        <v>0</v>
      </c>
      <c r="CI50" s="8">
        <v>0</v>
      </c>
      <c r="CJ50" s="8">
        <v>1</v>
      </c>
      <c r="CK50" s="8">
        <v>0</v>
      </c>
      <c r="CL50" s="8">
        <v>0</v>
      </c>
      <c r="CM50" s="8">
        <v>0</v>
      </c>
      <c r="CN50" s="8">
        <v>16</v>
      </c>
      <c r="CO50" s="8">
        <v>0</v>
      </c>
      <c r="CP50" s="8">
        <v>0</v>
      </c>
      <c r="CQ50" s="8">
        <v>1</v>
      </c>
      <c r="CR50" s="8">
        <v>27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13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1</v>
      </c>
      <c r="DS50" s="8">
        <v>0</v>
      </c>
      <c r="DT50" s="8">
        <v>0</v>
      </c>
      <c r="DU50" s="8">
        <v>0</v>
      </c>
      <c r="DV50" s="8">
        <v>0</v>
      </c>
      <c r="DW50" s="8">
        <v>3</v>
      </c>
      <c r="DX50" s="8">
        <v>1</v>
      </c>
      <c r="DY50" s="8">
        <v>1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1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2</v>
      </c>
      <c r="FN50" s="8">
        <v>0</v>
      </c>
      <c r="FO50" s="8">
        <v>0</v>
      </c>
      <c r="FP50" s="8">
        <v>0</v>
      </c>
      <c r="FQ50" s="8">
        <v>11</v>
      </c>
      <c r="FR50" s="8">
        <v>16</v>
      </c>
      <c r="FS50" s="8">
        <v>1</v>
      </c>
      <c r="FT50" s="8">
        <v>0</v>
      </c>
      <c r="FU50" s="8">
        <v>0</v>
      </c>
      <c r="FV50" s="8">
        <v>0</v>
      </c>
      <c r="FW50" s="8">
        <v>0</v>
      </c>
      <c r="FX50" s="8">
        <v>1</v>
      </c>
      <c r="FY50" s="8">
        <v>0</v>
      </c>
      <c r="FZ50" s="8">
        <v>0</v>
      </c>
      <c r="GA50" s="8">
        <v>1</v>
      </c>
      <c r="GB50" s="8">
        <v>0</v>
      </c>
      <c r="GC50" s="8">
        <v>1</v>
      </c>
      <c r="GD50" s="8">
        <v>0</v>
      </c>
      <c r="GE50" s="8">
        <v>1</v>
      </c>
      <c r="GF50" s="9">
        <v>117</v>
      </c>
      <c r="GG50" s="3"/>
      <c r="GH50" s="10">
        <f t="shared" si="195"/>
        <v>0</v>
      </c>
      <c r="GI50" s="10">
        <f t="shared" si="196"/>
        <v>882.05128205128199</v>
      </c>
      <c r="GJ50" s="10">
        <f t="shared" si="197"/>
        <v>0</v>
      </c>
      <c r="GK50" s="10">
        <f t="shared" si="198"/>
        <v>0</v>
      </c>
      <c r="GL50" s="10">
        <f t="shared" si="199"/>
        <v>0</v>
      </c>
      <c r="GM50" s="10">
        <f t="shared" si="200"/>
        <v>0</v>
      </c>
      <c r="GN50" s="10">
        <f t="shared" si="201"/>
        <v>0</v>
      </c>
      <c r="GO50" s="10">
        <f t="shared" si="202"/>
        <v>0</v>
      </c>
      <c r="GP50" s="10">
        <f t="shared" si="203"/>
        <v>0</v>
      </c>
      <c r="GQ50" s="10">
        <f t="shared" si="204"/>
        <v>0</v>
      </c>
      <c r="GR50" s="10">
        <f t="shared" si="205"/>
        <v>441.02564102564099</v>
      </c>
      <c r="GS50" s="10">
        <f t="shared" si="206"/>
        <v>0</v>
      </c>
      <c r="GT50" s="10">
        <f t="shared" si="207"/>
        <v>0</v>
      </c>
      <c r="GU50" s="10">
        <f t="shared" si="208"/>
        <v>0</v>
      </c>
      <c r="GV50" s="10">
        <f t="shared" si="209"/>
        <v>73.504273504273513</v>
      </c>
      <c r="GW50" s="10">
        <f t="shared" si="210"/>
        <v>0</v>
      </c>
      <c r="GX50" s="10">
        <f t="shared" si="211"/>
        <v>0</v>
      </c>
      <c r="GY50" s="10">
        <f t="shared" si="212"/>
        <v>0</v>
      </c>
      <c r="GZ50" s="10">
        <f t="shared" si="213"/>
        <v>1176.0683760683762</v>
      </c>
      <c r="HA50" s="10">
        <f t="shared" si="214"/>
        <v>0</v>
      </c>
      <c r="HB50" s="10">
        <f t="shared" si="215"/>
        <v>0</v>
      </c>
      <c r="HC50" s="10">
        <f t="shared" si="216"/>
        <v>73.504273504273513</v>
      </c>
      <c r="HD50" s="10">
        <f t="shared" si="217"/>
        <v>1984.6153846153848</v>
      </c>
      <c r="HE50" s="10">
        <f t="shared" si="218"/>
        <v>0</v>
      </c>
      <c r="HF50" s="10">
        <f t="shared" si="219"/>
        <v>0</v>
      </c>
      <c r="HG50" s="10">
        <f t="shared" si="220"/>
        <v>0</v>
      </c>
      <c r="HH50" s="10">
        <f t="shared" si="221"/>
        <v>0</v>
      </c>
      <c r="HI50" s="10">
        <f t="shared" si="222"/>
        <v>0</v>
      </c>
      <c r="HJ50" s="10">
        <f t="shared" si="223"/>
        <v>0</v>
      </c>
      <c r="HK50" s="10">
        <f t="shared" si="224"/>
        <v>0</v>
      </c>
      <c r="HL50" s="10">
        <f t="shared" si="225"/>
        <v>0</v>
      </c>
      <c r="HM50" s="10">
        <f t="shared" si="226"/>
        <v>0</v>
      </c>
      <c r="HN50" s="10">
        <f t="shared" si="227"/>
        <v>0</v>
      </c>
      <c r="HO50" s="10">
        <f t="shared" si="228"/>
        <v>955.55555555555554</v>
      </c>
      <c r="HP50" s="10">
        <f t="shared" si="229"/>
        <v>0</v>
      </c>
      <c r="HQ50" s="10">
        <f t="shared" si="230"/>
        <v>0</v>
      </c>
      <c r="HR50" s="10">
        <f t="shared" si="231"/>
        <v>0</v>
      </c>
      <c r="HS50" s="10">
        <f t="shared" si="232"/>
        <v>0</v>
      </c>
      <c r="HT50" s="10">
        <f t="shared" si="233"/>
        <v>0</v>
      </c>
      <c r="HU50" s="10">
        <f t="shared" si="234"/>
        <v>0</v>
      </c>
      <c r="HV50" s="10">
        <f t="shared" si="235"/>
        <v>0</v>
      </c>
      <c r="HW50" s="10">
        <f t="shared" si="236"/>
        <v>0</v>
      </c>
      <c r="HX50" s="10">
        <f t="shared" si="237"/>
        <v>0</v>
      </c>
      <c r="HY50" s="10">
        <f t="shared" si="238"/>
        <v>0</v>
      </c>
      <c r="HZ50" s="10">
        <f t="shared" si="239"/>
        <v>0</v>
      </c>
      <c r="IA50" s="10">
        <f t="shared" si="240"/>
        <v>0</v>
      </c>
      <c r="IB50" s="10">
        <f t="shared" si="241"/>
        <v>0</v>
      </c>
      <c r="IC50" s="10">
        <f t="shared" si="242"/>
        <v>0</v>
      </c>
      <c r="ID50" s="10">
        <f t="shared" si="243"/>
        <v>73.504273504273513</v>
      </c>
      <c r="IE50" s="10">
        <f t="shared" si="244"/>
        <v>0</v>
      </c>
      <c r="IF50" s="10">
        <f t="shared" si="245"/>
        <v>0</v>
      </c>
      <c r="IG50" s="10">
        <f t="shared" si="246"/>
        <v>0</v>
      </c>
      <c r="IH50" s="10">
        <f t="shared" si="247"/>
        <v>0</v>
      </c>
      <c r="II50" s="10">
        <f t="shared" si="248"/>
        <v>220.5128205128205</v>
      </c>
      <c r="IJ50" s="10">
        <f t="shared" si="249"/>
        <v>73.504273504273513</v>
      </c>
      <c r="IK50" s="10">
        <f t="shared" si="250"/>
        <v>73.504273504273513</v>
      </c>
      <c r="IL50" s="10">
        <f t="shared" si="251"/>
        <v>0</v>
      </c>
      <c r="IM50" s="10">
        <f t="shared" si="252"/>
        <v>0</v>
      </c>
      <c r="IN50" s="10">
        <f t="shared" si="253"/>
        <v>0</v>
      </c>
      <c r="IO50" s="10">
        <f t="shared" si="254"/>
        <v>0</v>
      </c>
      <c r="IP50" s="10">
        <f t="shared" si="255"/>
        <v>0</v>
      </c>
      <c r="IQ50" s="10">
        <f t="shared" si="256"/>
        <v>0</v>
      </c>
      <c r="IR50" s="10">
        <f t="shared" si="257"/>
        <v>0</v>
      </c>
      <c r="IS50" s="10">
        <f t="shared" si="258"/>
        <v>0</v>
      </c>
      <c r="IT50" s="10">
        <f t="shared" si="259"/>
        <v>0</v>
      </c>
      <c r="IU50" s="10">
        <f t="shared" si="260"/>
        <v>0</v>
      </c>
      <c r="IV50" s="10">
        <f t="shared" si="261"/>
        <v>0</v>
      </c>
      <c r="IW50" s="10">
        <f t="shared" si="262"/>
        <v>0</v>
      </c>
      <c r="IX50" s="10">
        <f t="shared" si="263"/>
        <v>0</v>
      </c>
      <c r="IY50" s="10">
        <f t="shared" si="264"/>
        <v>0</v>
      </c>
      <c r="IZ50" s="10">
        <f t="shared" si="265"/>
        <v>0</v>
      </c>
      <c r="JA50" s="10">
        <f t="shared" si="266"/>
        <v>0</v>
      </c>
      <c r="JB50" s="10">
        <f t="shared" si="267"/>
        <v>0</v>
      </c>
      <c r="JC50" s="10">
        <f t="shared" si="268"/>
        <v>0</v>
      </c>
      <c r="JD50" s="10">
        <f t="shared" si="269"/>
        <v>0</v>
      </c>
      <c r="JE50" s="10">
        <f t="shared" si="270"/>
        <v>0</v>
      </c>
      <c r="JF50" s="10">
        <f t="shared" si="271"/>
        <v>0</v>
      </c>
      <c r="JG50" s="10">
        <v>0</v>
      </c>
      <c r="JH50" s="10">
        <f t="shared" si="272"/>
        <v>0</v>
      </c>
      <c r="JI50" s="10">
        <f t="shared" si="273"/>
        <v>0</v>
      </c>
      <c r="JJ50" s="10">
        <f t="shared" si="274"/>
        <v>0</v>
      </c>
      <c r="JK50" s="10">
        <f t="shared" si="275"/>
        <v>0</v>
      </c>
      <c r="JL50" s="10">
        <f t="shared" si="276"/>
        <v>0</v>
      </c>
      <c r="JM50" s="10">
        <f t="shared" si="277"/>
        <v>0</v>
      </c>
      <c r="JN50" s="10">
        <f t="shared" si="278"/>
        <v>73.504273504273513</v>
      </c>
      <c r="JO50" s="10">
        <f t="shared" si="279"/>
        <v>0</v>
      </c>
      <c r="JP50" s="10">
        <f t="shared" si="280"/>
        <v>0</v>
      </c>
      <c r="JQ50" s="10">
        <f t="shared" si="281"/>
        <v>0</v>
      </c>
      <c r="JR50" s="10">
        <f t="shared" si="282"/>
        <v>0</v>
      </c>
      <c r="JS50" s="10">
        <f t="shared" si="283"/>
        <v>0</v>
      </c>
      <c r="JT50" s="10">
        <f t="shared" si="284"/>
        <v>0</v>
      </c>
      <c r="JU50" s="10">
        <f t="shared" si="285"/>
        <v>0</v>
      </c>
      <c r="JV50" s="10">
        <f t="shared" si="286"/>
        <v>0</v>
      </c>
      <c r="JW50" s="10">
        <f t="shared" si="287"/>
        <v>0</v>
      </c>
      <c r="JX50" s="10">
        <f t="shared" si="288"/>
        <v>147.00854700854703</v>
      </c>
      <c r="JY50" s="10">
        <f t="shared" si="289"/>
        <v>0</v>
      </c>
      <c r="JZ50" s="10">
        <f t="shared" si="290"/>
        <v>0</v>
      </c>
      <c r="KA50" s="10">
        <f t="shared" si="291"/>
        <v>0</v>
      </c>
      <c r="KB50" s="10">
        <f t="shared" si="292"/>
        <v>808.54700854700855</v>
      </c>
      <c r="KC50" s="10">
        <f t="shared" si="293"/>
        <v>1176.0683760683762</v>
      </c>
      <c r="KD50" s="10">
        <f t="shared" si="294"/>
        <v>73.504273504273513</v>
      </c>
      <c r="KE50" s="10">
        <f t="shared" si="295"/>
        <v>0</v>
      </c>
      <c r="KF50" s="10">
        <f t="shared" si="296"/>
        <v>0</v>
      </c>
      <c r="KG50" s="10">
        <f t="shared" si="297"/>
        <v>0</v>
      </c>
      <c r="KH50" s="10">
        <f t="shared" si="298"/>
        <v>0</v>
      </c>
      <c r="KI50" s="10">
        <f t="shared" si="299"/>
        <v>73.504273504273513</v>
      </c>
      <c r="KJ50" s="10">
        <f t="shared" si="300"/>
        <v>0</v>
      </c>
      <c r="KK50" s="10">
        <f t="shared" si="301"/>
        <v>0</v>
      </c>
      <c r="KL50" s="10">
        <f t="shared" si="302"/>
        <v>73.504273504273513</v>
      </c>
      <c r="KM50" s="10">
        <f t="shared" si="303"/>
        <v>0</v>
      </c>
      <c r="KN50" s="10">
        <f t="shared" si="304"/>
        <v>73.504273504273513</v>
      </c>
      <c r="KO50" s="10">
        <f t="shared" si="305"/>
        <v>0</v>
      </c>
      <c r="KP50" s="10">
        <f t="shared" si="306"/>
        <v>73.504273504273513</v>
      </c>
      <c r="KQ50" s="11">
        <v>8600</v>
      </c>
      <c r="KR50" s="16"/>
      <c r="KS50" s="12">
        <v>6039.3977172610194</v>
      </c>
      <c r="KT50" s="26">
        <v>76</v>
      </c>
      <c r="KU50" s="26">
        <v>0</v>
      </c>
      <c r="KV50" s="26"/>
      <c r="KW50" s="26">
        <v>-14.49</v>
      </c>
      <c r="KX50" s="26">
        <v>8.4700000000000006</v>
      </c>
      <c r="KY50" s="27">
        <v>2.8780427718850534</v>
      </c>
      <c r="KZ50" s="27">
        <v>3.3573171718659114</v>
      </c>
      <c r="LA50" s="17"/>
      <c r="LB50" s="2">
        <v>489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13</v>
      </c>
      <c r="LM50" s="1">
        <v>85</v>
      </c>
      <c r="LN50" s="1">
        <v>134</v>
      </c>
      <c r="LO50" s="1">
        <v>0</v>
      </c>
      <c r="LP50" s="1">
        <v>2</v>
      </c>
      <c r="LQ50" s="1">
        <v>0</v>
      </c>
      <c r="LR50" s="1">
        <v>0</v>
      </c>
      <c r="LS50" s="1">
        <v>1</v>
      </c>
      <c r="LT50" s="1">
        <v>3</v>
      </c>
      <c r="LU50" s="1">
        <v>0</v>
      </c>
      <c r="LV50" s="1">
        <v>0</v>
      </c>
      <c r="LW50" s="1">
        <v>0</v>
      </c>
      <c r="LX50" s="1">
        <v>2</v>
      </c>
      <c r="LY50" s="1">
        <v>3</v>
      </c>
      <c r="LZ50" s="1">
        <v>9</v>
      </c>
      <c r="MA50" s="1">
        <v>12</v>
      </c>
      <c r="MB50" s="1">
        <v>0</v>
      </c>
      <c r="MC50" s="1">
        <v>0</v>
      </c>
      <c r="MD50" s="1">
        <v>223</v>
      </c>
      <c r="ME50" s="1">
        <v>0</v>
      </c>
      <c r="MF50" s="1">
        <v>0</v>
      </c>
      <c r="MG50" s="1">
        <v>0</v>
      </c>
      <c r="MH50" s="1">
        <v>0</v>
      </c>
      <c r="MI50" s="1">
        <v>2</v>
      </c>
      <c r="MJ50" s="1">
        <v>0</v>
      </c>
      <c r="MK50" s="28"/>
      <c r="ML50" t="s">
        <v>866</v>
      </c>
      <c r="MM50" t="s">
        <v>374</v>
      </c>
      <c r="MN50" t="s">
        <v>320</v>
      </c>
      <c r="MO50" t="s">
        <v>337</v>
      </c>
      <c r="MP50" t="s">
        <v>338</v>
      </c>
      <c r="MQ50" t="s">
        <v>339</v>
      </c>
      <c r="MR50">
        <v>0.02</v>
      </c>
      <c r="MS50" t="s">
        <v>375</v>
      </c>
      <c r="MT50" t="s">
        <v>376</v>
      </c>
      <c r="MU50" t="s">
        <v>377</v>
      </c>
      <c r="MV50">
        <v>19850</v>
      </c>
      <c r="MW50" s="13">
        <v>383</v>
      </c>
      <c r="MX50" s="13" t="s">
        <v>378</v>
      </c>
      <c r="MY50" t="s">
        <v>240</v>
      </c>
      <c r="MZ50" t="s">
        <v>241</v>
      </c>
      <c r="NA50" t="s">
        <v>242</v>
      </c>
      <c r="NB50" t="s">
        <v>243</v>
      </c>
      <c r="ND50" s="18">
        <v>43271</v>
      </c>
      <c r="NE50" s="19">
        <v>0.97916666666666663</v>
      </c>
      <c r="NF50" t="s">
        <v>379</v>
      </c>
      <c r="NG50" t="s">
        <v>245</v>
      </c>
      <c r="NH50" t="s">
        <v>246</v>
      </c>
      <c r="NI50">
        <v>91.7</v>
      </c>
      <c r="NJ50" t="s">
        <v>244</v>
      </c>
      <c r="NK50">
        <v>2</v>
      </c>
      <c r="NL50" t="s">
        <v>247</v>
      </c>
      <c r="NM50">
        <v>29.613589999999999</v>
      </c>
      <c r="NN50">
        <v>-84.956829999999997</v>
      </c>
      <c r="NO50" t="s">
        <v>248</v>
      </c>
      <c r="NP50" t="s">
        <v>249</v>
      </c>
      <c r="NQ50">
        <v>12</v>
      </c>
      <c r="NR50" t="s">
        <v>247</v>
      </c>
      <c r="NS50" t="s">
        <v>380</v>
      </c>
      <c r="NT50" t="s">
        <v>244</v>
      </c>
      <c r="NU50" t="s">
        <v>244</v>
      </c>
      <c r="NV50" t="s">
        <v>248</v>
      </c>
      <c r="NW50" t="s">
        <v>376</v>
      </c>
      <c r="NX50" t="s">
        <v>377</v>
      </c>
      <c r="NY50">
        <v>89</v>
      </c>
      <c r="NZ50">
        <v>88.6</v>
      </c>
      <c r="OA50">
        <v>86.4</v>
      </c>
      <c r="OB50" s="14">
        <v>6039.3977172610194</v>
      </c>
      <c r="OC50" t="s">
        <v>248</v>
      </c>
      <c r="OD50" t="s">
        <v>247</v>
      </c>
      <c r="OE50" t="s">
        <v>371</v>
      </c>
      <c r="OF50" t="s">
        <v>381</v>
      </c>
      <c r="OG50" t="s">
        <v>247</v>
      </c>
      <c r="OH50">
        <v>37</v>
      </c>
      <c r="OI50" t="s">
        <v>376</v>
      </c>
      <c r="OJ50" t="s">
        <v>382</v>
      </c>
      <c r="OK50">
        <v>76</v>
      </c>
      <c r="OL50">
        <v>0</v>
      </c>
      <c r="ON50">
        <v>-14.49</v>
      </c>
      <c r="OO50">
        <v>8.4700000000000006</v>
      </c>
      <c r="OP50" s="25">
        <v>2.8780427718850534</v>
      </c>
      <c r="OQ50" s="25">
        <v>3.3573171718659114</v>
      </c>
      <c r="OR50" t="s">
        <v>910</v>
      </c>
      <c r="OS50" t="s">
        <v>910</v>
      </c>
    </row>
    <row r="51" spans="1:409" x14ac:dyDescent="0.25">
      <c r="A51">
        <v>50</v>
      </c>
      <c r="B51" s="1">
        <v>159</v>
      </c>
      <c r="C51" s="1">
        <v>79</v>
      </c>
      <c r="D51" s="1">
        <v>7</v>
      </c>
      <c r="E51" s="1">
        <v>16</v>
      </c>
      <c r="F51" s="1">
        <v>75</v>
      </c>
      <c r="G51" s="1">
        <v>24</v>
      </c>
      <c r="H51" s="1">
        <v>3</v>
      </c>
      <c r="I51" s="1">
        <v>0</v>
      </c>
      <c r="J51" s="1">
        <v>7</v>
      </c>
      <c r="K51" s="1">
        <v>0</v>
      </c>
      <c r="L51" s="1">
        <v>288</v>
      </c>
      <c r="M51" s="1">
        <v>0</v>
      </c>
      <c r="N51" s="1">
        <v>13</v>
      </c>
      <c r="O51" s="1">
        <v>0</v>
      </c>
      <c r="P51" s="1">
        <v>0</v>
      </c>
      <c r="Q51" s="1">
        <v>21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2">
        <v>693</v>
      </c>
      <c r="Y51" s="3"/>
      <c r="Z51" s="15">
        <f t="shared" si="172"/>
        <v>6.5630904367791896</v>
      </c>
      <c r="AA51" s="15">
        <f t="shared" si="173"/>
        <v>3.2609065692173331</v>
      </c>
      <c r="AB51" s="15">
        <f t="shared" si="174"/>
        <v>0.28894108841166244</v>
      </c>
      <c r="AC51" s="15">
        <f t="shared" si="175"/>
        <v>0.66043677351237129</v>
      </c>
      <c r="AD51" s="15">
        <f t="shared" si="176"/>
        <v>3.0957973758392403</v>
      </c>
      <c r="AE51" s="15">
        <f t="shared" si="177"/>
        <v>0.99065516026855693</v>
      </c>
      <c r="AF51" s="15">
        <f t="shared" si="178"/>
        <v>0.12383189503356962</v>
      </c>
      <c r="AG51" s="15">
        <f t="shared" si="179"/>
        <v>0</v>
      </c>
      <c r="AH51" s="15">
        <f t="shared" si="180"/>
        <v>0.28894108841166244</v>
      </c>
      <c r="AI51" s="15">
        <f t="shared" si="181"/>
        <v>0</v>
      </c>
      <c r="AJ51" s="15">
        <f t="shared" si="182"/>
        <v>11.887861923222683</v>
      </c>
      <c r="AK51" s="15">
        <f t="shared" si="183"/>
        <v>0</v>
      </c>
      <c r="AL51" s="15">
        <f t="shared" si="184"/>
        <v>0.53660487847880167</v>
      </c>
      <c r="AM51" s="15">
        <f t="shared" si="185"/>
        <v>0</v>
      </c>
      <c r="AN51" s="15">
        <f t="shared" si="186"/>
        <v>0</v>
      </c>
      <c r="AO51" s="15">
        <f t="shared" si="187"/>
        <v>0.86682326523498732</v>
      </c>
      <c r="AP51" s="15">
        <f t="shared" si="188"/>
        <v>0</v>
      </c>
      <c r="AQ51" s="15">
        <f t="shared" si="189"/>
        <v>4.1277298344523206E-2</v>
      </c>
      <c r="AR51" s="15">
        <f t="shared" si="190"/>
        <v>0</v>
      </c>
      <c r="AS51" s="15">
        <f t="shared" si="191"/>
        <v>0</v>
      </c>
      <c r="AT51" s="15">
        <f t="shared" si="192"/>
        <v>0</v>
      </c>
      <c r="AU51" s="15">
        <f t="shared" si="193"/>
        <v>0</v>
      </c>
      <c r="AV51" s="5">
        <f t="shared" si="194"/>
        <v>28.605167752754582</v>
      </c>
      <c r="AW51" s="16"/>
      <c r="AX51" s="6">
        <v>5300</v>
      </c>
      <c r="AY51" s="6">
        <v>2633.3333333333335</v>
      </c>
      <c r="AZ51" s="6">
        <v>233.33333333333334</v>
      </c>
      <c r="BA51" s="6">
        <v>533.33333333333337</v>
      </c>
      <c r="BB51" s="6">
        <v>2500</v>
      </c>
      <c r="BC51" s="6">
        <v>800</v>
      </c>
      <c r="BD51" s="6">
        <v>100</v>
      </c>
      <c r="BE51" s="6">
        <v>0</v>
      </c>
      <c r="BF51" s="6">
        <v>233.33333333333334</v>
      </c>
      <c r="BG51" s="6">
        <v>0</v>
      </c>
      <c r="BH51" s="6">
        <v>9600</v>
      </c>
      <c r="BI51" s="6">
        <v>0</v>
      </c>
      <c r="BJ51" s="6">
        <v>433.33333333333337</v>
      </c>
      <c r="BK51" s="6">
        <v>0</v>
      </c>
      <c r="BL51" s="6">
        <v>0</v>
      </c>
      <c r="BM51" s="6">
        <v>700</v>
      </c>
      <c r="BN51" s="6">
        <v>0</v>
      </c>
      <c r="BO51" s="6">
        <v>33.333333333333336</v>
      </c>
      <c r="BP51" s="6">
        <v>0</v>
      </c>
      <c r="BQ51" s="6">
        <v>0</v>
      </c>
      <c r="BR51" s="6">
        <v>0</v>
      </c>
      <c r="BS51" s="6">
        <v>0</v>
      </c>
      <c r="BT51" s="7">
        <v>23100</v>
      </c>
      <c r="BU51" s="16"/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3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116.99999999999997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1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1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4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2</v>
      </c>
      <c r="GB51" s="8">
        <v>0</v>
      </c>
      <c r="GC51" s="8">
        <v>0</v>
      </c>
      <c r="GD51" s="8">
        <v>1</v>
      </c>
      <c r="GE51" s="8">
        <v>0</v>
      </c>
      <c r="GF51" s="9">
        <v>128.99999999999997</v>
      </c>
      <c r="GG51" s="3"/>
      <c r="GH51" s="10">
        <f t="shared" si="195"/>
        <v>0</v>
      </c>
      <c r="GI51" s="10">
        <f t="shared" si="196"/>
        <v>0</v>
      </c>
      <c r="GJ51" s="10">
        <f t="shared" si="197"/>
        <v>0</v>
      </c>
      <c r="GK51" s="10">
        <f t="shared" si="198"/>
        <v>0</v>
      </c>
      <c r="GL51" s="10">
        <f t="shared" si="199"/>
        <v>0</v>
      </c>
      <c r="GM51" s="10">
        <f t="shared" si="200"/>
        <v>0</v>
      </c>
      <c r="GN51" s="10">
        <f t="shared" si="201"/>
        <v>0</v>
      </c>
      <c r="GO51" s="10">
        <f t="shared" si="202"/>
        <v>0</v>
      </c>
      <c r="GP51" s="10">
        <f t="shared" si="203"/>
        <v>0</v>
      </c>
      <c r="GQ51" s="10">
        <f t="shared" si="204"/>
        <v>0</v>
      </c>
      <c r="GR51" s="10">
        <f t="shared" si="205"/>
        <v>123.25581395348841</v>
      </c>
      <c r="GS51" s="10">
        <f t="shared" si="206"/>
        <v>0</v>
      </c>
      <c r="GT51" s="10">
        <f t="shared" si="207"/>
        <v>0</v>
      </c>
      <c r="GU51" s="10">
        <f t="shared" si="208"/>
        <v>0</v>
      </c>
      <c r="GV51" s="10">
        <f t="shared" si="209"/>
        <v>0</v>
      </c>
      <c r="GW51" s="10">
        <f t="shared" si="210"/>
        <v>0</v>
      </c>
      <c r="GX51" s="10">
        <f t="shared" si="211"/>
        <v>0</v>
      </c>
      <c r="GY51" s="10">
        <f t="shared" si="212"/>
        <v>0</v>
      </c>
      <c r="GZ51" s="10">
        <f t="shared" si="213"/>
        <v>4806.9767441860458</v>
      </c>
      <c r="HA51" s="10">
        <f t="shared" si="214"/>
        <v>0</v>
      </c>
      <c r="HB51" s="10">
        <f t="shared" si="215"/>
        <v>0</v>
      </c>
      <c r="HC51" s="10">
        <f t="shared" si="216"/>
        <v>0</v>
      </c>
      <c r="HD51" s="10">
        <f t="shared" si="217"/>
        <v>0</v>
      </c>
      <c r="HE51" s="10">
        <f t="shared" si="218"/>
        <v>0</v>
      </c>
      <c r="HF51" s="10">
        <f t="shared" si="219"/>
        <v>0</v>
      </c>
      <c r="HG51" s="10">
        <f t="shared" si="220"/>
        <v>0</v>
      </c>
      <c r="HH51" s="10">
        <f t="shared" si="221"/>
        <v>0</v>
      </c>
      <c r="HI51" s="10">
        <f t="shared" si="222"/>
        <v>0</v>
      </c>
      <c r="HJ51" s="10">
        <f t="shared" si="223"/>
        <v>0</v>
      </c>
      <c r="HK51" s="10">
        <f t="shared" si="224"/>
        <v>0</v>
      </c>
      <c r="HL51" s="10">
        <f t="shared" si="225"/>
        <v>41.085271317829466</v>
      </c>
      <c r="HM51" s="10">
        <f t="shared" si="226"/>
        <v>0</v>
      </c>
      <c r="HN51" s="10">
        <f t="shared" si="227"/>
        <v>0</v>
      </c>
      <c r="HO51" s="10">
        <f t="shared" si="228"/>
        <v>0</v>
      </c>
      <c r="HP51" s="10">
        <f t="shared" si="229"/>
        <v>0</v>
      </c>
      <c r="HQ51" s="10">
        <f t="shared" si="230"/>
        <v>0</v>
      </c>
      <c r="HR51" s="10">
        <f t="shared" si="231"/>
        <v>0</v>
      </c>
      <c r="HS51" s="10">
        <f t="shared" si="232"/>
        <v>0</v>
      </c>
      <c r="HT51" s="10">
        <f t="shared" si="233"/>
        <v>0</v>
      </c>
      <c r="HU51" s="10">
        <f t="shared" si="234"/>
        <v>0</v>
      </c>
      <c r="HV51" s="10">
        <f t="shared" si="235"/>
        <v>0</v>
      </c>
      <c r="HW51" s="10">
        <f t="shared" si="236"/>
        <v>0</v>
      </c>
      <c r="HX51" s="10">
        <f t="shared" si="237"/>
        <v>0</v>
      </c>
      <c r="HY51" s="10">
        <f t="shared" si="238"/>
        <v>0</v>
      </c>
      <c r="HZ51" s="10">
        <f t="shared" si="239"/>
        <v>0</v>
      </c>
      <c r="IA51" s="10">
        <f t="shared" si="240"/>
        <v>0</v>
      </c>
      <c r="IB51" s="10">
        <f t="shared" si="241"/>
        <v>0</v>
      </c>
      <c r="IC51" s="10">
        <f t="shared" si="242"/>
        <v>0</v>
      </c>
      <c r="ID51" s="10">
        <f t="shared" si="243"/>
        <v>0</v>
      </c>
      <c r="IE51" s="10">
        <f t="shared" si="244"/>
        <v>0</v>
      </c>
      <c r="IF51" s="10">
        <f t="shared" si="245"/>
        <v>0</v>
      </c>
      <c r="IG51" s="10">
        <f t="shared" si="246"/>
        <v>0</v>
      </c>
      <c r="IH51" s="10">
        <f t="shared" si="247"/>
        <v>0</v>
      </c>
      <c r="II51" s="10">
        <f t="shared" si="248"/>
        <v>41.085271317829466</v>
      </c>
      <c r="IJ51" s="10">
        <f t="shared" si="249"/>
        <v>0</v>
      </c>
      <c r="IK51" s="10">
        <f t="shared" si="250"/>
        <v>0</v>
      </c>
      <c r="IL51" s="10">
        <f t="shared" si="251"/>
        <v>0</v>
      </c>
      <c r="IM51" s="10">
        <f t="shared" si="252"/>
        <v>0</v>
      </c>
      <c r="IN51" s="10">
        <f t="shared" si="253"/>
        <v>0</v>
      </c>
      <c r="IO51" s="10">
        <f t="shared" si="254"/>
        <v>0</v>
      </c>
      <c r="IP51" s="10">
        <f t="shared" si="255"/>
        <v>0</v>
      </c>
      <c r="IQ51" s="10">
        <f t="shared" si="256"/>
        <v>0</v>
      </c>
      <c r="IR51" s="10">
        <f t="shared" si="257"/>
        <v>0</v>
      </c>
      <c r="IS51" s="10">
        <f t="shared" si="258"/>
        <v>0</v>
      </c>
      <c r="IT51" s="10">
        <f t="shared" si="259"/>
        <v>0</v>
      </c>
      <c r="IU51" s="10">
        <f t="shared" si="260"/>
        <v>0</v>
      </c>
      <c r="IV51" s="10">
        <f t="shared" si="261"/>
        <v>0</v>
      </c>
      <c r="IW51" s="10">
        <f t="shared" si="262"/>
        <v>0</v>
      </c>
      <c r="IX51" s="10">
        <f t="shared" si="263"/>
        <v>0</v>
      </c>
      <c r="IY51" s="10">
        <f t="shared" si="264"/>
        <v>0</v>
      </c>
      <c r="IZ51" s="10">
        <f t="shared" si="265"/>
        <v>0</v>
      </c>
      <c r="JA51" s="10">
        <f t="shared" si="266"/>
        <v>0</v>
      </c>
      <c r="JB51" s="10">
        <f t="shared" si="267"/>
        <v>0</v>
      </c>
      <c r="JC51" s="10">
        <f t="shared" si="268"/>
        <v>0</v>
      </c>
      <c r="JD51" s="10">
        <f t="shared" si="269"/>
        <v>0</v>
      </c>
      <c r="JE51" s="10">
        <f t="shared" si="270"/>
        <v>0</v>
      </c>
      <c r="JF51" s="10">
        <f t="shared" si="271"/>
        <v>0</v>
      </c>
      <c r="JG51" s="10">
        <v>0</v>
      </c>
      <c r="JH51" s="10">
        <f t="shared" si="272"/>
        <v>0</v>
      </c>
      <c r="JI51" s="10">
        <f t="shared" si="273"/>
        <v>0</v>
      </c>
      <c r="JJ51" s="10">
        <f t="shared" si="274"/>
        <v>0</v>
      </c>
      <c r="JK51" s="10">
        <f t="shared" si="275"/>
        <v>0</v>
      </c>
      <c r="JL51" s="10">
        <f t="shared" si="276"/>
        <v>0</v>
      </c>
      <c r="JM51" s="10">
        <f t="shared" si="277"/>
        <v>0</v>
      </c>
      <c r="JN51" s="10">
        <f t="shared" si="278"/>
        <v>0</v>
      </c>
      <c r="JO51" s="10">
        <f t="shared" si="279"/>
        <v>0</v>
      </c>
      <c r="JP51" s="10">
        <f t="shared" si="280"/>
        <v>0</v>
      </c>
      <c r="JQ51" s="10">
        <f t="shared" si="281"/>
        <v>0</v>
      </c>
      <c r="JR51" s="10">
        <f t="shared" si="282"/>
        <v>0</v>
      </c>
      <c r="JS51" s="10">
        <f t="shared" si="283"/>
        <v>0</v>
      </c>
      <c r="JT51" s="10">
        <f t="shared" si="284"/>
        <v>0</v>
      </c>
      <c r="JU51" s="10">
        <f t="shared" si="285"/>
        <v>0</v>
      </c>
      <c r="JV51" s="10">
        <f t="shared" si="286"/>
        <v>0</v>
      </c>
      <c r="JW51" s="10">
        <f t="shared" si="287"/>
        <v>0</v>
      </c>
      <c r="JX51" s="10">
        <f t="shared" si="288"/>
        <v>0</v>
      </c>
      <c r="JY51" s="10">
        <f t="shared" si="289"/>
        <v>0</v>
      </c>
      <c r="JZ51" s="10">
        <f t="shared" si="290"/>
        <v>0</v>
      </c>
      <c r="KA51" s="10">
        <f t="shared" si="291"/>
        <v>0</v>
      </c>
      <c r="KB51" s="10">
        <f t="shared" si="292"/>
        <v>0</v>
      </c>
      <c r="KC51" s="10">
        <f t="shared" si="293"/>
        <v>164.34108527131787</v>
      </c>
      <c r="KD51" s="10">
        <f t="shared" si="294"/>
        <v>0</v>
      </c>
      <c r="KE51" s="10">
        <f t="shared" si="295"/>
        <v>0</v>
      </c>
      <c r="KF51" s="10">
        <f t="shared" si="296"/>
        <v>0</v>
      </c>
      <c r="KG51" s="10">
        <f t="shared" si="297"/>
        <v>0</v>
      </c>
      <c r="KH51" s="10">
        <f t="shared" si="298"/>
        <v>0</v>
      </c>
      <c r="KI51" s="10">
        <f t="shared" si="299"/>
        <v>0</v>
      </c>
      <c r="KJ51" s="10">
        <f t="shared" si="300"/>
        <v>0</v>
      </c>
      <c r="KK51" s="10">
        <f t="shared" si="301"/>
        <v>0</v>
      </c>
      <c r="KL51" s="10">
        <f t="shared" si="302"/>
        <v>82.170542635658933</v>
      </c>
      <c r="KM51" s="10">
        <f t="shared" si="303"/>
        <v>0</v>
      </c>
      <c r="KN51" s="10">
        <f t="shared" si="304"/>
        <v>0</v>
      </c>
      <c r="KO51" s="10">
        <f t="shared" si="305"/>
        <v>41.085271317829466</v>
      </c>
      <c r="KP51" s="10">
        <f t="shared" si="306"/>
        <v>0</v>
      </c>
      <c r="KQ51" s="11">
        <v>5299.9999999999991</v>
      </c>
      <c r="KR51" s="16"/>
      <c r="KS51" s="12">
        <v>8075.463916052563</v>
      </c>
      <c r="KT51" s="26">
        <v>127</v>
      </c>
      <c r="KU51" s="26">
        <v>0.96850393700787396</v>
      </c>
      <c r="KV51" s="26">
        <v>1</v>
      </c>
      <c r="KW51" s="26">
        <v>-14.31</v>
      </c>
      <c r="KX51" s="26">
        <v>15.74</v>
      </c>
      <c r="KY51" s="27">
        <v>2.864166512863298</v>
      </c>
      <c r="KZ51" s="27">
        <v>3.3411301286606832</v>
      </c>
      <c r="LA51" s="17"/>
      <c r="LB51" s="2">
        <v>2987</v>
      </c>
      <c r="LC51" s="1">
        <v>825</v>
      </c>
      <c r="LD51" s="1">
        <v>0</v>
      </c>
      <c r="LE51" s="1">
        <v>0</v>
      </c>
      <c r="LF51" s="1">
        <v>0</v>
      </c>
      <c r="LG51" s="1">
        <v>12</v>
      </c>
      <c r="LH51" s="1">
        <v>0</v>
      </c>
      <c r="LI51" s="1">
        <v>12</v>
      </c>
      <c r="LJ51" s="1">
        <v>0</v>
      </c>
      <c r="LK51" s="1">
        <v>0</v>
      </c>
      <c r="LL51" s="1">
        <v>1376</v>
      </c>
      <c r="LM51" s="1">
        <v>73</v>
      </c>
      <c r="LN51" s="1">
        <v>344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232</v>
      </c>
      <c r="LU51" s="1">
        <v>0</v>
      </c>
      <c r="LV51" s="1">
        <v>0</v>
      </c>
      <c r="LW51" s="1">
        <v>0</v>
      </c>
      <c r="LX51" s="1">
        <v>0</v>
      </c>
      <c r="LY51" s="1">
        <v>1</v>
      </c>
      <c r="LZ51" s="1">
        <v>0</v>
      </c>
      <c r="MA51" s="1">
        <v>8</v>
      </c>
      <c r="MB51" s="1">
        <v>0</v>
      </c>
      <c r="MC51" s="1">
        <v>0</v>
      </c>
      <c r="MD51" s="1">
        <v>100</v>
      </c>
      <c r="ME51" s="1">
        <v>0</v>
      </c>
      <c r="MF51" s="1">
        <v>0</v>
      </c>
      <c r="MG51" s="1">
        <v>0</v>
      </c>
      <c r="MH51" s="1">
        <v>0</v>
      </c>
      <c r="MI51" s="1">
        <v>4</v>
      </c>
      <c r="MJ51" s="1">
        <v>0</v>
      </c>
      <c r="MK51" s="28"/>
      <c r="ML51" t="s">
        <v>867</v>
      </c>
      <c r="MM51" t="s">
        <v>383</v>
      </c>
      <c r="MN51" t="s">
        <v>320</v>
      </c>
      <c r="MO51" t="s">
        <v>321</v>
      </c>
      <c r="MP51" t="s">
        <v>322</v>
      </c>
      <c r="MQ51" t="s">
        <v>323</v>
      </c>
      <c r="MR51">
        <v>0.03</v>
      </c>
      <c r="MS51" t="s">
        <v>384</v>
      </c>
      <c r="MT51" t="s">
        <v>385</v>
      </c>
      <c r="MU51" t="s">
        <v>386</v>
      </c>
      <c r="MV51">
        <v>23100</v>
      </c>
      <c r="MW51" s="13">
        <v>395</v>
      </c>
      <c r="MX51" s="13" t="s">
        <v>387</v>
      </c>
      <c r="MY51" t="s">
        <v>240</v>
      </c>
      <c r="MZ51" t="s">
        <v>241</v>
      </c>
      <c r="NA51" t="s">
        <v>242</v>
      </c>
      <c r="NB51" t="s">
        <v>264</v>
      </c>
      <c r="ND51" s="18">
        <v>43272</v>
      </c>
      <c r="NE51" s="19">
        <v>8.2638888888888887E-2</v>
      </c>
      <c r="NF51" t="s">
        <v>388</v>
      </c>
      <c r="NG51" t="s">
        <v>136</v>
      </c>
      <c r="NH51" t="s">
        <v>246</v>
      </c>
      <c r="NI51">
        <v>106</v>
      </c>
      <c r="NJ51" t="s">
        <v>244</v>
      </c>
      <c r="NK51">
        <v>5</v>
      </c>
      <c r="NL51" t="s">
        <v>248</v>
      </c>
      <c r="NM51">
        <v>29.62257</v>
      </c>
      <c r="NN51">
        <v>-84.939229999999995</v>
      </c>
      <c r="NO51" t="s">
        <v>248</v>
      </c>
      <c r="NP51" t="s">
        <v>266</v>
      </c>
      <c r="NQ51" t="s">
        <v>244</v>
      </c>
      <c r="NR51" t="s">
        <v>247</v>
      </c>
      <c r="NS51">
        <v>982000410610439</v>
      </c>
      <c r="NT51" t="s">
        <v>244</v>
      </c>
      <c r="NU51" t="s">
        <v>244</v>
      </c>
      <c r="NV51" t="s">
        <v>248</v>
      </c>
      <c r="NW51" t="s">
        <v>385</v>
      </c>
      <c r="NX51" t="s">
        <v>386</v>
      </c>
      <c r="NY51">
        <v>106</v>
      </c>
      <c r="NZ51">
        <v>104</v>
      </c>
      <c r="OA51">
        <v>97</v>
      </c>
      <c r="OB51" s="14">
        <v>8075.463916052563</v>
      </c>
      <c r="OC51" t="s">
        <v>248</v>
      </c>
      <c r="OD51" t="s">
        <v>389</v>
      </c>
      <c r="OE51" t="s">
        <v>248</v>
      </c>
      <c r="OF51" t="s">
        <v>390</v>
      </c>
      <c r="OG51" t="s">
        <v>247</v>
      </c>
      <c r="OH51">
        <v>42</v>
      </c>
      <c r="OI51" t="s">
        <v>385</v>
      </c>
      <c r="OJ51" t="s">
        <v>391</v>
      </c>
      <c r="OK51">
        <v>127</v>
      </c>
      <c r="OL51">
        <v>0.96850393700787396</v>
      </c>
      <c r="OM51">
        <v>1</v>
      </c>
      <c r="ON51">
        <v>-14.31</v>
      </c>
      <c r="OO51">
        <v>15.74</v>
      </c>
      <c r="OP51" s="25">
        <v>2.864166512863298</v>
      </c>
      <c r="OQ51" s="25">
        <v>3.3411301286606832</v>
      </c>
      <c r="OR51" t="s">
        <v>910</v>
      </c>
      <c r="OS51" t="s">
        <v>910</v>
      </c>
    </row>
    <row r="52" spans="1:409" x14ac:dyDescent="0.25">
      <c r="A52">
        <v>51</v>
      </c>
      <c r="B52" s="1">
        <v>152</v>
      </c>
      <c r="C52" s="1">
        <v>67</v>
      </c>
      <c r="D52" s="1">
        <v>7</v>
      </c>
      <c r="E52" s="1">
        <v>0</v>
      </c>
      <c r="F52" s="1">
        <v>72</v>
      </c>
      <c r="G52" s="1">
        <v>28</v>
      </c>
      <c r="H52" s="1">
        <v>0</v>
      </c>
      <c r="I52" s="1">
        <v>0</v>
      </c>
      <c r="J52" s="1">
        <v>42</v>
      </c>
      <c r="K52" s="1">
        <v>4</v>
      </c>
      <c r="L52" s="1">
        <v>572</v>
      </c>
      <c r="M52" s="1">
        <v>0</v>
      </c>
      <c r="N52" s="1">
        <v>17</v>
      </c>
      <c r="O52" s="1">
        <v>0</v>
      </c>
      <c r="P52" s="1">
        <v>0</v>
      </c>
      <c r="Q52" s="1">
        <v>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2">
        <v>1024</v>
      </c>
      <c r="Y52" s="3"/>
      <c r="Z52" s="15">
        <f t="shared" si="172"/>
        <v>3.764489609020516</v>
      </c>
      <c r="AA52" s="15">
        <f t="shared" si="173"/>
        <v>1.6593473934498328</v>
      </c>
      <c r="AB52" s="15">
        <f t="shared" si="174"/>
        <v>0.17336465304699747</v>
      </c>
      <c r="AC52" s="15">
        <f t="shared" si="175"/>
        <v>0</v>
      </c>
      <c r="AD52" s="15">
        <f t="shared" si="176"/>
        <v>1.7831792884834026</v>
      </c>
      <c r="AE52" s="15">
        <f t="shared" si="177"/>
        <v>0.69345861218798988</v>
      </c>
      <c r="AF52" s="15">
        <f t="shared" si="178"/>
        <v>0</v>
      </c>
      <c r="AG52" s="15">
        <f t="shared" si="179"/>
        <v>0</v>
      </c>
      <c r="AH52" s="15">
        <f t="shared" si="180"/>
        <v>1.0401879182819849</v>
      </c>
      <c r="AI52" s="15">
        <f t="shared" si="181"/>
        <v>9.9065516026855691E-2</v>
      </c>
      <c r="AJ52" s="15">
        <f t="shared" si="182"/>
        <v>14.166368791840364</v>
      </c>
      <c r="AK52" s="15">
        <f t="shared" si="183"/>
        <v>0</v>
      </c>
      <c r="AL52" s="15">
        <f t="shared" si="184"/>
        <v>0.42102844311413667</v>
      </c>
      <c r="AM52" s="15">
        <f t="shared" si="185"/>
        <v>0</v>
      </c>
      <c r="AN52" s="15">
        <f t="shared" si="186"/>
        <v>0</v>
      </c>
      <c r="AO52" s="15">
        <f t="shared" si="187"/>
        <v>1.5602818774229772</v>
      </c>
      <c r="AP52" s="15">
        <f t="shared" si="188"/>
        <v>0</v>
      </c>
      <c r="AQ52" s="15">
        <f t="shared" si="189"/>
        <v>0</v>
      </c>
      <c r="AR52" s="15">
        <f t="shared" si="190"/>
        <v>0</v>
      </c>
      <c r="AS52" s="15">
        <f t="shared" si="191"/>
        <v>0</v>
      </c>
      <c r="AT52" s="15">
        <f t="shared" si="192"/>
        <v>0</v>
      </c>
      <c r="AU52" s="15">
        <f t="shared" si="193"/>
        <v>0</v>
      </c>
      <c r="AV52" s="5">
        <f t="shared" si="194"/>
        <v>25.360772102875057</v>
      </c>
      <c r="AW52" s="16"/>
      <c r="AX52" s="6">
        <v>3040</v>
      </c>
      <c r="AY52" s="6">
        <v>1340</v>
      </c>
      <c r="AZ52" s="6">
        <v>140</v>
      </c>
      <c r="BA52" s="6">
        <v>0</v>
      </c>
      <c r="BB52" s="6">
        <v>1440</v>
      </c>
      <c r="BC52" s="6">
        <v>560</v>
      </c>
      <c r="BD52" s="6">
        <v>0</v>
      </c>
      <c r="BE52" s="6">
        <v>0</v>
      </c>
      <c r="BF52" s="6">
        <v>840</v>
      </c>
      <c r="BG52" s="6">
        <v>80</v>
      </c>
      <c r="BH52" s="6">
        <v>11440</v>
      </c>
      <c r="BI52" s="6">
        <v>0</v>
      </c>
      <c r="BJ52" s="6">
        <v>340</v>
      </c>
      <c r="BK52" s="6">
        <v>0</v>
      </c>
      <c r="BL52" s="6">
        <v>0</v>
      </c>
      <c r="BM52" s="6">
        <v>1260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7">
        <v>20480</v>
      </c>
      <c r="BU52" s="16"/>
      <c r="BV52" s="8">
        <v>0</v>
      </c>
      <c r="BW52" s="8">
        <v>2</v>
      </c>
      <c r="BX52" s="8">
        <v>9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91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1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1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1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1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9">
        <v>106</v>
      </c>
      <c r="GG52" s="3"/>
      <c r="GH52" s="10">
        <f t="shared" si="195"/>
        <v>0</v>
      </c>
      <c r="GI52" s="10">
        <f t="shared" si="196"/>
        <v>57.35849056603773</v>
      </c>
      <c r="GJ52" s="10">
        <f t="shared" si="197"/>
        <v>258.11320754716979</v>
      </c>
      <c r="GK52" s="10">
        <f t="shared" si="198"/>
        <v>0</v>
      </c>
      <c r="GL52" s="10">
        <f t="shared" si="199"/>
        <v>0</v>
      </c>
      <c r="GM52" s="10">
        <f t="shared" si="200"/>
        <v>0</v>
      </c>
      <c r="GN52" s="10">
        <f t="shared" si="201"/>
        <v>0</v>
      </c>
      <c r="GO52" s="10">
        <f t="shared" si="202"/>
        <v>0</v>
      </c>
      <c r="GP52" s="10">
        <f t="shared" si="203"/>
        <v>0</v>
      </c>
      <c r="GQ52" s="10">
        <f t="shared" si="204"/>
        <v>0</v>
      </c>
      <c r="GR52" s="10">
        <f t="shared" si="205"/>
        <v>0</v>
      </c>
      <c r="GS52" s="10">
        <f t="shared" si="206"/>
        <v>0</v>
      </c>
      <c r="GT52" s="10">
        <f t="shared" si="207"/>
        <v>0</v>
      </c>
      <c r="GU52" s="10">
        <f t="shared" si="208"/>
        <v>0</v>
      </c>
      <c r="GV52" s="10">
        <f t="shared" si="209"/>
        <v>0</v>
      </c>
      <c r="GW52" s="10">
        <f t="shared" si="210"/>
        <v>0</v>
      </c>
      <c r="GX52" s="10">
        <f t="shared" si="211"/>
        <v>0</v>
      </c>
      <c r="GY52" s="10">
        <f t="shared" si="212"/>
        <v>0</v>
      </c>
      <c r="GZ52" s="10">
        <f t="shared" si="213"/>
        <v>2609.8113207547171</v>
      </c>
      <c r="HA52" s="10">
        <f t="shared" si="214"/>
        <v>0</v>
      </c>
      <c r="HB52" s="10">
        <f t="shared" si="215"/>
        <v>0</v>
      </c>
      <c r="HC52" s="10">
        <f t="shared" si="216"/>
        <v>0</v>
      </c>
      <c r="HD52" s="10">
        <f t="shared" si="217"/>
        <v>0</v>
      </c>
      <c r="HE52" s="10">
        <f t="shared" si="218"/>
        <v>0</v>
      </c>
      <c r="HF52" s="10">
        <f t="shared" si="219"/>
        <v>0</v>
      </c>
      <c r="HG52" s="10">
        <f t="shared" si="220"/>
        <v>0</v>
      </c>
      <c r="HH52" s="10">
        <f t="shared" si="221"/>
        <v>0</v>
      </c>
      <c r="HI52" s="10">
        <f t="shared" si="222"/>
        <v>0</v>
      </c>
      <c r="HJ52" s="10">
        <f t="shared" si="223"/>
        <v>0</v>
      </c>
      <c r="HK52" s="10">
        <f t="shared" si="224"/>
        <v>0</v>
      </c>
      <c r="HL52" s="10">
        <f t="shared" si="225"/>
        <v>0</v>
      </c>
      <c r="HM52" s="10">
        <f t="shared" si="226"/>
        <v>0</v>
      </c>
      <c r="HN52" s="10">
        <f t="shared" si="227"/>
        <v>28.679245283018865</v>
      </c>
      <c r="HO52" s="10">
        <f t="shared" si="228"/>
        <v>0</v>
      </c>
      <c r="HP52" s="10">
        <f t="shared" si="229"/>
        <v>0</v>
      </c>
      <c r="HQ52" s="10">
        <f t="shared" si="230"/>
        <v>0</v>
      </c>
      <c r="HR52" s="10">
        <f t="shared" si="231"/>
        <v>0</v>
      </c>
      <c r="HS52" s="10">
        <f t="shared" si="232"/>
        <v>0</v>
      </c>
      <c r="HT52" s="10">
        <f t="shared" si="233"/>
        <v>0</v>
      </c>
      <c r="HU52" s="10">
        <f t="shared" si="234"/>
        <v>0</v>
      </c>
      <c r="HV52" s="10">
        <f t="shared" si="235"/>
        <v>0</v>
      </c>
      <c r="HW52" s="10">
        <f t="shared" si="236"/>
        <v>0</v>
      </c>
      <c r="HX52" s="10">
        <f t="shared" si="237"/>
        <v>0</v>
      </c>
      <c r="HY52" s="10">
        <f t="shared" si="238"/>
        <v>0</v>
      </c>
      <c r="HZ52" s="10">
        <f t="shared" si="239"/>
        <v>28.679245283018865</v>
      </c>
      <c r="IA52" s="10">
        <f t="shared" si="240"/>
        <v>0</v>
      </c>
      <c r="IB52" s="10">
        <f t="shared" si="241"/>
        <v>0</v>
      </c>
      <c r="IC52" s="10">
        <f t="shared" si="242"/>
        <v>0</v>
      </c>
      <c r="ID52" s="10">
        <f t="shared" si="243"/>
        <v>0</v>
      </c>
      <c r="IE52" s="10">
        <f t="shared" si="244"/>
        <v>0</v>
      </c>
      <c r="IF52" s="10">
        <f t="shared" si="245"/>
        <v>0</v>
      </c>
      <c r="IG52" s="10">
        <f t="shared" si="246"/>
        <v>0</v>
      </c>
      <c r="IH52" s="10">
        <f t="shared" si="247"/>
        <v>0</v>
      </c>
      <c r="II52" s="10">
        <f t="shared" si="248"/>
        <v>0</v>
      </c>
      <c r="IJ52" s="10">
        <f t="shared" si="249"/>
        <v>0</v>
      </c>
      <c r="IK52" s="10">
        <f t="shared" si="250"/>
        <v>0</v>
      </c>
      <c r="IL52" s="10">
        <f t="shared" si="251"/>
        <v>0</v>
      </c>
      <c r="IM52" s="10">
        <f t="shared" si="252"/>
        <v>0</v>
      </c>
      <c r="IN52" s="10">
        <f t="shared" si="253"/>
        <v>0</v>
      </c>
      <c r="IO52" s="10">
        <f t="shared" si="254"/>
        <v>0</v>
      </c>
      <c r="IP52" s="10">
        <f t="shared" si="255"/>
        <v>0</v>
      </c>
      <c r="IQ52" s="10">
        <f t="shared" si="256"/>
        <v>28.679245283018865</v>
      </c>
      <c r="IR52" s="10">
        <f t="shared" si="257"/>
        <v>0</v>
      </c>
      <c r="IS52" s="10">
        <f t="shared" si="258"/>
        <v>0</v>
      </c>
      <c r="IT52" s="10">
        <f t="shared" si="259"/>
        <v>0</v>
      </c>
      <c r="IU52" s="10">
        <f t="shared" si="260"/>
        <v>0</v>
      </c>
      <c r="IV52" s="10">
        <f t="shared" si="261"/>
        <v>0</v>
      </c>
      <c r="IW52" s="10">
        <f t="shared" si="262"/>
        <v>0</v>
      </c>
      <c r="IX52" s="10">
        <f t="shared" si="263"/>
        <v>0</v>
      </c>
      <c r="IY52" s="10">
        <f t="shared" si="264"/>
        <v>0</v>
      </c>
      <c r="IZ52" s="10">
        <f t="shared" si="265"/>
        <v>0</v>
      </c>
      <c r="JA52" s="10">
        <f t="shared" si="266"/>
        <v>0</v>
      </c>
      <c r="JB52" s="10">
        <f t="shared" si="267"/>
        <v>0</v>
      </c>
      <c r="JC52" s="10">
        <f t="shared" si="268"/>
        <v>0</v>
      </c>
      <c r="JD52" s="10">
        <f t="shared" si="269"/>
        <v>0</v>
      </c>
      <c r="JE52" s="10">
        <f t="shared" si="270"/>
        <v>0</v>
      </c>
      <c r="JF52" s="10">
        <f t="shared" si="271"/>
        <v>0</v>
      </c>
      <c r="JG52" s="10">
        <v>0</v>
      </c>
      <c r="JH52" s="10">
        <f t="shared" si="272"/>
        <v>0</v>
      </c>
      <c r="JI52" s="10">
        <f t="shared" si="273"/>
        <v>0</v>
      </c>
      <c r="JJ52" s="10">
        <f t="shared" si="274"/>
        <v>0</v>
      </c>
      <c r="JK52" s="10">
        <f t="shared" si="275"/>
        <v>0</v>
      </c>
      <c r="JL52" s="10">
        <f t="shared" si="276"/>
        <v>0</v>
      </c>
      <c r="JM52" s="10">
        <f t="shared" si="277"/>
        <v>0</v>
      </c>
      <c r="JN52" s="10">
        <f t="shared" si="278"/>
        <v>0</v>
      </c>
      <c r="JO52" s="10">
        <f t="shared" si="279"/>
        <v>0</v>
      </c>
      <c r="JP52" s="10">
        <f t="shared" si="280"/>
        <v>0</v>
      </c>
      <c r="JQ52" s="10">
        <f t="shared" si="281"/>
        <v>0</v>
      </c>
      <c r="JR52" s="10">
        <f t="shared" si="282"/>
        <v>0</v>
      </c>
      <c r="JS52" s="10">
        <f t="shared" si="283"/>
        <v>0</v>
      </c>
      <c r="JT52" s="10">
        <f t="shared" si="284"/>
        <v>0</v>
      </c>
      <c r="JU52" s="10">
        <f t="shared" si="285"/>
        <v>0</v>
      </c>
      <c r="JV52" s="10">
        <f t="shared" si="286"/>
        <v>0</v>
      </c>
      <c r="JW52" s="10">
        <f t="shared" si="287"/>
        <v>0</v>
      </c>
      <c r="JX52" s="10">
        <f t="shared" si="288"/>
        <v>0</v>
      </c>
      <c r="JY52" s="10">
        <f t="shared" si="289"/>
        <v>0</v>
      </c>
      <c r="JZ52" s="10">
        <f t="shared" si="290"/>
        <v>0</v>
      </c>
      <c r="KA52" s="10">
        <f t="shared" si="291"/>
        <v>0</v>
      </c>
      <c r="KB52" s="10">
        <f t="shared" si="292"/>
        <v>0</v>
      </c>
      <c r="KC52" s="10">
        <f t="shared" si="293"/>
        <v>28.679245283018865</v>
      </c>
      <c r="KD52" s="10">
        <f t="shared" si="294"/>
        <v>0</v>
      </c>
      <c r="KE52" s="10">
        <f t="shared" si="295"/>
        <v>0</v>
      </c>
      <c r="KF52" s="10">
        <f t="shared" si="296"/>
        <v>0</v>
      </c>
      <c r="KG52" s="10">
        <f t="shared" si="297"/>
        <v>0</v>
      </c>
      <c r="KH52" s="10">
        <f t="shared" si="298"/>
        <v>0</v>
      </c>
      <c r="KI52" s="10">
        <f t="shared" si="299"/>
        <v>0</v>
      </c>
      <c r="KJ52" s="10">
        <f t="shared" si="300"/>
        <v>0</v>
      </c>
      <c r="KK52" s="10">
        <f t="shared" si="301"/>
        <v>0</v>
      </c>
      <c r="KL52" s="10">
        <f t="shared" si="302"/>
        <v>0</v>
      </c>
      <c r="KM52" s="10">
        <f t="shared" si="303"/>
        <v>0</v>
      </c>
      <c r="KN52" s="10">
        <f t="shared" si="304"/>
        <v>0</v>
      </c>
      <c r="KO52" s="10">
        <f t="shared" si="305"/>
        <v>0</v>
      </c>
      <c r="KP52" s="10">
        <f t="shared" si="306"/>
        <v>0</v>
      </c>
      <c r="KQ52" s="11">
        <v>3039.9999999999991</v>
      </c>
      <c r="KR52" s="16"/>
      <c r="KS52" s="12">
        <v>8075.463916052563</v>
      </c>
      <c r="KT52" s="26">
        <v>127</v>
      </c>
      <c r="KU52" s="26">
        <v>0.96850393700787396</v>
      </c>
      <c r="KV52" s="26">
        <v>1</v>
      </c>
      <c r="KW52" s="26">
        <v>-14.31</v>
      </c>
      <c r="KX52" s="26">
        <v>15.74</v>
      </c>
      <c r="KY52" s="27">
        <v>2.864166512863298</v>
      </c>
      <c r="KZ52" s="27">
        <v>3.3411301286606832</v>
      </c>
      <c r="LA52" s="17"/>
      <c r="LB52" s="2">
        <v>1373</v>
      </c>
      <c r="LC52" s="1">
        <v>35</v>
      </c>
      <c r="LD52" s="1">
        <v>0</v>
      </c>
      <c r="LE52" s="1">
        <v>0</v>
      </c>
      <c r="LF52" s="1">
        <v>0</v>
      </c>
      <c r="LG52" s="1">
        <v>1</v>
      </c>
      <c r="LH52" s="1">
        <v>0</v>
      </c>
      <c r="LI52" s="1">
        <v>0</v>
      </c>
      <c r="LJ52" s="1">
        <v>0</v>
      </c>
      <c r="LK52" s="1">
        <v>0</v>
      </c>
      <c r="LL52" s="1">
        <v>978</v>
      </c>
      <c r="LM52" s="1">
        <v>9</v>
      </c>
      <c r="LN52" s="1">
        <v>230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105</v>
      </c>
      <c r="LU52" s="1">
        <v>0</v>
      </c>
      <c r="LV52" s="1">
        <v>0</v>
      </c>
      <c r="LW52" s="1">
        <v>0</v>
      </c>
      <c r="LX52" s="1">
        <v>0</v>
      </c>
      <c r="LY52" s="1">
        <v>1</v>
      </c>
      <c r="LZ52" s="1">
        <v>2</v>
      </c>
      <c r="MA52" s="1">
        <v>0</v>
      </c>
      <c r="MB52" s="1">
        <v>0</v>
      </c>
      <c r="MC52" s="1">
        <v>0</v>
      </c>
      <c r="MD52" s="1">
        <v>12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28"/>
      <c r="ML52" t="s">
        <v>868</v>
      </c>
      <c r="MM52" t="s">
        <v>383</v>
      </c>
      <c r="MN52" t="s">
        <v>320</v>
      </c>
      <c r="MO52" t="s">
        <v>334</v>
      </c>
      <c r="MP52" t="s">
        <v>335</v>
      </c>
      <c r="MQ52" t="s">
        <v>336</v>
      </c>
      <c r="MR52">
        <v>0.05</v>
      </c>
      <c r="MS52" t="s">
        <v>384</v>
      </c>
      <c r="MT52" t="s">
        <v>385</v>
      </c>
      <c r="MU52" t="s">
        <v>386</v>
      </c>
      <c r="MV52">
        <v>20480</v>
      </c>
      <c r="MW52" s="13">
        <v>395</v>
      </c>
      <c r="MX52" s="13" t="s">
        <v>387</v>
      </c>
      <c r="MY52" t="s">
        <v>240</v>
      </c>
      <c r="MZ52" t="s">
        <v>241</v>
      </c>
      <c r="NA52" t="s">
        <v>242</v>
      </c>
      <c r="NB52" t="s">
        <v>264</v>
      </c>
      <c r="ND52" s="18">
        <v>43272</v>
      </c>
      <c r="NE52" s="19">
        <v>8.2638888888888887E-2</v>
      </c>
      <c r="NF52" t="s">
        <v>388</v>
      </c>
      <c r="NG52" t="s">
        <v>136</v>
      </c>
      <c r="NH52" t="s">
        <v>246</v>
      </c>
      <c r="NI52">
        <v>106</v>
      </c>
      <c r="NJ52" t="s">
        <v>244</v>
      </c>
      <c r="NK52">
        <v>5</v>
      </c>
      <c r="NL52" t="s">
        <v>248</v>
      </c>
      <c r="NM52">
        <v>29.62257</v>
      </c>
      <c r="NN52">
        <v>-84.939229999999995</v>
      </c>
      <c r="NO52" t="s">
        <v>248</v>
      </c>
      <c r="NP52" t="s">
        <v>266</v>
      </c>
      <c r="NQ52" t="s">
        <v>244</v>
      </c>
      <c r="NR52" t="s">
        <v>247</v>
      </c>
      <c r="NS52">
        <v>982000410610439</v>
      </c>
      <c r="NT52" t="s">
        <v>244</v>
      </c>
      <c r="NU52" t="s">
        <v>244</v>
      </c>
      <c r="NV52" t="s">
        <v>248</v>
      </c>
      <c r="NW52" t="s">
        <v>385</v>
      </c>
      <c r="NX52" t="s">
        <v>386</v>
      </c>
      <c r="NY52">
        <v>106</v>
      </c>
      <c r="NZ52">
        <v>104</v>
      </c>
      <c r="OA52">
        <v>97</v>
      </c>
      <c r="OB52" s="14">
        <v>8075.463916052563</v>
      </c>
      <c r="OC52" t="s">
        <v>248</v>
      </c>
      <c r="OD52" t="s">
        <v>389</v>
      </c>
      <c r="OE52" t="s">
        <v>248</v>
      </c>
      <c r="OF52" t="s">
        <v>390</v>
      </c>
      <c r="OG52" t="s">
        <v>247</v>
      </c>
      <c r="OH52">
        <v>41</v>
      </c>
      <c r="OI52" t="s">
        <v>385</v>
      </c>
      <c r="OJ52" t="s">
        <v>391</v>
      </c>
      <c r="OK52">
        <v>127</v>
      </c>
      <c r="OL52">
        <v>0.96850393700787396</v>
      </c>
      <c r="OM52">
        <v>1</v>
      </c>
      <c r="ON52">
        <v>-14.31</v>
      </c>
      <c r="OO52">
        <v>15.74</v>
      </c>
      <c r="OP52" s="25">
        <v>2.864166512863298</v>
      </c>
      <c r="OQ52" s="25">
        <v>3.3411301286606832</v>
      </c>
      <c r="OR52" t="s">
        <v>910</v>
      </c>
      <c r="OS52" t="s">
        <v>910</v>
      </c>
    </row>
    <row r="53" spans="1:409" x14ac:dyDescent="0.25">
      <c r="A53">
        <v>52</v>
      </c>
      <c r="B53" s="1">
        <v>142</v>
      </c>
      <c r="C53" s="1">
        <v>44</v>
      </c>
      <c r="D53" s="1"/>
      <c r="E53" s="1">
        <v>9</v>
      </c>
      <c r="F53" s="1">
        <v>67</v>
      </c>
      <c r="G53" s="1">
        <v>9</v>
      </c>
      <c r="H53" s="1">
        <v>2</v>
      </c>
      <c r="I53" s="1">
        <v>0</v>
      </c>
      <c r="J53" s="1">
        <v>1</v>
      </c>
      <c r="K53" s="1">
        <v>0</v>
      </c>
      <c r="L53" s="1">
        <v>582</v>
      </c>
      <c r="M53" s="1">
        <v>0</v>
      </c>
      <c r="N53" s="1">
        <v>18</v>
      </c>
      <c r="O53" s="1">
        <v>0</v>
      </c>
      <c r="P53" s="1">
        <v>0</v>
      </c>
      <c r="Q53" s="1">
        <v>12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2">
        <v>886</v>
      </c>
      <c r="Y53" s="3"/>
      <c r="Z53" s="15">
        <f t="shared" si="172"/>
        <v>3.516825818953377</v>
      </c>
      <c r="AA53" s="15">
        <f t="shared" si="173"/>
        <v>1.0897206762954126</v>
      </c>
      <c r="AB53" s="15">
        <f t="shared" si="174"/>
        <v>0</v>
      </c>
      <c r="AC53" s="15">
        <f t="shared" si="175"/>
        <v>0.22289741106042532</v>
      </c>
      <c r="AD53" s="15">
        <f t="shared" si="176"/>
        <v>1.6593473934498328</v>
      </c>
      <c r="AE53" s="15">
        <f t="shared" si="177"/>
        <v>0.22289741106042532</v>
      </c>
      <c r="AF53" s="15">
        <f t="shared" si="178"/>
        <v>4.9532758013427845E-2</v>
      </c>
      <c r="AG53" s="15">
        <f t="shared" si="179"/>
        <v>0</v>
      </c>
      <c r="AH53" s="15">
        <f t="shared" si="180"/>
        <v>2.4766379006713923E-2</v>
      </c>
      <c r="AI53" s="15">
        <f t="shared" si="181"/>
        <v>0</v>
      </c>
      <c r="AJ53" s="15">
        <f t="shared" si="182"/>
        <v>14.414032581907502</v>
      </c>
      <c r="AK53" s="15">
        <f t="shared" si="183"/>
        <v>0</v>
      </c>
      <c r="AL53" s="15">
        <f t="shared" si="184"/>
        <v>0.44579482212085064</v>
      </c>
      <c r="AM53" s="15">
        <f t="shared" si="185"/>
        <v>0</v>
      </c>
      <c r="AN53" s="15">
        <f t="shared" si="186"/>
        <v>0</v>
      </c>
      <c r="AO53" s="15">
        <f t="shared" si="187"/>
        <v>0.29719654808056706</v>
      </c>
      <c r="AP53" s="15">
        <f t="shared" si="188"/>
        <v>0</v>
      </c>
      <c r="AQ53" s="15">
        <f t="shared" si="189"/>
        <v>0</v>
      </c>
      <c r="AR53" s="15">
        <f t="shared" si="190"/>
        <v>0</v>
      </c>
      <c r="AS53" s="15">
        <f t="shared" si="191"/>
        <v>0</v>
      </c>
      <c r="AT53" s="15">
        <f t="shared" si="192"/>
        <v>0</v>
      </c>
      <c r="AU53" s="15">
        <f t="shared" si="193"/>
        <v>0</v>
      </c>
      <c r="AV53" s="5">
        <f t="shared" si="194"/>
        <v>21.943011799948536</v>
      </c>
      <c r="AW53" s="16"/>
      <c r="AX53" s="6">
        <v>2840</v>
      </c>
      <c r="AY53" s="6">
        <v>880</v>
      </c>
      <c r="AZ53" s="6">
        <v>0</v>
      </c>
      <c r="BA53" s="6">
        <v>180</v>
      </c>
      <c r="BB53" s="6">
        <v>1340</v>
      </c>
      <c r="BC53" s="6">
        <v>180</v>
      </c>
      <c r="BD53" s="6">
        <v>40</v>
      </c>
      <c r="BE53" s="6">
        <v>0</v>
      </c>
      <c r="BF53" s="6">
        <v>20</v>
      </c>
      <c r="BG53" s="6">
        <v>0</v>
      </c>
      <c r="BH53" s="6">
        <v>11640</v>
      </c>
      <c r="BI53" s="6">
        <v>0</v>
      </c>
      <c r="BJ53" s="6">
        <v>360</v>
      </c>
      <c r="BK53" s="6">
        <v>0</v>
      </c>
      <c r="BL53" s="6">
        <v>0</v>
      </c>
      <c r="BM53" s="6">
        <v>240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7">
        <v>17720</v>
      </c>
      <c r="BU53" s="16"/>
      <c r="BV53" s="8">
        <v>0</v>
      </c>
      <c r="BW53" s="8">
        <v>3</v>
      </c>
      <c r="BX53" s="8">
        <v>1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1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106.00000000000001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1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2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1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1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2</v>
      </c>
      <c r="FN53" s="8">
        <v>0</v>
      </c>
      <c r="FO53" s="8">
        <v>1</v>
      </c>
      <c r="FP53" s="8">
        <v>0</v>
      </c>
      <c r="FQ53" s="8">
        <v>0</v>
      </c>
      <c r="FR53" s="8">
        <v>3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2</v>
      </c>
      <c r="GD53" s="8">
        <v>0</v>
      </c>
      <c r="GE53" s="8">
        <v>0</v>
      </c>
      <c r="GF53" s="9">
        <v>124.00000000000001</v>
      </c>
      <c r="GG53" s="3"/>
      <c r="GH53" s="10">
        <f t="shared" si="195"/>
        <v>0</v>
      </c>
      <c r="GI53" s="10">
        <f t="shared" si="196"/>
        <v>68.709677419354833</v>
      </c>
      <c r="GJ53" s="10">
        <f t="shared" si="197"/>
        <v>22.903225806451612</v>
      </c>
      <c r="GK53" s="10">
        <f t="shared" si="198"/>
        <v>0</v>
      </c>
      <c r="GL53" s="10">
        <f t="shared" si="199"/>
        <v>0</v>
      </c>
      <c r="GM53" s="10">
        <f t="shared" si="200"/>
        <v>0</v>
      </c>
      <c r="GN53" s="10">
        <f t="shared" si="201"/>
        <v>0</v>
      </c>
      <c r="GO53" s="10">
        <f t="shared" si="202"/>
        <v>0</v>
      </c>
      <c r="GP53" s="10">
        <f t="shared" si="203"/>
        <v>0</v>
      </c>
      <c r="GQ53" s="10">
        <f t="shared" si="204"/>
        <v>0</v>
      </c>
      <c r="GR53" s="10">
        <f t="shared" si="205"/>
        <v>22.903225806451612</v>
      </c>
      <c r="GS53" s="10">
        <f t="shared" si="206"/>
        <v>0</v>
      </c>
      <c r="GT53" s="10">
        <f t="shared" si="207"/>
        <v>0</v>
      </c>
      <c r="GU53" s="10">
        <f t="shared" si="208"/>
        <v>0</v>
      </c>
      <c r="GV53" s="10">
        <f t="shared" si="209"/>
        <v>0</v>
      </c>
      <c r="GW53" s="10">
        <f t="shared" si="210"/>
        <v>0</v>
      </c>
      <c r="GX53" s="10">
        <f t="shared" si="211"/>
        <v>0</v>
      </c>
      <c r="GY53" s="10">
        <f t="shared" si="212"/>
        <v>0</v>
      </c>
      <c r="GZ53" s="10">
        <f t="shared" si="213"/>
        <v>2427.7419354838712</v>
      </c>
      <c r="HA53" s="10">
        <f t="shared" si="214"/>
        <v>0</v>
      </c>
      <c r="HB53" s="10">
        <f t="shared" si="215"/>
        <v>0</v>
      </c>
      <c r="HC53" s="10">
        <f t="shared" si="216"/>
        <v>0</v>
      </c>
      <c r="HD53" s="10">
        <f t="shared" si="217"/>
        <v>0</v>
      </c>
      <c r="HE53" s="10">
        <f t="shared" si="218"/>
        <v>0</v>
      </c>
      <c r="HF53" s="10">
        <f t="shared" si="219"/>
        <v>0</v>
      </c>
      <c r="HG53" s="10">
        <f t="shared" si="220"/>
        <v>0</v>
      </c>
      <c r="HH53" s="10">
        <f t="shared" si="221"/>
        <v>0</v>
      </c>
      <c r="HI53" s="10">
        <f t="shared" si="222"/>
        <v>0</v>
      </c>
      <c r="HJ53" s="10">
        <f t="shared" si="223"/>
        <v>0</v>
      </c>
      <c r="HK53" s="10">
        <f t="shared" si="224"/>
        <v>0</v>
      </c>
      <c r="HL53" s="10">
        <f t="shared" si="225"/>
        <v>0</v>
      </c>
      <c r="HM53" s="10">
        <f t="shared" si="226"/>
        <v>0</v>
      </c>
      <c r="HN53" s="10">
        <f t="shared" si="227"/>
        <v>0</v>
      </c>
      <c r="HO53" s="10">
        <f t="shared" si="228"/>
        <v>0</v>
      </c>
      <c r="HP53" s="10">
        <f t="shared" si="229"/>
        <v>0</v>
      </c>
      <c r="HQ53" s="10">
        <f t="shared" si="230"/>
        <v>0</v>
      </c>
      <c r="HR53" s="10">
        <f t="shared" si="231"/>
        <v>0</v>
      </c>
      <c r="HS53" s="10">
        <f t="shared" si="232"/>
        <v>0</v>
      </c>
      <c r="HT53" s="10">
        <f t="shared" si="233"/>
        <v>0</v>
      </c>
      <c r="HU53" s="10">
        <f t="shared" si="234"/>
        <v>0</v>
      </c>
      <c r="HV53" s="10">
        <f t="shared" si="235"/>
        <v>22.903225806451612</v>
      </c>
      <c r="HW53" s="10">
        <f t="shared" si="236"/>
        <v>0</v>
      </c>
      <c r="HX53" s="10">
        <f t="shared" si="237"/>
        <v>0</v>
      </c>
      <c r="HY53" s="10">
        <f t="shared" si="238"/>
        <v>0</v>
      </c>
      <c r="HZ53" s="10">
        <f t="shared" si="239"/>
        <v>0</v>
      </c>
      <c r="IA53" s="10">
        <f t="shared" si="240"/>
        <v>0</v>
      </c>
      <c r="IB53" s="10">
        <f t="shared" si="241"/>
        <v>0</v>
      </c>
      <c r="IC53" s="10">
        <f t="shared" si="242"/>
        <v>0</v>
      </c>
      <c r="ID53" s="10">
        <f t="shared" si="243"/>
        <v>0</v>
      </c>
      <c r="IE53" s="10">
        <f t="shared" si="244"/>
        <v>0</v>
      </c>
      <c r="IF53" s="10">
        <f t="shared" si="245"/>
        <v>0</v>
      </c>
      <c r="IG53" s="10">
        <f t="shared" si="246"/>
        <v>0</v>
      </c>
      <c r="IH53" s="10">
        <f t="shared" si="247"/>
        <v>0</v>
      </c>
      <c r="II53" s="10">
        <f t="shared" si="248"/>
        <v>45.806451612903224</v>
      </c>
      <c r="IJ53" s="10">
        <f t="shared" si="249"/>
        <v>0</v>
      </c>
      <c r="IK53" s="10">
        <f t="shared" si="250"/>
        <v>0</v>
      </c>
      <c r="IL53" s="10">
        <f t="shared" si="251"/>
        <v>0</v>
      </c>
      <c r="IM53" s="10">
        <f t="shared" si="252"/>
        <v>0</v>
      </c>
      <c r="IN53" s="10">
        <f t="shared" si="253"/>
        <v>0</v>
      </c>
      <c r="IO53" s="10">
        <f t="shared" si="254"/>
        <v>0</v>
      </c>
      <c r="IP53" s="10">
        <f t="shared" si="255"/>
        <v>0</v>
      </c>
      <c r="IQ53" s="10">
        <f t="shared" si="256"/>
        <v>0</v>
      </c>
      <c r="IR53" s="10">
        <f t="shared" si="257"/>
        <v>0</v>
      </c>
      <c r="IS53" s="10">
        <f t="shared" si="258"/>
        <v>0</v>
      </c>
      <c r="IT53" s="10">
        <f t="shared" si="259"/>
        <v>0</v>
      </c>
      <c r="IU53" s="10">
        <f t="shared" si="260"/>
        <v>0</v>
      </c>
      <c r="IV53" s="10">
        <f t="shared" si="261"/>
        <v>0</v>
      </c>
      <c r="IW53" s="10">
        <f t="shared" si="262"/>
        <v>0</v>
      </c>
      <c r="IX53" s="10">
        <f t="shared" si="263"/>
        <v>0</v>
      </c>
      <c r="IY53" s="10">
        <f t="shared" si="264"/>
        <v>0</v>
      </c>
      <c r="IZ53" s="10">
        <f t="shared" si="265"/>
        <v>0</v>
      </c>
      <c r="JA53" s="10">
        <f t="shared" si="266"/>
        <v>0</v>
      </c>
      <c r="JB53" s="10">
        <f t="shared" si="267"/>
        <v>22.903225806451612</v>
      </c>
      <c r="JC53" s="10">
        <f t="shared" si="268"/>
        <v>0</v>
      </c>
      <c r="JD53" s="10">
        <f t="shared" si="269"/>
        <v>0</v>
      </c>
      <c r="JE53" s="10">
        <f t="shared" si="270"/>
        <v>0</v>
      </c>
      <c r="JF53" s="10">
        <f t="shared" si="271"/>
        <v>0</v>
      </c>
      <c r="JG53" s="10">
        <v>0</v>
      </c>
      <c r="JH53" s="10">
        <f t="shared" si="272"/>
        <v>0</v>
      </c>
      <c r="JI53" s="10">
        <f t="shared" si="273"/>
        <v>0</v>
      </c>
      <c r="JJ53" s="10">
        <f t="shared" si="274"/>
        <v>0</v>
      </c>
      <c r="JK53" s="10">
        <f t="shared" si="275"/>
        <v>0</v>
      </c>
      <c r="JL53" s="10">
        <f t="shared" si="276"/>
        <v>0</v>
      </c>
      <c r="JM53" s="10">
        <f t="shared" si="277"/>
        <v>0</v>
      </c>
      <c r="JN53" s="10">
        <f t="shared" si="278"/>
        <v>0</v>
      </c>
      <c r="JO53" s="10">
        <f t="shared" si="279"/>
        <v>0</v>
      </c>
      <c r="JP53" s="10">
        <f t="shared" si="280"/>
        <v>0</v>
      </c>
      <c r="JQ53" s="10">
        <f t="shared" si="281"/>
        <v>0</v>
      </c>
      <c r="JR53" s="10">
        <f t="shared" si="282"/>
        <v>22.903225806451612</v>
      </c>
      <c r="JS53" s="10">
        <f t="shared" si="283"/>
        <v>0</v>
      </c>
      <c r="JT53" s="10">
        <f t="shared" si="284"/>
        <v>0</v>
      </c>
      <c r="JU53" s="10">
        <f t="shared" si="285"/>
        <v>0</v>
      </c>
      <c r="JV53" s="10">
        <f t="shared" si="286"/>
        <v>0</v>
      </c>
      <c r="JW53" s="10">
        <f t="shared" si="287"/>
        <v>0</v>
      </c>
      <c r="JX53" s="10">
        <f t="shared" si="288"/>
        <v>45.806451612903224</v>
      </c>
      <c r="JY53" s="10">
        <f t="shared" si="289"/>
        <v>0</v>
      </c>
      <c r="JZ53" s="10">
        <f t="shared" si="290"/>
        <v>22.903225806451612</v>
      </c>
      <c r="KA53" s="10">
        <f t="shared" si="291"/>
        <v>0</v>
      </c>
      <c r="KB53" s="10">
        <f t="shared" si="292"/>
        <v>0</v>
      </c>
      <c r="KC53" s="10">
        <f t="shared" si="293"/>
        <v>68.709677419354833</v>
      </c>
      <c r="KD53" s="10">
        <f t="shared" si="294"/>
        <v>0</v>
      </c>
      <c r="KE53" s="10">
        <f t="shared" si="295"/>
        <v>0</v>
      </c>
      <c r="KF53" s="10">
        <f t="shared" si="296"/>
        <v>0</v>
      </c>
      <c r="KG53" s="10">
        <f t="shared" si="297"/>
        <v>0</v>
      </c>
      <c r="KH53" s="10">
        <f t="shared" si="298"/>
        <v>0</v>
      </c>
      <c r="KI53" s="10">
        <f t="shared" si="299"/>
        <v>0</v>
      </c>
      <c r="KJ53" s="10">
        <f t="shared" si="300"/>
        <v>0</v>
      </c>
      <c r="KK53" s="10">
        <f t="shared" si="301"/>
        <v>0</v>
      </c>
      <c r="KL53" s="10">
        <f t="shared" si="302"/>
        <v>0</v>
      </c>
      <c r="KM53" s="10">
        <f t="shared" si="303"/>
        <v>0</v>
      </c>
      <c r="KN53" s="10">
        <f t="shared" si="304"/>
        <v>45.806451612903224</v>
      </c>
      <c r="KO53" s="10">
        <f t="shared" si="305"/>
        <v>0</v>
      </c>
      <c r="KP53" s="10">
        <f t="shared" si="306"/>
        <v>0</v>
      </c>
      <c r="KQ53" s="11">
        <v>2840.0000000000009</v>
      </c>
      <c r="KR53" s="16"/>
      <c r="KS53" s="12">
        <v>8075.463916052563</v>
      </c>
      <c r="KT53" s="26">
        <v>127</v>
      </c>
      <c r="KU53" s="26">
        <v>0.96850393700787396</v>
      </c>
      <c r="KV53" s="26">
        <v>1</v>
      </c>
      <c r="KW53" s="26">
        <v>-14.31</v>
      </c>
      <c r="KX53" s="26">
        <v>15.74</v>
      </c>
      <c r="KY53" s="27">
        <v>2.864166512863298</v>
      </c>
      <c r="KZ53" s="27">
        <v>3.3411301286606832</v>
      </c>
      <c r="LA53" s="17"/>
      <c r="LB53" s="2">
        <v>656</v>
      </c>
      <c r="LC53" s="1">
        <v>0</v>
      </c>
      <c r="LD53" s="1">
        <v>3</v>
      </c>
      <c r="LE53" s="1">
        <v>0</v>
      </c>
      <c r="LF53" s="1">
        <v>0</v>
      </c>
      <c r="LG53" s="1">
        <v>2</v>
      </c>
      <c r="LH53" s="1">
        <v>0</v>
      </c>
      <c r="LI53" s="1">
        <v>0</v>
      </c>
      <c r="LJ53" s="1">
        <v>0</v>
      </c>
      <c r="LK53" s="1">
        <v>0</v>
      </c>
      <c r="LL53" s="1">
        <v>436</v>
      </c>
      <c r="LM53" s="1">
        <v>5</v>
      </c>
      <c r="LN53" s="1">
        <v>77</v>
      </c>
      <c r="LO53" s="1">
        <v>44</v>
      </c>
      <c r="LP53" s="1">
        <v>0</v>
      </c>
      <c r="LQ53" s="1">
        <v>0</v>
      </c>
      <c r="LR53" s="1">
        <v>0</v>
      </c>
      <c r="LS53" s="1">
        <v>1</v>
      </c>
      <c r="LT53" s="1">
        <v>79</v>
      </c>
      <c r="LU53" s="1">
        <v>0</v>
      </c>
      <c r="LV53" s="1">
        <v>0</v>
      </c>
      <c r="LW53" s="1">
        <v>0</v>
      </c>
      <c r="LX53" s="1">
        <v>0</v>
      </c>
      <c r="LY53" s="1">
        <v>2</v>
      </c>
      <c r="LZ53" s="1">
        <v>2</v>
      </c>
      <c r="MA53" s="1">
        <v>0</v>
      </c>
      <c r="MB53" s="1">
        <v>0</v>
      </c>
      <c r="MC53" s="1">
        <v>0</v>
      </c>
      <c r="MD53" s="1">
        <v>5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28"/>
      <c r="ML53" t="s">
        <v>869</v>
      </c>
      <c r="MM53" t="s">
        <v>392</v>
      </c>
      <c r="MN53" t="s">
        <v>320</v>
      </c>
      <c r="MO53" t="s">
        <v>337</v>
      </c>
      <c r="MP53" t="s">
        <v>338</v>
      </c>
      <c r="MQ53" t="s">
        <v>339</v>
      </c>
      <c r="MR53">
        <v>0.05</v>
      </c>
      <c r="MS53" t="s">
        <v>384</v>
      </c>
      <c r="MT53" t="s">
        <v>385</v>
      </c>
      <c r="MU53" t="s">
        <v>386</v>
      </c>
      <c r="MV53">
        <v>17720</v>
      </c>
      <c r="MW53" s="13">
        <v>395</v>
      </c>
      <c r="MX53" s="13" t="s">
        <v>387</v>
      </c>
      <c r="MY53" t="s">
        <v>240</v>
      </c>
      <c r="MZ53" t="s">
        <v>241</v>
      </c>
      <c r="NA53" t="s">
        <v>242</v>
      </c>
      <c r="NB53" t="s">
        <v>264</v>
      </c>
      <c r="ND53" s="18">
        <v>43272</v>
      </c>
      <c r="NE53" s="19">
        <v>8.2638888888888887E-2</v>
      </c>
      <c r="NF53" t="s">
        <v>388</v>
      </c>
      <c r="NG53" t="s">
        <v>136</v>
      </c>
      <c r="NH53" t="s">
        <v>246</v>
      </c>
      <c r="NI53">
        <v>106</v>
      </c>
      <c r="NJ53" t="s">
        <v>244</v>
      </c>
      <c r="NK53">
        <v>5</v>
      </c>
      <c r="NL53" t="s">
        <v>248</v>
      </c>
      <c r="NM53">
        <v>29.62257</v>
      </c>
      <c r="NN53">
        <v>-84.939229999999995</v>
      </c>
      <c r="NO53" t="s">
        <v>248</v>
      </c>
      <c r="NP53" t="s">
        <v>266</v>
      </c>
      <c r="NQ53" t="s">
        <v>244</v>
      </c>
      <c r="NR53" t="s">
        <v>247</v>
      </c>
      <c r="NS53">
        <v>982000410610439</v>
      </c>
      <c r="NT53" t="s">
        <v>244</v>
      </c>
      <c r="NU53" t="s">
        <v>244</v>
      </c>
      <c r="NV53" t="s">
        <v>248</v>
      </c>
      <c r="NW53" t="s">
        <v>385</v>
      </c>
      <c r="NX53" t="s">
        <v>386</v>
      </c>
      <c r="NY53">
        <v>106</v>
      </c>
      <c r="NZ53">
        <v>104</v>
      </c>
      <c r="OA53">
        <v>97</v>
      </c>
      <c r="OB53" s="14">
        <v>8075.463916052563</v>
      </c>
      <c r="OC53" t="s">
        <v>248</v>
      </c>
      <c r="OD53" t="s">
        <v>389</v>
      </c>
      <c r="OE53" t="s">
        <v>248</v>
      </c>
      <c r="OF53" t="s">
        <v>390</v>
      </c>
      <c r="OG53" t="s">
        <v>247</v>
      </c>
      <c r="OH53">
        <v>40</v>
      </c>
      <c r="OI53" t="s">
        <v>385</v>
      </c>
      <c r="OJ53" t="s">
        <v>391</v>
      </c>
      <c r="OK53">
        <v>127</v>
      </c>
      <c r="OL53">
        <v>0.96850393700787396</v>
      </c>
      <c r="OM53">
        <v>1</v>
      </c>
      <c r="ON53">
        <v>-14.31</v>
      </c>
      <c r="OO53">
        <v>15.74</v>
      </c>
      <c r="OP53" s="25">
        <v>2.864166512863298</v>
      </c>
      <c r="OQ53" s="25">
        <v>3.3411301286606832</v>
      </c>
      <c r="OR53" t="s">
        <v>909</v>
      </c>
      <c r="OS53" t="s">
        <v>909</v>
      </c>
    </row>
    <row r="54" spans="1:409" x14ac:dyDescent="0.25">
      <c r="A54">
        <v>53</v>
      </c>
      <c r="B54" s="1">
        <v>6</v>
      </c>
      <c r="C54" s="1">
        <v>1</v>
      </c>
      <c r="D54" s="1">
        <v>8</v>
      </c>
      <c r="E54" s="1">
        <v>0</v>
      </c>
      <c r="F54" s="1">
        <v>35</v>
      </c>
      <c r="G54" s="1">
        <v>12</v>
      </c>
      <c r="H54" s="1">
        <v>0</v>
      </c>
      <c r="I54" s="1">
        <v>0</v>
      </c>
      <c r="J54" s="1">
        <v>4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4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2">
        <v>71</v>
      </c>
      <c r="Y54" s="3"/>
      <c r="Z54" s="15">
        <f t="shared" si="172"/>
        <v>5.1880922260904724E-2</v>
      </c>
      <c r="AA54" s="15">
        <f t="shared" si="173"/>
        <v>8.6468203768174535E-3</v>
      </c>
      <c r="AB54" s="15">
        <f t="shared" si="174"/>
        <v>6.9174563014539628E-2</v>
      </c>
      <c r="AC54" s="15">
        <f t="shared" si="175"/>
        <v>0</v>
      </c>
      <c r="AD54" s="15">
        <f t="shared" si="176"/>
        <v>0.30263871318861091</v>
      </c>
      <c r="AE54" s="15">
        <f t="shared" si="177"/>
        <v>0.10376184452180945</v>
      </c>
      <c r="AF54" s="15">
        <f t="shared" si="178"/>
        <v>0</v>
      </c>
      <c r="AG54" s="15">
        <f t="shared" si="179"/>
        <v>0</v>
      </c>
      <c r="AH54" s="15">
        <f t="shared" si="180"/>
        <v>3.4587281507269814E-2</v>
      </c>
      <c r="AI54" s="15">
        <f t="shared" si="181"/>
        <v>0</v>
      </c>
      <c r="AJ54" s="15">
        <f t="shared" si="182"/>
        <v>0</v>
      </c>
      <c r="AK54" s="15">
        <f t="shared" si="183"/>
        <v>0</v>
      </c>
      <c r="AL54" s="15">
        <f t="shared" si="184"/>
        <v>8.6468203768174535E-3</v>
      </c>
      <c r="AM54" s="15">
        <f t="shared" si="185"/>
        <v>0</v>
      </c>
      <c r="AN54" s="15">
        <f t="shared" si="186"/>
        <v>0</v>
      </c>
      <c r="AO54" s="15">
        <f t="shared" si="187"/>
        <v>3.4587281507269814E-2</v>
      </c>
      <c r="AP54" s="15">
        <f t="shared" si="188"/>
        <v>0</v>
      </c>
      <c r="AQ54" s="15">
        <f t="shared" si="189"/>
        <v>0</v>
      </c>
      <c r="AR54" s="15">
        <f t="shared" si="190"/>
        <v>0</v>
      </c>
      <c r="AS54" s="15">
        <f t="shared" si="191"/>
        <v>0</v>
      </c>
      <c r="AT54" s="15">
        <f t="shared" si="192"/>
        <v>0</v>
      </c>
      <c r="AU54" s="15">
        <f t="shared" si="193"/>
        <v>0</v>
      </c>
      <c r="AV54" s="5">
        <f t="shared" si="194"/>
        <v>0.61392424675403934</v>
      </c>
      <c r="AW54" s="16"/>
      <c r="AX54" s="6">
        <v>40</v>
      </c>
      <c r="AY54" s="6">
        <v>6.666666666666667</v>
      </c>
      <c r="AZ54" s="6">
        <v>53.333333333333336</v>
      </c>
      <c r="BA54" s="6">
        <v>0</v>
      </c>
      <c r="BB54" s="6">
        <v>233.33333333333334</v>
      </c>
      <c r="BC54" s="6">
        <v>80</v>
      </c>
      <c r="BD54" s="6">
        <v>0</v>
      </c>
      <c r="BE54" s="6">
        <v>0</v>
      </c>
      <c r="BF54" s="6">
        <v>26.666666666666668</v>
      </c>
      <c r="BG54" s="6">
        <v>0</v>
      </c>
      <c r="BH54" s="6">
        <v>0</v>
      </c>
      <c r="BI54" s="6">
        <v>0</v>
      </c>
      <c r="BJ54" s="6">
        <v>6.666666666666667</v>
      </c>
      <c r="BK54" s="6">
        <v>0</v>
      </c>
      <c r="BL54" s="6">
        <v>0</v>
      </c>
      <c r="BM54" s="6">
        <v>26.666666666666668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7">
        <v>473.33333333333343</v>
      </c>
      <c r="BU54" s="16"/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2</v>
      </c>
      <c r="CO54" s="8">
        <v>0</v>
      </c>
      <c r="CP54" s="8">
        <v>0</v>
      </c>
      <c r="CQ54" s="8">
        <v>0</v>
      </c>
      <c r="CR54" s="8">
        <v>2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1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0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9">
        <v>5</v>
      </c>
      <c r="GG54" s="3"/>
      <c r="GH54" s="10">
        <f t="shared" si="195"/>
        <v>0</v>
      </c>
      <c r="GI54" s="10">
        <f t="shared" si="196"/>
        <v>0</v>
      </c>
      <c r="GJ54" s="10">
        <f t="shared" si="197"/>
        <v>0</v>
      </c>
      <c r="GK54" s="10">
        <f t="shared" si="198"/>
        <v>0</v>
      </c>
      <c r="GL54" s="10">
        <f t="shared" si="199"/>
        <v>0</v>
      </c>
      <c r="GM54" s="10">
        <f t="shared" si="200"/>
        <v>0</v>
      </c>
      <c r="GN54" s="10">
        <f t="shared" si="201"/>
        <v>0</v>
      </c>
      <c r="GO54" s="10">
        <f t="shared" si="202"/>
        <v>0</v>
      </c>
      <c r="GP54" s="10">
        <f t="shared" si="203"/>
        <v>0</v>
      </c>
      <c r="GQ54" s="10">
        <f t="shared" si="204"/>
        <v>0</v>
      </c>
      <c r="GR54" s="10">
        <f t="shared" si="205"/>
        <v>0</v>
      </c>
      <c r="GS54" s="10">
        <f t="shared" si="206"/>
        <v>0</v>
      </c>
      <c r="GT54" s="10">
        <f t="shared" si="207"/>
        <v>0</v>
      </c>
      <c r="GU54" s="10">
        <f t="shared" si="208"/>
        <v>0</v>
      </c>
      <c r="GV54" s="10">
        <f t="shared" si="209"/>
        <v>0</v>
      </c>
      <c r="GW54" s="10">
        <f t="shared" si="210"/>
        <v>0</v>
      </c>
      <c r="GX54" s="10">
        <f t="shared" si="211"/>
        <v>0</v>
      </c>
      <c r="GY54" s="10">
        <f t="shared" si="212"/>
        <v>0</v>
      </c>
      <c r="GZ54" s="10">
        <f t="shared" si="213"/>
        <v>16</v>
      </c>
      <c r="HA54" s="10">
        <f t="shared" si="214"/>
        <v>0</v>
      </c>
      <c r="HB54" s="10">
        <f t="shared" si="215"/>
        <v>0</v>
      </c>
      <c r="HC54" s="10">
        <f t="shared" si="216"/>
        <v>0</v>
      </c>
      <c r="HD54" s="10">
        <f t="shared" si="217"/>
        <v>16</v>
      </c>
      <c r="HE54" s="10">
        <f t="shared" si="218"/>
        <v>0</v>
      </c>
      <c r="HF54" s="10">
        <f t="shared" si="219"/>
        <v>0</v>
      </c>
      <c r="HG54" s="10">
        <f t="shared" si="220"/>
        <v>0</v>
      </c>
      <c r="HH54" s="10">
        <f t="shared" si="221"/>
        <v>0</v>
      </c>
      <c r="HI54" s="10">
        <f t="shared" si="222"/>
        <v>0</v>
      </c>
      <c r="HJ54" s="10">
        <f t="shared" si="223"/>
        <v>0</v>
      </c>
      <c r="HK54" s="10">
        <f t="shared" si="224"/>
        <v>0</v>
      </c>
      <c r="HL54" s="10">
        <f t="shared" si="225"/>
        <v>0</v>
      </c>
      <c r="HM54" s="10">
        <f t="shared" si="226"/>
        <v>0</v>
      </c>
      <c r="HN54" s="10">
        <f t="shared" si="227"/>
        <v>0</v>
      </c>
      <c r="HO54" s="10">
        <f t="shared" si="228"/>
        <v>0</v>
      </c>
      <c r="HP54" s="10">
        <f t="shared" si="229"/>
        <v>0</v>
      </c>
      <c r="HQ54" s="10">
        <f t="shared" si="230"/>
        <v>0</v>
      </c>
      <c r="HR54" s="10">
        <f t="shared" si="231"/>
        <v>0</v>
      </c>
      <c r="HS54" s="10">
        <f t="shared" si="232"/>
        <v>0</v>
      </c>
      <c r="HT54" s="10">
        <f t="shared" si="233"/>
        <v>0</v>
      </c>
      <c r="HU54" s="10">
        <f t="shared" si="234"/>
        <v>0</v>
      </c>
      <c r="HV54" s="10">
        <f t="shared" si="235"/>
        <v>0</v>
      </c>
      <c r="HW54" s="10">
        <f t="shared" si="236"/>
        <v>0</v>
      </c>
      <c r="HX54" s="10">
        <f t="shared" si="237"/>
        <v>0</v>
      </c>
      <c r="HY54" s="10">
        <f t="shared" si="238"/>
        <v>0</v>
      </c>
      <c r="HZ54" s="10">
        <f t="shared" si="239"/>
        <v>0</v>
      </c>
      <c r="IA54" s="10">
        <f t="shared" si="240"/>
        <v>0</v>
      </c>
      <c r="IB54" s="10">
        <f t="shared" si="241"/>
        <v>0</v>
      </c>
      <c r="IC54" s="10">
        <f t="shared" si="242"/>
        <v>0</v>
      </c>
      <c r="ID54" s="10">
        <f t="shared" si="243"/>
        <v>0</v>
      </c>
      <c r="IE54" s="10">
        <f t="shared" si="244"/>
        <v>0</v>
      </c>
      <c r="IF54" s="10">
        <f t="shared" si="245"/>
        <v>0</v>
      </c>
      <c r="IG54" s="10">
        <f t="shared" si="246"/>
        <v>0</v>
      </c>
      <c r="IH54" s="10">
        <f t="shared" si="247"/>
        <v>0</v>
      </c>
      <c r="II54" s="10">
        <f t="shared" si="248"/>
        <v>0</v>
      </c>
      <c r="IJ54" s="10">
        <f t="shared" si="249"/>
        <v>0</v>
      </c>
      <c r="IK54" s="10">
        <f t="shared" si="250"/>
        <v>0</v>
      </c>
      <c r="IL54" s="10">
        <f t="shared" si="251"/>
        <v>0</v>
      </c>
      <c r="IM54" s="10">
        <f t="shared" si="252"/>
        <v>0</v>
      </c>
      <c r="IN54" s="10">
        <f t="shared" si="253"/>
        <v>0</v>
      </c>
      <c r="IO54" s="10">
        <f t="shared" si="254"/>
        <v>0</v>
      </c>
      <c r="IP54" s="10">
        <f t="shared" si="255"/>
        <v>0</v>
      </c>
      <c r="IQ54" s="10">
        <f t="shared" si="256"/>
        <v>0</v>
      </c>
      <c r="IR54" s="10">
        <f t="shared" si="257"/>
        <v>0</v>
      </c>
      <c r="IS54" s="10">
        <f t="shared" si="258"/>
        <v>0</v>
      </c>
      <c r="IT54" s="10">
        <f t="shared" si="259"/>
        <v>0</v>
      </c>
      <c r="IU54" s="10">
        <f t="shared" si="260"/>
        <v>0</v>
      </c>
      <c r="IV54" s="10">
        <f t="shared" si="261"/>
        <v>0</v>
      </c>
      <c r="IW54" s="10">
        <f t="shared" si="262"/>
        <v>8</v>
      </c>
      <c r="IX54" s="10">
        <f t="shared" si="263"/>
        <v>0</v>
      </c>
      <c r="IY54" s="10">
        <f t="shared" si="264"/>
        <v>0</v>
      </c>
      <c r="IZ54" s="10">
        <f t="shared" si="265"/>
        <v>0</v>
      </c>
      <c r="JA54" s="10">
        <f t="shared" si="266"/>
        <v>0</v>
      </c>
      <c r="JB54" s="10">
        <f t="shared" si="267"/>
        <v>0</v>
      </c>
      <c r="JC54" s="10">
        <f t="shared" si="268"/>
        <v>0</v>
      </c>
      <c r="JD54" s="10">
        <f t="shared" si="269"/>
        <v>0</v>
      </c>
      <c r="JE54" s="10">
        <f t="shared" si="270"/>
        <v>0</v>
      </c>
      <c r="JF54" s="10">
        <f t="shared" si="271"/>
        <v>0</v>
      </c>
      <c r="JG54" s="10">
        <v>0</v>
      </c>
      <c r="JH54" s="10">
        <f t="shared" si="272"/>
        <v>0</v>
      </c>
      <c r="JI54" s="10">
        <f t="shared" si="273"/>
        <v>0</v>
      </c>
      <c r="JJ54" s="10">
        <f t="shared" si="274"/>
        <v>0</v>
      </c>
      <c r="JK54" s="10">
        <f t="shared" si="275"/>
        <v>0</v>
      </c>
      <c r="JL54" s="10">
        <f t="shared" si="276"/>
        <v>0</v>
      </c>
      <c r="JM54" s="10">
        <f t="shared" si="277"/>
        <v>0</v>
      </c>
      <c r="JN54" s="10">
        <f t="shared" si="278"/>
        <v>0</v>
      </c>
      <c r="JO54" s="10">
        <f t="shared" si="279"/>
        <v>0</v>
      </c>
      <c r="JP54" s="10">
        <f t="shared" si="280"/>
        <v>0</v>
      </c>
      <c r="JQ54" s="10">
        <f t="shared" si="281"/>
        <v>0</v>
      </c>
      <c r="JR54" s="10">
        <f t="shared" si="282"/>
        <v>0</v>
      </c>
      <c r="JS54" s="10">
        <f t="shared" si="283"/>
        <v>0</v>
      </c>
      <c r="JT54" s="10">
        <f t="shared" si="284"/>
        <v>0</v>
      </c>
      <c r="JU54" s="10">
        <f t="shared" si="285"/>
        <v>0</v>
      </c>
      <c r="JV54" s="10">
        <f t="shared" si="286"/>
        <v>0</v>
      </c>
      <c r="JW54" s="10">
        <f t="shared" si="287"/>
        <v>0</v>
      </c>
      <c r="JX54" s="10">
        <f t="shared" si="288"/>
        <v>0</v>
      </c>
      <c r="JY54" s="10">
        <f t="shared" si="289"/>
        <v>0</v>
      </c>
      <c r="JZ54" s="10">
        <f t="shared" si="290"/>
        <v>0</v>
      </c>
      <c r="KA54" s="10">
        <f t="shared" si="291"/>
        <v>0</v>
      </c>
      <c r="KB54" s="10">
        <f t="shared" si="292"/>
        <v>0</v>
      </c>
      <c r="KC54" s="10">
        <f t="shared" si="293"/>
        <v>0</v>
      </c>
      <c r="KD54" s="10">
        <f t="shared" si="294"/>
        <v>0</v>
      </c>
      <c r="KE54" s="10">
        <f t="shared" si="295"/>
        <v>0</v>
      </c>
      <c r="KF54" s="10">
        <f t="shared" si="296"/>
        <v>0</v>
      </c>
      <c r="KG54" s="10">
        <f t="shared" si="297"/>
        <v>0</v>
      </c>
      <c r="KH54" s="10">
        <f t="shared" si="298"/>
        <v>0</v>
      </c>
      <c r="KI54" s="10">
        <f t="shared" si="299"/>
        <v>0</v>
      </c>
      <c r="KJ54" s="10">
        <f t="shared" si="300"/>
        <v>0</v>
      </c>
      <c r="KK54" s="10">
        <f t="shared" si="301"/>
        <v>0</v>
      </c>
      <c r="KL54" s="10">
        <f t="shared" si="302"/>
        <v>0</v>
      </c>
      <c r="KM54" s="10">
        <f t="shared" si="303"/>
        <v>0</v>
      </c>
      <c r="KN54" s="10">
        <f t="shared" si="304"/>
        <v>0</v>
      </c>
      <c r="KO54" s="10">
        <f t="shared" si="305"/>
        <v>0</v>
      </c>
      <c r="KP54" s="10">
        <f t="shared" si="306"/>
        <v>0</v>
      </c>
      <c r="KQ54" s="11">
        <v>40</v>
      </c>
      <c r="KR54" s="16"/>
      <c r="KS54" s="12">
        <v>7709.9631727522919</v>
      </c>
      <c r="KT54" s="26"/>
      <c r="KU54" s="26"/>
      <c r="KV54" s="26"/>
      <c r="KW54" s="26">
        <v>-17.04</v>
      </c>
      <c r="KX54" s="26">
        <v>10</v>
      </c>
      <c r="KY54" s="27">
        <v>2.87</v>
      </c>
      <c r="KZ54" s="27">
        <v>3.35</v>
      </c>
      <c r="LA54" s="17"/>
      <c r="LB54" s="2">
        <v>43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1</v>
      </c>
      <c r="LM54" s="1">
        <v>42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28"/>
      <c r="ML54" t="s">
        <v>870</v>
      </c>
      <c r="MM54" t="s">
        <v>393</v>
      </c>
      <c r="MN54" t="s">
        <v>320</v>
      </c>
      <c r="MO54" t="s">
        <v>321</v>
      </c>
      <c r="MP54" t="s">
        <v>322</v>
      </c>
      <c r="MQ54" t="s">
        <v>323</v>
      </c>
      <c r="MR54">
        <v>0.15</v>
      </c>
      <c r="MS54" t="s">
        <v>394</v>
      </c>
      <c r="MT54" t="s">
        <v>395</v>
      </c>
      <c r="MU54" t="s">
        <v>396</v>
      </c>
      <c r="MV54">
        <v>473.33333333333337</v>
      </c>
      <c r="MW54" s="13">
        <v>406</v>
      </c>
      <c r="MX54" s="13" t="s">
        <v>397</v>
      </c>
      <c r="MY54" t="s">
        <v>240</v>
      </c>
      <c r="MZ54" t="s">
        <v>241</v>
      </c>
      <c r="NA54" t="s">
        <v>242</v>
      </c>
      <c r="NB54" t="s">
        <v>282</v>
      </c>
      <c r="ND54" s="18">
        <v>43273</v>
      </c>
      <c r="NE54" s="19">
        <v>7.8472222222222221E-2</v>
      </c>
      <c r="NF54" t="s">
        <v>398</v>
      </c>
      <c r="NG54" t="s">
        <v>283</v>
      </c>
      <c r="NH54" t="s">
        <v>246</v>
      </c>
      <c r="NI54">
        <v>109</v>
      </c>
      <c r="NJ54" t="s">
        <v>244</v>
      </c>
      <c r="NK54">
        <v>6</v>
      </c>
      <c r="NL54" t="s">
        <v>248</v>
      </c>
      <c r="NM54">
        <v>29.655750000000001</v>
      </c>
      <c r="NN54">
        <v>-84.87688</v>
      </c>
      <c r="NO54" t="s">
        <v>248</v>
      </c>
      <c r="NP54" t="s">
        <v>284</v>
      </c>
      <c r="NQ54" t="s">
        <v>244</v>
      </c>
      <c r="NR54" t="s">
        <v>247</v>
      </c>
      <c r="NS54" t="s">
        <v>399</v>
      </c>
      <c r="NT54" t="s">
        <v>244</v>
      </c>
      <c r="NU54" t="s">
        <v>244</v>
      </c>
      <c r="NV54" t="s">
        <v>248</v>
      </c>
      <c r="NW54" t="s">
        <v>395</v>
      </c>
      <c r="NX54" t="s">
        <v>396</v>
      </c>
      <c r="NY54">
        <v>104.1</v>
      </c>
      <c r="NZ54">
        <v>101.6</v>
      </c>
      <c r="OA54">
        <v>94.3</v>
      </c>
      <c r="OB54" s="14">
        <v>7709.9631727522919</v>
      </c>
      <c r="OC54" t="s">
        <v>248</v>
      </c>
      <c r="OD54" t="s">
        <v>247</v>
      </c>
      <c r="OE54" t="s">
        <v>248</v>
      </c>
      <c r="OF54" t="s">
        <v>400</v>
      </c>
      <c r="OG54" t="s">
        <v>247</v>
      </c>
      <c r="ON54">
        <v>-17.04</v>
      </c>
      <c r="OO54">
        <v>10</v>
      </c>
      <c r="OP54" s="25">
        <v>2.87</v>
      </c>
      <c r="OQ54" s="25">
        <v>3.35</v>
      </c>
      <c r="OR54" t="s">
        <v>909</v>
      </c>
      <c r="OS54" t="s">
        <v>909</v>
      </c>
    </row>
    <row r="55" spans="1:409" x14ac:dyDescent="0.25">
      <c r="A55">
        <v>54</v>
      </c>
      <c r="B55" s="1">
        <v>65</v>
      </c>
      <c r="C55" s="1">
        <v>23</v>
      </c>
      <c r="D55" s="1">
        <v>11</v>
      </c>
      <c r="E55" s="1">
        <v>2</v>
      </c>
      <c r="F55" s="1">
        <v>40</v>
      </c>
      <c r="G55" s="1">
        <v>81</v>
      </c>
      <c r="H55" s="1">
        <v>0</v>
      </c>
      <c r="I55" s="1">
        <v>0</v>
      </c>
      <c r="J55" s="1">
        <v>15</v>
      </c>
      <c r="K55" s="1">
        <v>0</v>
      </c>
      <c r="L55" s="1">
        <v>760</v>
      </c>
      <c r="M55" s="1">
        <v>0</v>
      </c>
      <c r="N55" s="1">
        <v>82</v>
      </c>
      <c r="O55" s="1">
        <v>0</v>
      </c>
      <c r="P55" s="1">
        <v>0</v>
      </c>
      <c r="Q55" s="1">
        <v>7</v>
      </c>
      <c r="R55" s="1">
        <v>0</v>
      </c>
      <c r="S55" s="1">
        <v>0</v>
      </c>
      <c r="T55" s="1">
        <v>2</v>
      </c>
      <c r="U55" s="1">
        <v>0</v>
      </c>
      <c r="V55" s="1">
        <v>0</v>
      </c>
      <c r="W55" s="1">
        <v>0</v>
      </c>
      <c r="X55" s="2">
        <v>1088</v>
      </c>
      <c r="Y55" s="3"/>
      <c r="Z55" s="15">
        <f t="shared" si="172"/>
        <v>0.64851152826130909</v>
      </c>
      <c r="AA55" s="15">
        <f t="shared" si="173"/>
        <v>0.22947331000015547</v>
      </c>
      <c r="AB55" s="15">
        <f t="shared" si="174"/>
        <v>0.10974810478268307</v>
      </c>
      <c r="AC55" s="15">
        <f t="shared" si="175"/>
        <v>1.9954200869578741E-2</v>
      </c>
      <c r="AD55" s="15">
        <f t="shared" si="176"/>
        <v>0.39908401739157484</v>
      </c>
      <c r="AE55" s="15">
        <f t="shared" si="177"/>
        <v>0.80814513521793907</v>
      </c>
      <c r="AF55" s="15">
        <f t="shared" si="178"/>
        <v>0</v>
      </c>
      <c r="AG55" s="15">
        <f t="shared" si="179"/>
        <v>0</v>
      </c>
      <c r="AH55" s="15">
        <f t="shared" si="180"/>
        <v>0.14965650652184057</v>
      </c>
      <c r="AI55" s="15">
        <f t="shared" si="181"/>
        <v>0</v>
      </c>
      <c r="AJ55" s="15">
        <f t="shared" si="182"/>
        <v>7.5825963304399204</v>
      </c>
      <c r="AK55" s="15">
        <f t="shared" si="183"/>
        <v>0</v>
      </c>
      <c r="AL55" s="15">
        <f t="shared" si="184"/>
        <v>0.81812223565272835</v>
      </c>
      <c r="AM55" s="15">
        <f t="shared" si="185"/>
        <v>0</v>
      </c>
      <c r="AN55" s="15">
        <f t="shared" si="186"/>
        <v>0</v>
      </c>
      <c r="AO55" s="15">
        <f t="shared" si="187"/>
        <v>6.9839703043525589E-2</v>
      </c>
      <c r="AP55" s="15">
        <f t="shared" si="188"/>
        <v>0</v>
      </c>
      <c r="AQ55" s="15">
        <f t="shared" si="189"/>
        <v>0</v>
      </c>
      <c r="AR55" s="15">
        <f t="shared" si="190"/>
        <v>1.9954200869578741E-2</v>
      </c>
      <c r="AS55" s="15">
        <f t="shared" si="191"/>
        <v>0</v>
      </c>
      <c r="AT55" s="15">
        <f t="shared" si="192"/>
        <v>0</v>
      </c>
      <c r="AU55" s="15">
        <f t="shared" si="193"/>
        <v>0</v>
      </c>
      <c r="AV55" s="5">
        <f t="shared" si="194"/>
        <v>10.855085273050836</v>
      </c>
      <c r="AW55" s="16"/>
      <c r="AX55" s="6">
        <v>500</v>
      </c>
      <c r="AY55" s="6">
        <v>176.92307692307691</v>
      </c>
      <c r="AZ55" s="6">
        <v>84.615384615384613</v>
      </c>
      <c r="BA55" s="6">
        <v>15.384615384615383</v>
      </c>
      <c r="BB55" s="6">
        <v>307.69230769230768</v>
      </c>
      <c r="BC55" s="6">
        <v>623.07692307692309</v>
      </c>
      <c r="BD55" s="6">
        <v>0</v>
      </c>
      <c r="BE55" s="6">
        <v>0</v>
      </c>
      <c r="BF55" s="6">
        <v>115.38461538461539</v>
      </c>
      <c r="BG55" s="6">
        <v>0</v>
      </c>
      <c r="BH55" s="6">
        <v>5846.1538461538457</v>
      </c>
      <c r="BI55" s="6">
        <v>0</v>
      </c>
      <c r="BJ55" s="6">
        <v>630.76923076923072</v>
      </c>
      <c r="BK55" s="6">
        <v>0</v>
      </c>
      <c r="BL55" s="6">
        <v>0</v>
      </c>
      <c r="BM55" s="6">
        <v>53.846153846153847</v>
      </c>
      <c r="BN55" s="6">
        <v>0</v>
      </c>
      <c r="BO55" s="6">
        <v>0</v>
      </c>
      <c r="BP55" s="6">
        <v>15.384615384615383</v>
      </c>
      <c r="BQ55" s="6">
        <v>0</v>
      </c>
      <c r="BR55" s="6">
        <v>0</v>
      </c>
      <c r="BS55" s="6">
        <v>0</v>
      </c>
      <c r="BT55" s="7">
        <v>8369.2307692307695</v>
      </c>
      <c r="BU55" s="16"/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15</v>
      </c>
      <c r="CO55" s="8">
        <v>0</v>
      </c>
      <c r="CP55" s="8">
        <v>0</v>
      </c>
      <c r="CQ55" s="8">
        <v>0</v>
      </c>
      <c r="CR55" s="8">
        <v>6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1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1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2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1</v>
      </c>
      <c r="GB55" s="8">
        <v>0</v>
      </c>
      <c r="GC55" s="8">
        <v>1</v>
      </c>
      <c r="GD55" s="8">
        <v>0</v>
      </c>
      <c r="GE55" s="8">
        <v>0</v>
      </c>
      <c r="GF55" s="9">
        <v>27</v>
      </c>
      <c r="GG55" s="3"/>
      <c r="GH55" s="10">
        <f t="shared" si="195"/>
        <v>0</v>
      </c>
      <c r="GI55" s="10">
        <f t="shared" si="196"/>
        <v>0</v>
      </c>
      <c r="GJ55" s="10">
        <f t="shared" si="197"/>
        <v>0</v>
      </c>
      <c r="GK55" s="10">
        <f t="shared" si="198"/>
        <v>0</v>
      </c>
      <c r="GL55" s="10">
        <f t="shared" si="199"/>
        <v>0</v>
      </c>
      <c r="GM55" s="10">
        <f t="shared" si="200"/>
        <v>0</v>
      </c>
      <c r="GN55" s="10">
        <f t="shared" si="201"/>
        <v>0</v>
      </c>
      <c r="GO55" s="10">
        <f t="shared" si="202"/>
        <v>0</v>
      </c>
      <c r="GP55" s="10">
        <f t="shared" si="203"/>
        <v>0</v>
      </c>
      <c r="GQ55" s="10">
        <f t="shared" si="204"/>
        <v>0</v>
      </c>
      <c r="GR55" s="10">
        <f t="shared" si="205"/>
        <v>0</v>
      </c>
      <c r="GS55" s="10">
        <f t="shared" si="206"/>
        <v>0</v>
      </c>
      <c r="GT55" s="10">
        <f t="shared" si="207"/>
        <v>0</v>
      </c>
      <c r="GU55" s="10">
        <f t="shared" si="208"/>
        <v>0</v>
      </c>
      <c r="GV55" s="10">
        <f t="shared" si="209"/>
        <v>0</v>
      </c>
      <c r="GW55" s="10">
        <f t="shared" si="210"/>
        <v>0</v>
      </c>
      <c r="GX55" s="10">
        <f t="shared" si="211"/>
        <v>0</v>
      </c>
      <c r="GY55" s="10">
        <f t="shared" si="212"/>
        <v>0</v>
      </c>
      <c r="GZ55" s="10">
        <f t="shared" si="213"/>
        <v>277.77777777777777</v>
      </c>
      <c r="HA55" s="10">
        <f t="shared" si="214"/>
        <v>0</v>
      </c>
      <c r="HB55" s="10">
        <f t="shared" si="215"/>
        <v>0</v>
      </c>
      <c r="HC55" s="10">
        <f t="shared" si="216"/>
        <v>0</v>
      </c>
      <c r="HD55" s="10">
        <f t="shared" si="217"/>
        <v>111.1111111111111</v>
      </c>
      <c r="HE55" s="10">
        <f t="shared" si="218"/>
        <v>0</v>
      </c>
      <c r="HF55" s="10">
        <f t="shared" si="219"/>
        <v>0</v>
      </c>
      <c r="HG55" s="10">
        <f t="shared" si="220"/>
        <v>0</v>
      </c>
      <c r="HH55" s="10">
        <f t="shared" si="221"/>
        <v>0</v>
      </c>
      <c r="HI55" s="10">
        <f t="shared" si="222"/>
        <v>0</v>
      </c>
      <c r="HJ55" s="10">
        <f t="shared" si="223"/>
        <v>0</v>
      </c>
      <c r="HK55" s="10">
        <f t="shared" si="224"/>
        <v>0</v>
      </c>
      <c r="HL55" s="10">
        <f t="shared" si="225"/>
        <v>0</v>
      </c>
      <c r="HM55" s="10">
        <f t="shared" si="226"/>
        <v>0</v>
      </c>
      <c r="HN55" s="10">
        <f t="shared" si="227"/>
        <v>0</v>
      </c>
      <c r="HO55" s="10">
        <f t="shared" si="228"/>
        <v>0</v>
      </c>
      <c r="HP55" s="10">
        <f t="shared" si="229"/>
        <v>0</v>
      </c>
      <c r="HQ55" s="10">
        <f t="shared" si="230"/>
        <v>0</v>
      </c>
      <c r="HR55" s="10">
        <f t="shared" si="231"/>
        <v>0</v>
      </c>
      <c r="HS55" s="10">
        <f t="shared" si="232"/>
        <v>0</v>
      </c>
      <c r="HT55" s="10">
        <f t="shared" si="233"/>
        <v>0</v>
      </c>
      <c r="HU55" s="10">
        <f t="shared" si="234"/>
        <v>0</v>
      </c>
      <c r="HV55" s="10">
        <f t="shared" si="235"/>
        <v>0</v>
      </c>
      <c r="HW55" s="10">
        <f t="shared" si="236"/>
        <v>0</v>
      </c>
      <c r="HX55" s="10">
        <f t="shared" si="237"/>
        <v>0</v>
      </c>
      <c r="HY55" s="10">
        <f t="shared" si="238"/>
        <v>0</v>
      </c>
      <c r="HZ55" s="10">
        <f t="shared" si="239"/>
        <v>0</v>
      </c>
      <c r="IA55" s="10">
        <f t="shared" si="240"/>
        <v>0</v>
      </c>
      <c r="IB55" s="10">
        <f t="shared" si="241"/>
        <v>0</v>
      </c>
      <c r="IC55" s="10">
        <f t="shared" si="242"/>
        <v>0</v>
      </c>
      <c r="ID55" s="10">
        <f t="shared" si="243"/>
        <v>0</v>
      </c>
      <c r="IE55" s="10">
        <f t="shared" si="244"/>
        <v>0</v>
      </c>
      <c r="IF55" s="10">
        <f t="shared" si="245"/>
        <v>0</v>
      </c>
      <c r="IG55" s="10">
        <f t="shared" si="246"/>
        <v>0</v>
      </c>
      <c r="IH55" s="10">
        <f t="shared" si="247"/>
        <v>18.518518518518519</v>
      </c>
      <c r="II55" s="10">
        <f t="shared" si="248"/>
        <v>0</v>
      </c>
      <c r="IJ55" s="10">
        <f t="shared" si="249"/>
        <v>0</v>
      </c>
      <c r="IK55" s="10">
        <f t="shared" si="250"/>
        <v>0</v>
      </c>
      <c r="IL55" s="10">
        <f t="shared" si="251"/>
        <v>0</v>
      </c>
      <c r="IM55" s="10">
        <f t="shared" si="252"/>
        <v>0</v>
      </c>
      <c r="IN55" s="10">
        <f t="shared" si="253"/>
        <v>0</v>
      </c>
      <c r="IO55" s="10">
        <f t="shared" si="254"/>
        <v>0</v>
      </c>
      <c r="IP55" s="10">
        <f t="shared" si="255"/>
        <v>0</v>
      </c>
      <c r="IQ55" s="10">
        <f t="shared" si="256"/>
        <v>0</v>
      </c>
      <c r="IR55" s="10">
        <f t="shared" si="257"/>
        <v>0</v>
      </c>
      <c r="IS55" s="10">
        <f t="shared" si="258"/>
        <v>0</v>
      </c>
      <c r="IT55" s="10">
        <f t="shared" si="259"/>
        <v>0</v>
      </c>
      <c r="IU55" s="10">
        <f t="shared" si="260"/>
        <v>0</v>
      </c>
      <c r="IV55" s="10">
        <f t="shared" si="261"/>
        <v>0</v>
      </c>
      <c r="IW55" s="10">
        <f t="shared" si="262"/>
        <v>0</v>
      </c>
      <c r="IX55" s="10">
        <f t="shared" si="263"/>
        <v>0</v>
      </c>
      <c r="IY55" s="10">
        <f t="shared" si="264"/>
        <v>0</v>
      </c>
      <c r="IZ55" s="10">
        <f t="shared" si="265"/>
        <v>0</v>
      </c>
      <c r="JA55" s="10">
        <f t="shared" si="266"/>
        <v>0</v>
      </c>
      <c r="JB55" s="10">
        <f t="shared" si="267"/>
        <v>0</v>
      </c>
      <c r="JC55" s="10">
        <f t="shared" si="268"/>
        <v>0</v>
      </c>
      <c r="JD55" s="10">
        <f t="shared" si="269"/>
        <v>0</v>
      </c>
      <c r="JE55" s="10">
        <f t="shared" si="270"/>
        <v>0</v>
      </c>
      <c r="JF55" s="10">
        <f t="shared" si="271"/>
        <v>0</v>
      </c>
      <c r="JG55" s="10">
        <v>0</v>
      </c>
      <c r="JH55" s="10">
        <f t="shared" si="272"/>
        <v>0</v>
      </c>
      <c r="JI55" s="10">
        <f t="shared" si="273"/>
        <v>0</v>
      </c>
      <c r="JJ55" s="10">
        <f t="shared" si="274"/>
        <v>0</v>
      </c>
      <c r="JK55" s="10">
        <f t="shared" si="275"/>
        <v>0</v>
      </c>
      <c r="JL55" s="10">
        <f t="shared" si="276"/>
        <v>0</v>
      </c>
      <c r="JM55" s="10">
        <f t="shared" si="277"/>
        <v>0</v>
      </c>
      <c r="JN55" s="10">
        <f t="shared" si="278"/>
        <v>0</v>
      </c>
      <c r="JO55" s="10">
        <f t="shared" si="279"/>
        <v>0</v>
      </c>
      <c r="JP55" s="10">
        <f t="shared" si="280"/>
        <v>0</v>
      </c>
      <c r="JQ55" s="10">
        <f t="shared" si="281"/>
        <v>0</v>
      </c>
      <c r="JR55" s="10">
        <f t="shared" si="282"/>
        <v>18.518518518518519</v>
      </c>
      <c r="JS55" s="10">
        <f t="shared" si="283"/>
        <v>0</v>
      </c>
      <c r="JT55" s="10">
        <f t="shared" si="284"/>
        <v>0</v>
      </c>
      <c r="JU55" s="10">
        <f t="shared" si="285"/>
        <v>0</v>
      </c>
      <c r="JV55" s="10">
        <f t="shared" si="286"/>
        <v>0</v>
      </c>
      <c r="JW55" s="10">
        <f t="shared" si="287"/>
        <v>0</v>
      </c>
      <c r="JX55" s="10">
        <f t="shared" si="288"/>
        <v>37.037037037037038</v>
      </c>
      <c r="JY55" s="10">
        <f t="shared" si="289"/>
        <v>0</v>
      </c>
      <c r="JZ55" s="10">
        <f t="shared" si="290"/>
        <v>0</v>
      </c>
      <c r="KA55" s="10">
        <f t="shared" si="291"/>
        <v>0</v>
      </c>
      <c r="KB55" s="10">
        <f t="shared" si="292"/>
        <v>0</v>
      </c>
      <c r="KC55" s="10">
        <f t="shared" si="293"/>
        <v>0</v>
      </c>
      <c r="KD55" s="10">
        <f t="shared" si="294"/>
        <v>0</v>
      </c>
      <c r="KE55" s="10">
        <f t="shared" si="295"/>
        <v>0</v>
      </c>
      <c r="KF55" s="10">
        <f t="shared" si="296"/>
        <v>0</v>
      </c>
      <c r="KG55" s="10">
        <f t="shared" si="297"/>
        <v>0</v>
      </c>
      <c r="KH55" s="10">
        <f t="shared" si="298"/>
        <v>0</v>
      </c>
      <c r="KI55" s="10">
        <f t="shared" si="299"/>
        <v>0</v>
      </c>
      <c r="KJ55" s="10">
        <f t="shared" si="300"/>
        <v>0</v>
      </c>
      <c r="KK55" s="10">
        <f t="shared" si="301"/>
        <v>0</v>
      </c>
      <c r="KL55" s="10">
        <f t="shared" si="302"/>
        <v>18.518518518518519</v>
      </c>
      <c r="KM55" s="10">
        <f t="shared" si="303"/>
        <v>0</v>
      </c>
      <c r="KN55" s="10">
        <f t="shared" si="304"/>
        <v>18.518518518518519</v>
      </c>
      <c r="KO55" s="10">
        <f t="shared" si="305"/>
        <v>0</v>
      </c>
      <c r="KP55" s="10">
        <f t="shared" si="306"/>
        <v>0</v>
      </c>
      <c r="KQ55" s="11">
        <v>500</v>
      </c>
      <c r="KR55" s="16"/>
      <c r="KS55" s="12">
        <v>7709.9631727522919</v>
      </c>
      <c r="KT55" s="26"/>
      <c r="KU55" s="26"/>
      <c r="KV55" s="26"/>
      <c r="KW55" s="26">
        <v>-17.04</v>
      </c>
      <c r="KX55" s="26">
        <v>10</v>
      </c>
      <c r="KY55" s="27">
        <v>2.87</v>
      </c>
      <c r="KZ55" s="27">
        <v>3.35</v>
      </c>
      <c r="LA55" s="17"/>
      <c r="LB55" s="2">
        <v>339</v>
      </c>
      <c r="LC55" s="1">
        <v>0</v>
      </c>
      <c r="LD55" s="1">
        <v>0</v>
      </c>
      <c r="LE55" s="1">
        <v>0</v>
      </c>
      <c r="LF55" s="1">
        <v>0</v>
      </c>
      <c r="LG55" s="1">
        <v>2</v>
      </c>
      <c r="LH55" s="1">
        <v>0</v>
      </c>
      <c r="LI55" s="1">
        <v>0</v>
      </c>
      <c r="LJ55" s="1">
        <v>1</v>
      </c>
      <c r="LK55" s="1">
        <v>0</v>
      </c>
      <c r="LL55" s="1">
        <v>22</v>
      </c>
      <c r="LM55" s="1">
        <v>6</v>
      </c>
      <c r="LN55" s="1">
        <v>280</v>
      </c>
      <c r="LO55" s="1">
        <v>0</v>
      </c>
      <c r="LP55" s="1">
        <v>2</v>
      </c>
      <c r="LQ55" s="1">
        <v>0</v>
      </c>
      <c r="LR55" s="1">
        <v>0</v>
      </c>
      <c r="LS55" s="1">
        <v>0</v>
      </c>
      <c r="LT55" s="1">
        <v>8</v>
      </c>
      <c r="LU55" s="1">
        <v>0</v>
      </c>
      <c r="LV55" s="1">
        <v>0</v>
      </c>
      <c r="LW55" s="1">
        <v>0</v>
      </c>
      <c r="LX55" s="1">
        <v>0</v>
      </c>
      <c r="LY55" s="1">
        <v>1</v>
      </c>
      <c r="LZ55" s="1">
        <v>1</v>
      </c>
      <c r="MA55" s="1">
        <v>0</v>
      </c>
      <c r="MB55" s="1">
        <v>0</v>
      </c>
      <c r="MC55" s="1">
        <v>0</v>
      </c>
      <c r="MD55" s="1">
        <v>16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28"/>
      <c r="ML55" t="s">
        <v>871</v>
      </c>
      <c r="MM55" t="s">
        <v>401</v>
      </c>
      <c r="MN55" t="s">
        <v>320</v>
      </c>
      <c r="MO55" t="s">
        <v>334</v>
      </c>
      <c r="MP55" t="s">
        <v>335</v>
      </c>
      <c r="MQ55" t="s">
        <v>336</v>
      </c>
      <c r="MR55">
        <v>0.13</v>
      </c>
      <c r="MS55" t="s">
        <v>394</v>
      </c>
      <c r="MT55" t="s">
        <v>395</v>
      </c>
      <c r="MU55" t="s">
        <v>396</v>
      </c>
      <c r="MV55">
        <v>8369.2307692307695</v>
      </c>
      <c r="MW55" s="13">
        <v>406</v>
      </c>
      <c r="MX55" s="13" t="s">
        <v>397</v>
      </c>
      <c r="MY55" t="s">
        <v>240</v>
      </c>
      <c r="MZ55" t="s">
        <v>241</v>
      </c>
      <c r="NA55" t="s">
        <v>242</v>
      </c>
      <c r="NB55" t="s">
        <v>282</v>
      </c>
      <c r="ND55" s="18">
        <v>43273</v>
      </c>
      <c r="NE55" s="19">
        <v>7.8472222222222221E-2</v>
      </c>
      <c r="NF55" t="s">
        <v>398</v>
      </c>
      <c r="NG55" t="s">
        <v>283</v>
      </c>
      <c r="NH55" t="s">
        <v>246</v>
      </c>
      <c r="NI55">
        <v>109</v>
      </c>
      <c r="NJ55" t="s">
        <v>244</v>
      </c>
      <c r="NK55">
        <v>6</v>
      </c>
      <c r="NL55" t="s">
        <v>248</v>
      </c>
      <c r="NM55">
        <v>29.655750000000001</v>
      </c>
      <c r="NN55">
        <v>-84.87688</v>
      </c>
      <c r="NO55" t="s">
        <v>248</v>
      </c>
      <c r="NP55" t="s">
        <v>284</v>
      </c>
      <c r="NQ55" t="s">
        <v>244</v>
      </c>
      <c r="NR55" t="s">
        <v>247</v>
      </c>
      <c r="NS55" t="s">
        <v>399</v>
      </c>
      <c r="NT55" t="s">
        <v>244</v>
      </c>
      <c r="NU55" t="s">
        <v>244</v>
      </c>
      <c r="NV55" t="s">
        <v>248</v>
      </c>
      <c r="NW55" t="s">
        <v>395</v>
      </c>
      <c r="NX55" t="s">
        <v>396</v>
      </c>
      <c r="NY55">
        <v>104.1</v>
      </c>
      <c r="NZ55">
        <v>101.6</v>
      </c>
      <c r="OA55">
        <v>94.3</v>
      </c>
      <c r="OB55" s="14">
        <v>7709.9631727522919</v>
      </c>
      <c r="OC55" t="s">
        <v>248</v>
      </c>
      <c r="OD55" t="s">
        <v>247</v>
      </c>
      <c r="OE55" t="s">
        <v>248</v>
      </c>
      <c r="OF55" t="s">
        <v>400</v>
      </c>
      <c r="OG55" t="s">
        <v>247</v>
      </c>
      <c r="ON55">
        <v>-17.04</v>
      </c>
      <c r="OO55">
        <v>10</v>
      </c>
      <c r="OP55" s="25">
        <v>2.87</v>
      </c>
      <c r="OQ55" s="25">
        <v>3.35</v>
      </c>
      <c r="OR55" t="s">
        <v>909</v>
      </c>
      <c r="OS55" t="s">
        <v>909</v>
      </c>
    </row>
    <row r="56" spans="1:409" x14ac:dyDescent="0.25">
      <c r="A56">
        <v>55</v>
      </c>
      <c r="B56" s="1">
        <v>57</v>
      </c>
      <c r="C56" s="1">
        <v>0</v>
      </c>
      <c r="D56" s="1">
        <v>0</v>
      </c>
      <c r="E56" s="1">
        <v>0</v>
      </c>
      <c r="F56" s="1">
        <v>36</v>
      </c>
      <c r="G56" s="1">
        <v>78</v>
      </c>
      <c r="H56" s="1">
        <v>0</v>
      </c>
      <c r="I56" s="1">
        <v>0</v>
      </c>
      <c r="J56" s="1">
        <v>14</v>
      </c>
      <c r="K56" s="1">
        <v>3</v>
      </c>
      <c r="L56" s="1">
        <v>1</v>
      </c>
      <c r="M56" s="1">
        <v>0</v>
      </c>
      <c r="N56" s="1">
        <v>20</v>
      </c>
      <c r="O56" s="1">
        <v>0</v>
      </c>
      <c r="P56" s="1">
        <v>0</v>
      </c>
      <c r="Q56" s="1">
        <v>9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2">
        <v>218</v>
      </c>
      <c r="Y56" s="3"/>
      <c r="Z56" s="15">
        <f t="shared" si="172"/>
        <v>0.7393031422178924</v>
      </c>
      <c r="AA56" s="15">
        <f t="shared" si="173"/>
        <v>0</v>
      </c>
      <c r="AB56" s="15">
        <f t="shared" si="174"/>
        <v>0</v>
      </c>
      <c r="AC56" s="15">
        <f t="shared" si="175"/>
        <v>0</v>
      </c>
      <c r="AD56" s="15">
        <f t="shared" si="176"/>
        <v>0.46692830034814253</v>
      </c>
      <c r="AE56" s="15">
        <f t="shared" si="177"/>
        <v>1.011677984087642</v>
      </c>
      <c r="AF56" s="15">
        <f t="shared" si="178"/>
        <v>0</v>
      </c>
      <c r="AG56" s="15">
        <f t="shared" si="179"/>
        <v>0</v>
      </c>
      <c r="AH56" s="15">
        <f t="shared" si="180"/>
        <v>0.18158322791316653</v>
      </c>
      <c r="AI56" s="15">
        <f t="shared" si="181"/>
        <v>3.891069169567854E-2</v>
      </c>
      <c r="AJ56" s="15">
        <f t="shared" si="182"/>
        <v>1.2970230565226181E-2</v>
      </c>
      <c r="AK56" s="15">
        <f t="shared" si="183"/>
        <v>0</v>
      </c>
      <c r="AL56" s="15">
        <f t="shared" si="184"/>
        <v>0.25940461130452364</v>
      </c>
      <c r="AM56" s="15">
        <f t="shared" si="185"/>
        <v>0</v>
      </c>
      <c r="AN56" s="15">
        <f t="shared" si="186"/>
        <v>0</v>
      </c>
      <c r="AO56" s="15">
        <f t="shared" si="187"/>
        <v>0.11673207508703563</v>
      </c>
      <c r="AP56" s="15">
        <f t="shared" si="188"/>
        <v>0</v>
      </c>
      <c r="AQ56" s="15">
        <f t="shared" si="189"/>
        <v>0</v>
      </c>
      <c r="AR56" s="15">
        <f t="shared" si="190"/>
        <v>0</v>
      </c>
      <c r="AS56" s="15">
        <f t="shared" si="191"/>
        <v>0</v>
      </c>
      <c r="AT56" s="15">
        <f t="shared" si="192"/>
        <v>0</v>
      </c>
      <c r="AU56" s="15">
        <f t="shared" si="193"/>
        <v>0</v>
      </c>
      <c r="AV56" s="5">
        <f t="shared" si="194"/>
        <v>2.827510263219307</v>
      </c>
      <c r="AW56" s="16"/>
      <c r="AX56" s="6">
        <v>570</v>
      </c>
      <c r="AY56" s="6">
        <v>0</v>
      </c>
      <c r="AZ56" s="6">
        <v>0</v>
      </c>
      <c r="BA56" s="6">
        <v>0</v>
      </c>
      <c r="BB56" s="6">
        <v>360</v>
      </c>
      <c r="BC56" s="6">
        <v>780</v>
      </c>
      <c r="BD56" s="6">
        <v>0</v>
      </c>
      <c r="BE56" s="6">
        <v>0</v>
      </c>
      <c r="BF56" s="6">
        <v>140</v>
      </c>
      <c r="BG56" s="6">
        <v>30</v>
      </c>
      <c r="BH56" s="6">
        <v>10</v>
      </c>
      <c r="BI56" s="6">
        <v>0</v>
      </c>
      <c r="BJ56" s="6">
        <v>200</v>
      </c>
      <c r="BK56" s="6">
        <v>0</v>
      </c>
      <c r="BL56" s="6">
        <v>0</v>
      </c>
      <c r="BM56" s="6">
        <v>90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7">
        <v>2180</v>
      </c>
      <c r="BU56" s="16"/>
      <c r="BV56" s="8">
        <v>0</v>
      </c>
      <c r="BW56" s="8">
        <v>2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1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13</v>
      </c>
      <c r="CO56" s="8">
        <v>0</v>
      </c>
      <c r="CP56" s="8">
        <v>0</v>
      </c>
      <c r="CQ56" s="8">
        <v>0</v>
      </c>
      <c r="CR56" s="8">
        <v>2</v>
      </c>
      <c r="CS56" s="8">
        <v>0</v>
      </c>
      <c r="CT56" s="8">
        <v>0</v>
      </c>
      <c r="CU56" s="8">
        <v>3</v>
      </c>
      <c r="CV56" s="8">
        <v>0</v>
      </c>
      <c r="CW56" s="8">
        <v>0</v>
      </c>
      <c r="CX56" s="8">
        <v>0</v>
      </c>
      <c r="CY56" s="8">
        <v>1</v>
      </c>
      <c r="CZ56" s="8">
        <v>0</v>
      </c>
      <c r="DA56" s="8">
        <v>0</v>
      </c>
      <c r="DB56" s="8">
        <v>0</v>
      </c>
      <c r="DC56" s="8">
        <v>1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1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1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1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1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1</v>
      </c>
      <c r="FE56" s="8">
        <v>0</v>
      </c>
      <c r="FF56" s="8">
        <v>0</v>
      </c>
      <c r="FG56" s="8">
        <v>9</v>
      </c>
      <c r="FH56" s="8">
        <v>0</v>
      </c>
      <c r="FI56" s="8">
        <v>1</v>
      </c>
      <c r="FJ56" s="8">
        <v>0</v>
      </c>
      <c r="FK56" s="8">
        <v>0</v>
      </c>
      <c r="FL56" s="8">
        <v>0</v>
      </c>
      <c r="FM56" s="8">
        <v>3</v>
      </c>
      <c r="FN56" s="8">
        <v>0</v>
      </c>
      <c r="FO56" s="8">
        <v>0</v>
      </c>
      <c r="FP56" s="8">
        <v>0</v>
      </c>
      <c r="FQ56" s="8">
        <v>5</v>
      </c>
      <c r="FR56" s="8">
        <v>0</v>
      </c>
      <c r="FS56" s="8">
        <v>1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1</v>
      </c>
      <c r="GB56" s="8">
        <v>0</v>
      </c>
      <c r="GC56" s="8">
        <v>0</v>
      </c>
      <c r="GD56" s="8">
        <v>0</v>
      </c>
      <c r="GE56" s="8">
        <v>0</v>
      </c>
      <c r="GF56" s="9">
        <v>48</v>
      </c>
      <c r="GG56" s="3"/>
      <c r="GH56" s="10">
        <f t="shared" si="195"/>
        <v>0</v>
      </c>
      <c r="GI56" s="10">
        <f t="shared" si="196"/>
        <v>23.75</v>
      </c>
      <c r="GJ56" s="10">
        <f t="shared" si="197"/>
        <v>0</v>
      </c>
      <c r="GK56" s="10">
        <f t="shared" si="198"/>
        <v>0</v>
      </c>
      <c r="GL56" s="10">
        <f t="shared" si="199"/>
        <v>0</v>
      </c>
      <c r="GM56" s="10">
        <f t="shared" si="200"/>
        <v>0</v>
      </c>
      <c r="GN56" s="10">
        <f t="shared" si="201"/>
        <v>0</v>
      </c>
      <c r="GO56" s="10">
        <f t="shared" si="202"/>
        <v>0</v>
      </c>
      <c r="GP56" s="10">
        <f t="shared" si="203"/>
        <v>0</v>
      </c>
      <c r="GQ56" s="10">
        <f t="shared" si="204"/>
        <v>0</v>
      </c>
      <c r="GR56" s="10">
        <f t="shared" si="205"/>
        <v>11.875</v>
      </c>
      <c r="GS56" s="10">
        <f t="shared" si="206"/>
        <v>0</v>
      </c>
      <c r="GT56" s="10">
        <f t="shared" si="207"/>
        <v>0</v>
      </c>
      <c r="GU56" s="10">
        <f t="shared" si="208"/>
        <v>0</v>
      </c>
      <c r="GV56" s="10">
        <f t="shared" si="209"/>
        <v>0</v>
      </c>
      <c r="GW56" s="10">
        <f t="shared" si="210"/>
        <v>0</v>
      </c>
      <c r="GX56" s="10">
        <f t="shared" si="211"/>
        <v>0</v>
      </c>
      <c r="GY56" s="10">
        <f t="shared" si="212"/>
        <v>0</v>
      </c>
      <c r="GZ56" s="10">
        <f t="shared" si="213"/>
        <v>154.375</v>
      </c>
      <c r="HA56" s="10">
        <f t="shared" si="214"/>
        <v>0</v>
      </c>
      <c r="HB56" s="10">
        <f t="shared" si="215"/>
        <v>0</v>
      </c>
      <c r="HC56" s="10">
        <f t="shared" si="216"/>
        <v>0</v>
      </c>
      <c r="HD56" s="10">
        <f t="shared" si="217"/>
        <v>23.75</v>
      </c>
      <c r="HE56" s="10">
        <f t="shared" si="218"/>
        <v>0</v>
      </c>
      <c r="HF56" s="10">
        <f t="shared" si="219"/>
        <v>0</v>
      </c>
      <c r="HG56" s="10">
        <f t="shared" si="220"/>
        <v>35.625</v>
      </c>
      <c r="HH56" s="10">
        <f t="shared" si="221"/>
        <v>0</v>
      </c>
      <c r="HI56" s="10">
        <f t="shared" si="222"/>
        <v>0</v>
      </c>
      <c r="HJ56" s="10">
        <f t="shared" si="223"/>
        <v>0</v>
      </c>
      <c r="HK56" s="10">
        <f t="shared" si="224"/>
        <v>11.875</v>
      </c>
      <c r="HL56" s="10">
        <f t="shared" si="225"/>
        <v>0</v>
      </c>
      <c r="HM56" s="10">
        <f t="shared" si="226"/>
        <v>0</v>
      </c>
      <c r="HN56" s="10">
        <f t="shared" si="227"/>
        <v>0</v>
      </c>
      <c r="HO56" s="10">
        <f t="shared" si="228"/>
        <v>11.875</v>
      </c>
      <c r="HP56" s="10">
        <f t="shared" si="229"/>
        <v>0</v>
      </c>
      <c r="HQ56" s="10">
        <f t="shared" si="230"/>
        <v>0</v>
      </c>
      <c r="HR56" s="10">
        <f t="shared" si="231"/>
        <v>0</v>
      </c>
      <c r="HS56" s="10">
        <f t="shared" si="232"/>
        <v>0</v>
      </c>
      <c r="HT56" s="10">
        <f t="shared" si="233"/>
        <v>0</v>
      </c>
      <c r="HU56" s="10">
        <f t="shared" si="234"/>
        <v>0</v>
      </c>
      <c r="HV56" s="10">
        <f t="shared" si="235"/>
        <v>11.875</v>
      </c>
      <c r="HW56" s="10">
        <f t="shared" si="236"/>
        <v>0</v>
      </c>
      <c r="HX56" s="10">
        <f t="shared" si="237"/>
        <v>0</v>
      </c>
      <c r="HY56" s="10">
        <f t="shared" si="238"/>
        <v>0</v>
      </c>
      <c r="HZ56" s="10">
        <f t="shared" si="239"/>
        <v>0</v>
      </c>
      <c r="IA56" s="10">
        <f t="shared" si="240"/>
        <v>0</v>
      </c>
      <c r="IB56" s="10">
        <f t="shared" si="241"/>
        <v>0</v>
      </c>
      <c r="IC56" s="10">
        <f t="shared" si="242"/>
        <v>0</v>
      </c>
      <c r="ID56" s="10">
        <f t="shared" si="243"/>
        <v>11.875</v>
      </c>
      <c r="IE56" s="10">
        <f t="shared" si="244"/>
        <v>0</v>
      </c>
      <c r="IF56" s="10">
        <f t="shared" si="245"/>
        <v>0</v>
      </c>
      <c r="IG56" s="10">
        <f t="shared" si="246"/>
        <v>0</v>
      </c>
      <c r="IH56" s="10">
        <f t="shared" si="247"/>
        <v>0</v>
      </c>
      <c r="II56" s="10">
        <f t="shared" si="248"/>
        <v>0</v>
      </c>
      <c r="IJ56" s="10">
        <f t="shared" si="249"/>
        <v>0</v>
      </c>
      <c r="IK56" s="10">
        <f t="shared" si="250"/>
        <v>0</v>
      </c>
      <c r="IL56" s="10">
        <f t="shared" si="251"/>
        <v>0</v>
      </c>
      <c r="IM56" s="10">
        <f t="shared" si="252"/>
        <v>0</v>
      </c>
      <c r="IN56" s="10">
        <f t="shared" si="253"/>
        <v>0</v>
      </c>
      <c r="IO56" s="10">
        <f t="shared" si="254"/>
        <v>11.875</v>
      </c>
      <c r="IP56" s="10">
        <f t="shared" si="255"/>
        <v>0</v>
      </c>
      <c r="IQ56" s="10">
        <f t="shared" si="256"/>
        <v>0</v>
      </c>
      <c r="IR56" s="10">
        <f t="shared" si="257"/>
        <v>0</v>
      </c>
      <c r="IS56" s="10">
        <f t="shared" si="258"/>
        <v>0</v>
      </c>
      <c r="IT56" s="10">
        <f t="shared" si="259"/>
        <v>0</v>
      </c>
      <c r="IU56" s="10">
        <f t="shared" si="260"/>
        <v>0</v>
      </c>
      <c r="IV56" s="10">
        <f t="shared" si="261"/>
        <v>0</v>
      </c>
      <c r="IW56" s="10">
        <f t="shared" si="262"/>
        <v>11.875</v>
      </c>
      <c r="IX56" s="10">
        <f t="shared" si="263"/>
        <v>0</v>
      </c>
      <c r="IY56" s="10">
        <f t="shared" si="264"/>
        <v>0</v>
      </c>
      <c r="IZ56" s="10">
        <f t="shared" si="265"/>
        <v>0</v>
      </c>
      <c r="JA56" s="10">
        <f t="shared" si="266"/>
        <v>0</v>
      </c>
      <c r="JB56" s="10">
        <f t="shared" si="267"/>
        <v>0</v>
      </c>
      <c r="JC56" s="10">
        <f t="shared" si="268"/>
        <v>0</v>
      </c>
      <c r="JD56" s="10">
        <f t="shared" si="269"/>
        <v>0</v>
      </c>
      <c r="JE56" s="10">
        <f t="shared" si="270"/>
        <v>0</v>
      </c>
      <c r="JF56" s="10">
        <f t="shared" si="271"/>
        <v>0</v>
      </c>
      <c r="JG56" s="10">
        <v>0</v>
      </c>
      <c r="JH56" s="10">
        <f t="shared" si="272"/>
        <v>0</v>
      </c>
      <c r="JI56" s="10">
        <f t="shared" si="273"/>
        <v>0</v>
      </c>
      <c r="JJ56" s="10">
        <f t="shared" si="274"/>
        <v>0</v>
      </c>
      <c r="JK56" s="10">
        <f t="shared" si="275"/>
        <v>0</v>
      </c>
      <c r="JL56" s="10">
        <f t="shared" si="276"/>
        <v>0</v>
      </c>
      <c r="JM56" s="10">
        <f t="shared" si="277"/>
        <v>0</v>
      </c>
      <c r="JN56" s="10">
        <f t="shared" si="278"/>
        <v>0</v>
      </c>
      <c r="JO56" s="10">
        <f t="shared" si="279"/>
        <v>11.875</v>
      </c>
      <c r="JP56" s="10">
        <f t="shared" si="280"/>
        <v>0</v>
      </c>
      <c r="JQ56" s="10">
        <f t="shared" si="281"/>
        <v>0</v>
      </c>
      <c r="JR56" s="10">
        <f t="shared" si="282"/>
        <v>106.875</v>
      </c>
      <c r="JS56" s="10">
        <f t="shared" si="283"/>
        <v>0</v>
      </c>
      <c r="JT56" s="10">
        <f t="shared" si="284"/>
        <v>11.875</v>
      </c>
      <c r="JU56" s="10">
        <f t="shared" si="285"/>
        <v>0</v>
      </c>
      <c r="JV56" s="10">
        <f t="shared" si="286"/>
        <v>0</v>
      </c>
      <c r="JW56" s="10">
        <f t="shared" si="287"/>
        <v>0</v>
      </c>
      <c r="JX56" s="10">
        <f t="shared" si="288"/>
        <v>35.625</v>
      </c>
      <c r="JY56" s="10">
        <f t="shared" si="289"/>
        <v>0</v>
      </c>
      <c r="JZ56" s="10">
        <f t="shared" si="290"/>
        <v>0</v>
      </c>
      <c r="KA56" s="10">
        <f t="shared" si="291"/>
        <v>0</v>
      </c>
      <c r="KB56" s="10">
        <f t="shared" si="292"/>
        <v>59.375</v>
      </c>
      <c r="KC56" s="10">
        <f t="shared" si="293"/>
        <v>0</v>
      </c>
      <c r="KD56" s="10">
        <f t="shared" si="294"/>
        <v>11.875</v>
      </c>
      <c r="KE56" s="10">
        <f t="shared" si="295"/>
        <v>0</v>
      </c>
      <c r="KF56" s="10">
        <f t="shared" si="296"/>
        <v>0</v>
      </c>
      <c r="KG56" s="10">
        <f t="shared" si="297"/>
        <v>0</v>
      </c>
      <c r="KH56" s="10">
        <f t="shared" si="298"/>
        <v>0</v>
      </c>
      <c r="KI56" s="10">
        <f t="shared" si="299"/>
        <v>0</v>
      </c>
      <c r="KJ56" s="10">
        <f t="shared" si="300"/>
        <v>0</v>
      </c>
      <c r="KK56" s="10">
        <f t="shared" si="301"/>
        <v>0</v>
      </c>
      <c r="KL56" s="10">
        <f t="shared" si="302"/>
        <v>11.875</v>
      </c>
      <c r="KM56" s="10">
        <f t="shared" si="303"/>
        <v>0</v>
      </c>
      <c r="KN56" s="10">
        <f t="shared" si="304"/>
        <v>0</v>
      </c>
      <c r="KO56" s="10">
        <f t="shared" si="305"/>
        <v>0</v>
      </c>
      <c r="KP56" s="10">
        <f t="shared" si="306"/>
        <v>0</v>
      </c>
      <c r="KQ56" s="11">
        <v>570</v>
      </c>
      <c r="KR56" s="16"/>
      <c r="KS56" s="12">
        <v>7709.9631727522919</v>
      </c>
      <c r="KT56" s="26"/>
      <c r="KU56" s="26"/>
      <c r="KV56" s="26"/>
      <c r="KW56" s="26">
        <v>-17.04</v>
      </c>
      <c r="KX56" s="26">
        <v>10</v>
      </c>
      <c r="KY56" s="27">
        <v>2.87</v>
      </c>
      <c r="KZ56" s="27">
        <v>3.35</v>
      </c>
      <c r="LA56" s="17"/>
      <c r="LB56" s="2">
        <v>416</v>
      </c>
      <c r="LC56" s="1">
        <v>0</v>
      </c>
      <c r="LD56" s="1">
        <v>0</v>
      </c>
      <c r="LE56" s="1">
        <v>0</v>
      </c>
      <c r="LF56" s="1">
        <v>0</v>
      </c>
      <c r="LG56" s="1">
        <v>4</v>
      </c>
      <c r="LH56" s="1">
        <v>0</v>
      </c>
      <c r="LI56" s="1">
        <v>0</v>
      </c>
      <c r="LJ56" s="1">
        <v>1</v>
      </c>
      <c r="LK56" s="1">
        <v>0</v>
      </c>
      <c r="LL56" s="1">
        <v>111</v>
      </c>
      <c r="LM56" s="1">
        <v>12</v>
      </c>
      <c r="LN56" s="1">
        <v>242</v>
      </c>
      <c r="LO56" s="1">
        <v>0</v>
      </c>
      <c r="LP56" s="1">
        <v>1</v>
      </c>
      <c r="LQ56" s="1">
        <v>0</v>
      </c>
      <c r="LR56" s="1">
        <v>0</v>
      </c>
      <c r="LS56" s="1">
        <v>0</v>
      </c>
      <c r="LT56" s="1">
        <v>17</v>
      </c>
      <c r="LU56" s="1">
        <v>0</v>
      </c>
      <c r="LV56" s="1">
        <v>0</v>
      </c>
      <c r="LW56" s="1">
        <v>0</v>
      </c>
      <c r="LX56" s="1">
        <v>0</v>
      </c>
      <c r="LY56" s="1">
        <v>1</v>
      </c>
      <c r="LZ56" s="1">
        <v>2</v>
      </c>
      <c r="MA56" s="1">
        <v>4</v>
      </c>
      <c r="MB56" s="1">
        <v>2</v>
      </c>
      <c r="MC56" s="1">
        <v>0</v>
      </c>
      <c r="MD56" s="1">
        <v>19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>
        <v>0</v>
      </c>
      <c r="MK56" s="28"/>
      <c r="ML56" t="s">
        <v>872</v>
      </c>
      <c r="MM56" t="s">
        <v>401</v>
      </c>
      <c r="MN56" t="s">
        <v>320</v>
      </c>
      <c r="MO56" t="s">
        <v>337</v>
      </c>
      <c r="MP56" t="s">
        <v>338</v>
      </c>
      <c r="MQ56" t="s">
        <v>339</v>
      </c>
      <c r="MR56">
        <v>0.1</v>
      </c>
      <c r="MS56" t="s">
        <v>394</v>
      </c>
      <c r="MT56" t="s">
        <v>395</v>
      </c>
      <c r="MU56" t="s">
        <v>396</v>
      </c>
      <c r="MV56">
        <v>2180</v>
      </c>
      <c r="MW56" s="13">
        <v>406</v>
      </c>
      <c r="MX56" s="13" t="s">
        <v>397</v>
      </c>
      <c r="MY56" t="s">
        <v>240</v>
      </c>
      <c r="MZ56" t="s">
        <v>241</v>
      </c>
      <c r="NA56" t="s">
        <v>242</v>
      </c>
      <c r="NB56" t="s">
        <v>282</v>
      </c>
      <c r="ND56" s="18">
        <v>43273</v>
      </c>
      <c r="NE56" s="19">
        <v>7.8472222222222221E-2</v>
      </c>
      <c r="NF56" t="s">
        <v>398</v>
      </c>
      <c r="NG56" t="s">
        <v>283</v>
      </c>
      <c r="NH56" t="s">
        <v>246</v>
      </c>
      <c r="NI56">
        <v>109</v>
      </c>
      <c r="NJ56" t="s">
        <v>244</v>
      </c>
      <c r="NK56">
        <v>6</v>
      </c>
      <c r="NL56" t="s">
        <v>248</v>
      </c>
      <c r="NM56">
        <v>29.655750000000001</v>
      </c>
      <c r="NN56">
        <v>-84.87688</v>
      </c>
      <c r="NO56" t="s">
        <v>248</v>
      </c>
      <c r="NP56" t="s">
        <v>284</v>
      </c>
      <c r="NQ56" t="s">
        <v>244</v>
      </c>
      <c r="NR56" t="s">
        <v>247</v>
      </c>
      <c r="NS56" t="s">
        <v>399</v>
      </c>
      <c r="NT56" t="s">
        <v>244</v>
      </c>
      <c r="NU56" t="s">
        <v>244</v>
      </c>
      <c r="NV56" t="s">
        <v>248</v>
      </c>
      <c r="NW56" t="s">
        <v>395</v>
      </c>
      <c r="NX56" t="s">
        <v>396</v>
      </c>
      <c r="NY56">
        <v>104.1</v>
      </c>
      <c r="NZ56">
        <v>101.6</v>
      </c>
      <c r="OA56">
        <v>94.3</v>
      </c>
      <c r="OB56" s="14">
        <v>7709.9631727522919</v>
      </c>
      <c r="OC56" t="s">
        <v>248</v>
      </c>
      <c r="OD56" t="s">
        <v>247</v>
      </c>
      <c r="OE56" t="s">
        <v>248</v>
      </c>
      <c r="OF56" t="s">
        <v>400</v>
      </c>
      <c r="OG56" t="s">
        <v>247</v>
      </c>
      <c r="ON56">
        <v>-17.04</v>
      </c>
      <c r="OO56">
        <v>10</v>
      </c>
      <c r="OP56" s="25">
        <v>2.87</v>
      </c>
      <c r="OQ56" s="25">
        <v>3.35</v>
      </c>
      <c r="OR56" t="s">
        <v>909</v>
      </c>
      <c r="OS56" t="s">
        <v>909</v>
      </c>
    </row>
    <row r="57" spans="1:409" x14ac:dyDescent="0.25">
      <c r="A57">
        <v>56</v>
      </c>
      <c r="B57" s="1">
        <v>6</v>
      </c>
      <c r="C57" s="1">
        <v>22</v>
      </c>
      <c r="D57" s="1">
        <v>54</v>
      </c>
      <c r="E57" s="1">
        <v>0</v>
      </c>
      <c r="F57" s="1">
        <v>12</v>
      </c>
      <c r="G57" s="1">
        <v>41</v>
      </c>
      <c r="H57" s="1">
        <v>12</v>
      </c>
      <c r="I57" s="1">
        <v>0</v>
      </c>
      <c r="J57" s="1">
        <v>112</v>
      </c>
      <c r="K57" s="1">
        <v>0</v>
      </c>
      <c r="L57" s="1">
        <v>0</v>
      </c>
      <c r="M57" s="1">
        <v>0</v>
      </c>
      <c r="N57" s="1">
        <v>13</v>
      </c>
      <c r="O57" s="1">
        <v>0</v>
      </c>
      <c r="P57" s="1">
        <v>0</v>
      </c>
      <c r="Q57" s="1">
        <v>62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2">
        <v>334</v>
      </c>
      <c r="Y57" s="3"/>
      <c r="Z57" s="15">
        <f t="shared" si="172"/>
        <v>8.9749028059339479E-3</v>
      </c>
      <c r="AA57" s="15">
        <f t="shared" si="173"/>
        <v>3.2907976955091144E-2</v>
      </c>
      <c r="AB57" s="15">
        <f t="shared" si="174"/>
        <v>8.0774125253405535E-2</v>
      </c>
      <c r="AC57" s="15">
        <f t="shared" si="175"/>
        <v>0</v>
      </c>
      <c r="AD57" s="15">
        <f t="shared" si="176"/>
        <v>1.7949805611867896E-2</v>
      </c>
      <c r="AE57" s="15">
        <f t="shared" si="177"/>
        <v>6.1328502507215304E-2</v>
      </c>
      <c r="AF57" s="15">
        <f t="shared" si="178"/>
        <v>1.7949805611867896E-2</v>
      </c>
      <c r="AG57" s="15">
        <f t="shared" si="179"/>
        <v>0</v>
      </c>
      <c r="AH57" s="15">
        <f t="shared" si="180"/>
        <v>0.16753151904410038</v>
      </c>
      <c r="AI57" s="15">
        <f t="shared" si="181"/>
        <v>0</v>
      </c>
      <c r="AJ57" s="15">
        <f t="shared" si="182"/>
        <v>0</v>
      </c>
      <c r="AK57" s="15">
        <f t="shared" si="183"/>
        <v>0</v>
      </c>
      <c r="AL57" s="15">
        <f t="shared" si="184"/>
        <v>1.944562274619022E-2</v>
      </c>
      <c r="AM57" s="15">
        <f t="shared" si="185"/>
        <v>0</v>
      </c>
      <c r="AN57" s="15">
        <f t="shared" si="186"/>
        <v>0</v>
      </c>
      <c r="AO57" s="15">
        <f t="shared" si="187"/>
        <v>9.2740662327984141E-2</v>
      </c>
      <c r="AP57" s="15">
        <f t="shared" si="188"/>
        <v>0</v>
      </c>
      <c r="AQ57" s="15">
        <f t="shared" si="189"/>
        <v>0</v>
      </c>
      <c r="AR57" s="15">
        <f t="shared" si="190"/>
        <v>0</v>
      </c>
      <c r="AS57" s="15">
        <f t="shared" si="191"/>
        <v>0</v>
      </c>
      <c r="AT57" s="15">
        <f t="shared" si="192"/>
        <v>0</v>
      </c>
      <c r="AU57" s="15">
        <f t="shared" si="193"/>
        <v>0</v>
      </c>
      <c r="AV57" s="5">
        <f t="shared" si="194"/>
        <v>0.49960292286365643</v>
      </c>
      <c r="AW57" s="16"/>
      <c r="AX57" s="6">
        <v>6</v>
      </c>
      <c r="AY57" s="6">
        <v>22</v>
      </c>
      <c r="AZ57" s="6">
        <v>54</v>
      </c>
      <c r="BA57" s="6">
        <v>0</v>
      </c>
      <c r="BB57" s="6">
        <v>12</v>
      </c>
      <c r="BC57" s="6">
        <v>41</v>
      </c>
      <c r="BD57" s="6">
        <v>12</v>
      </c>
      <c r="BE57" s="6">
        <v>0</v>
      </c>
      <c r="BF57" s="6">
        <v>112</v>
      </c>
      <c r="BG57" s="6">
        <v>0</v>
      </c>
      <c r="BH57" s="6">
        <v>0</v>
      </c>
      <c r="BI57" s="6">
        <v>0</v>
      </c>
      <c r="BJ57" s="6">
        <v>13</v>
      </c>
      <c r="BK57" s="6">
        <v>0</v>
      </c>
      <c r="BL57" s="6">
        <v>0</v>
      </c>
      <c r="BM57" s="6">
        <v>62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7">
        <v>334</v>
      </c>
      <c r="BU57" s="16"/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2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1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1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3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9">
        <v>7</v>
      </c>
      <c r="GG57" s="3"/>
      <c r="GH57" s="10">
        <f t="shared" si="195"/>
        <v>0</v>
      </c>
      <c r="GI57" s="10">
        <f t="shared" si="196"/>
        <v>0</v>
      </c>
      <c r="GJ57" s="10">
        <f t="shared" si="197"/>
        <v>0</v>
      </c>
      <c r="GK57" s="10">
        <f t="shared" si="198"/>
        <v>0</v>
      </c>
      <c r="GL57" s="10">
        <f t="shared" si="199"/>
        <v>0</v>
      </c>
      <c r="GM57" s="10">
        <f t="shared" si="200"/>
        <v>0</v>
      </c>
      <c r="GN57" s="10">
        <f t="shared" si="201"/>
        <v>0</v>
      </c>
      <c r="GO57" s="10">
        <f t="shared" si="202"/>
        <v>0</v>
      </c>
      <c r="GP57" s="10">
        <f t="shared" si="203"/>
        <v>0</v>
      </c>
      <c r="GQ57" s="10">
        <f t="shared" si="204"/>
        <v>0</v>
      </c>
      <c r="GR57" s="10">
        <f t="shared" si="205"/>
        <v>0</v>
      </c>
      <c r="GS57" s="10">
        <f t="shared" si="206"/>
        <v>0</v>
      </c>
      <c r="GT57" s="10">
        <f t="shared" si="207"/>
        <v>0</v>
      </c>
      <c r="GU57" s="10">
        <f t="shared" si="208"/>
        <v>0</v>
      </c>
      <c r="GV57" s="10">
        <f t="shared" si="209"/>
        <v>0</v>
      </c>
      <c r="GW57" s="10">
        <f t="shared" si="210"/>
        <v>0</v>
      </c>
      <c r="GX57" s="10">
        <f t="shared" si="211"/>
        <v>0</v>
      </c>
      <c r="GY57" s="10">
        <f t="shared" si="212"/>
        <v>0</v>
      </c>
      <c r="GZ57" s="10">
        <f t="shared" si="213"/>
        <v>1.7142857142857142</v>
      </c>
      <c r="HA57" s="10">
        <f t="shared" si="214"/>
        <v>0</v>
      </c>
      <c r="HB57" s="10">
        <f t="shared" si="215"/>
        <v>0</v>
      </c>
      <c r="HC57" s="10">
        <f t="shared" si="216"/>
        <v>0</v>
      </c>
      <c r="HD57" s="10">
        <f t="shared" si="217"/>
        <v>0</v>
      </c>
      <c r="HE57" s="10">
        <f t="shared" si="218"/>
        <v>0</v>
      </c>
      <c r="HF57" s="10">
        <f t="shared" si="219"/>
        <v>0</v>
      </c>
      <c r="HG57" s="10">
        <f t="shared" si="220"/>
        <v>0</v>
      </c>
      <c r="HH57" s="10">
        <f t="shared" si="221"/>
        <v>0</v>
      </c>
      <c r="HI57" s="10">
        <f t="shared" si="222"/>
        <v>0</v>
      </c>
      <c r="HJ57" s="10">
        <f t="shared" si="223"/>
        <v>0</v>
      </c>
      <c r="HK57" s="10">
        <f t="shared" si="224"/>
        <v>0</v>
      </c>
      <c r="HL57" s="10">
        <f t="shared" si="225"/>
        <v>0</v>
      </c>
      <c r="HM57" s="10">
        <f t="shared" si="226"/>
        <v>0</v>
      </c>
      <c r="HN57" s="10">
        <f t="shared" si="227"/>
        <v>0</v>
      </c>
      <c r="HO57" s="10">
        <f t="shared" si="228"/>
        <v>0</v>
      </c>
      <c r="HP57" s="10">
        <f t="shared" si="229"/>
        <v>0</v>
      </c>
      <c r="HQ57" s="10">
        <f t="shared" si="230"/>
        <v>0</v>
      </c>
      <c r="HR57" s="10">
        <f t="shared" si="231"/>
        <v>0</v>
      </c>
      <c r="HS57" s="10">
        <f t="shared" si="232"/>
        <v>0</v>
      </c>
      <c r="HT57" s="10">
        <f t="shared" si="233"/>
        <v>0</v>
      </c>
      <c r="HU57" s="10">
        <f t="shared" si="234"/>
        <v>0.8571428571428571</v>
      </c>
      <c r="HV57" s="10">
        <f t="shared" si="235"/>
        <v>0</v>
      </c>
      <c r="HW57" s="10">
        <f t="shared" si="236"/>
        <v>0</v>
      </c>
      <c r="HX57" s="10">
        <f t="shared" si="237"/>
        <v>0</v>
      </c>
      <c r="HY57" s="10">
        <f t="shared" si="238"/>
        <v>0</v>
      </c>
      <c r="HZ57" s="10">
        <f t="shared" si="239"/>
        <v>0</v>
      </c>
      <c r="IA57" s="10">
        <f t="shared" si="240"/>
        <v>0</v>
      </c>
      <c r="IB57" s="10">
        <f t="shared" si="241"/>
        <v>0</v>
      </c>
      <c r="IC57" s="10">
        <f t="shared" si="242"/>
        <v>0</v>
      </c>
      <c r="ID57" s="10">
        <f t="shared" si="243"/>
        <v>0</v>
      </c>
      <c r="IE57" s="10">
        <f t="shared" si="244"/>
        <v>0</v>
      </c>
      <c r="IF57" s="10">
        <f t="shared" si="245"/>
        <v>0</v>
      </c>
      <c r="IG57" s="10">
        <f t="shared" si="246"/>
        <v>0</v>
      </c>
      <c r="IH57" s="10">
        <f t="shared" si="247"/>
        <v>0.8571428571428571</v>
      </c>
      <c r="II57" s="10">
        <f t="shared" si="248"/>
        <v>0</v>
      </c>
      <c r="IJ57" s="10">
        <f t="shared" si="249"/>
        <v>0</v>
      </c>
      <c r="IK57" s="10">
        <f t="shared" si="250"/>
        <v>0</v>
      </c>
      <c r="IL57" s="10">
        <f t="shared" si="251"/>
        <v>0</v>
      </c>
      <c r="IM57" s="10">
        <f t="shared" si="252"/>
        <v>0</v>
      </c>
      <c r="IN57" s="10">
        <f t="shared" si="253"/>
        <v>0</v>
      </c>
      <c r="IO57" s="10">
        <f t="shared" si="254"/>
        <v>0</v>
      </c>
      <c r="IP57" s="10">
        <f t="shared" si="255"/>
        <v>0</v>
      </c>
      <c r="IQ57" s="10">
        <f t="shared" si="256"/>
        <v>0</v>
      </c>
      <c r="IR57" s="10">
        <f t="shared" si="257"/>
        <v>0</v>
      </c>
      <c r="IS57" s="10">
        <f t="shared" si="258"/>
        <v>0</v>
      </c>
      <c r="IT57" s="10">
        <f t="shared" si="259"/>
        <v>0</v>
      </c>
      <c r="IU57" s="10">
        <f t="shared" si="260"/>
        <v>0</v>
      </c>
      <c r="IV57" s="10">
        <f t="shared" si="261"/>
        <v>0</v>
      </c>
      <c r="IW57" s="10">
        <f t="shared" si="262"/>
        <v>2.5714285714285712</v>
      </c>
      <c r="IX57" s="10">
        <f t="shared" si="263"/>
        <v>0</v>
      </c>
      <c r="IY57" s="10">
        <f t="shared" si="264"/>
        <v>0</v>
      </c>
      <c r="IZ57" s="10">
        <f t="shared" si="265"/>
        <v>0</v>
      </c>
      <c r="JA57" s="10">
        <f t="shared" si="266"/>
        <v>0</v>
      </c>
      <c r="JB57" s="10">
        <f t="shared" si="267"/>
        <v>0</v>
      </c>
      <c r="JC57" s="10">
        <f t="shared" si="268"/>
        <v>0</v>
      </c>
      <c r="JD57" s="10">
        <f t="shared" si="269"/>
        <v>0</v>
      </c>
      <c r="JE57" s="10">
        <f t="shared" si="270"/>
        <v>0</v>
      </c>
      <c r="JF57" s="10">
        <f t="shared" si="271"/>
        <v>0</v>
      </c>
      <c r="JG57" s="10">
        <v>0</v>
      </c>
      <c r="JH57" s="10">
        <f t="shared" si="272"/>
        <v>0</v>
      </c>
      <c r="JI57" s="10">
        <f t="shared" si="273"/>
        <v>0</v>
      </c>
      <c r="JJ57" s="10">
        <f t="shared" si="274"/>
        <v>0</v>
      </c>
      <c r="JK57" s="10">
        <f t="shared" si="275"/>
        <v>0</v>
      </c>
      <c r="JL57" s="10">
        <f t="shared" si="276"/>
        <v>0</v>
      </c>
      <c r="JM57" s="10">
        <f t="shared" si="277"/>
        <v>0</v>
      </c>
      <c r="JN57" s="10">
        <f t="shared" si="278"/>
        <v>0</v>
      </c>
      <c r="JO57" s="10">
        <f t="shared" si="279"/>
        <v>0</v>
      </c>
      <c r="JP57" s="10">
        <f t="shared" si="280"/>
        <v>0</v>
      </c>
      <c r="JQ57" s="10">
        <f t="shared" si="281"/>
        <v>0</v>
      </c>
      <c r="JR57" s="10">
        <f t="shared" si="282"/>
        <v>0</v>
      </c>
      <c r="JS57" s="10">
        <f t="shared" si="283"/>
        <v>0</v>
      </c>
      <c r="JT57" s="10">
        <f t="shared" si="284"/>
        <v>0</v>
      </c>
      <c r="JU57" s="10">
        <f t="shared" si="285"/>
        <v>0</v>
      </c>
      <c r="JV57" s="10">
        <f t="shared" si="286"/>
        <v>0</v>
      </c>
      <c r="JW57" s="10">
        <f t="shared" si="287"/>
        <v>0</v>
      </c>
      <c r="JX57" s="10">
        <f t="shared" si="288"/>
        <v>0</v>
      </c>
      <c r="JY57" s="10">
        <f t="shared" si="289"/>
        <v>0</v>
      </c>
      <c r="JZ57" s="10">
        <f t="shared" si="290"/>
        <v>0</v>
      </c>
      <c r="KA57" s="10">
        <f t="shared" si="291"/>
        <v>0</v>
      </c>
      <c r="KB57" s="10">
        <f t="shared" si="292"/>
        <v>0</v>
      </c>
      <c r="KC57" s="10">
        <f t="shared" si="293"/>
        <v>0</v>
      </c>
      <c r="KD57" s="10">
        <f t="shared" si="294"/>
        <v>0</v>
      </c>
      <c r="KE57" s="10">
        <f t="shared" si="295"/>
        <v>0</v>
      </c>
      <c r="KF57" s="10">
        <f t="shared" si="296"/>
        <v>0</v>
      </c>
      <c r="KG57" s="10">
        <f t="shared" si="297"/>
        <v>0</v>
      </c>
      <c r="KH57" s="10">
        <f t="shared" si="298"/>
        <v>0</v>
      </c>
      <c r="KI57" s="10">
        <f t="shared" si="299"/>
        <v>0</v>
      </c>
      <c r="KJ57" s="10">
        <f t="shared" si="300"/>
        <v>0</v>
      </c>
      <c r="KK57" s="10">
        <f t="shared" si="301"/>
        <v>0</v>
      </c>
      <c r="KL57" s="10">
        <f t="shared" si="302"/>
        <v>0</v>
      </c>
      <c r="KM57" s="10">
        <f t="shared" si="303"/>
        <v>0</v>
      </c>
      <c r="KN57" s="10">
        <f t="shared" si="304"/>
        <v>0</v>
      </c>
      <c r="KO57" s="10">
        <f t="shared" si="305"/>
        <v>0</v>
      </c>
      <c r="KP57" s="10">
        <f t="shared" si="306"/>
        <v>0</v>
      </c>
      <c r="KQ57" s="11">
        <v>6</v>
      </c>
      <c r="KR57" s="16"/>
      <c r="KS57" s="12">
        <v>6685.3091668390798</v>
      </c>
      <c r="KT57" s="26">
        <v>87</v>
      </c>
      <c r="KU57" s="26">
        <v>0.9885057471264368</v>
      </c>
      <c r="KV57" s="26">
        <v>1</v>
      </c>
      <c r="KW57" s="26">
        <v>-14.75</v>
      </c>
      <c r="KX57" s="26">
        <v>10.86</v>
      </c>
      <c r="KY57" s="27">
        <v>2.8931042042604869</v>
      </c>
      <c r="KZ57" s="27">
        <v>3.3748867528467459</v>
      </c>
      <c r="LA57" s="17"/>
      <c r="LB57" s="2">
        <v>125</v>
      </c>
      <c r="LC57" s="1">
        <v>0</v>
      </c>
      <c r="LD57" s="1">
        <v>0</v>
      </c>
      <c r="LE57" s="1">
        <v>0</v>
      </c>
      <c r="LF57" s="1">
        <v>0</v>
      </c>
      <c r="LG57" s="1">
        <v>21</v>
      </c>
      <c r="LH57" s="1">
        <v>0</v>
      </c>
      <c r="LI57" s="1">
        <v>0</v>
      </c>
      <c r="LJ57" s="1">
        <v>2</v>
      </c>
      <c r="LK57" s="1">
        <v>0</v>
      </c>
      <c r="LL57" s="1">
        <v>3</v>
      </c>
      <c r="LM57" s="1">
        <v>5</v>
      </c>
      <c r="LN57" s="1">
        <v>2</v>
      </c>
      <c r="LO57" s="1">
        <v>0</v>
      </c>
      <c r="LP57" s="1">
        <v>9</v>
      </c>
      <c r="LQ57" s="1">
        <v>0</v>
      </c>
      <c r="LR57" s="1">
        <v>0</v>
      </c>
      <c r="LS57" s="1">
        <v>0</v>
      </c>
      <c r="LT57" s="1">
        <v>18</v>
      </c>
      <c r="LU57" s="1">
        <v>0</v>
      </c>
      <c r="LV57" s="1">
        <v>0</v>
      </c>
      <c r="LW57" s="1">
        <v>0</v>
      </c>
      <c r="LX57" s="1">
        <v>0</v>
      </c>
      <c r="LY57" s="1">
        <v>17</v>
      </c>
      <c r="LZ57" s="1">
        <v>1</v>
      </c>
      <c r="MA57" s="1">
        <v>0</v>
      </c>
      <c r="MB57" s="1">
        <v>0</v>
      </c>
      <c r="MC57" s="1">
        <v>0</v>
      </c>
      <c r="MD57" s="1">
        <v>47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>
        <v>0</v>
      </c>
      <c r="MK57" s="28"/>
      <c r="ML57" t="s">
        <v>873</v>
      </c>
      <c r="MM57" t="s">
        <v>402</v>
      </c>
      <c r="MN57" t="s">
        <v>320</v>
      </c>
      <c r="MO57" t="s">
        <v>321</v>
      </c>
      <c r="MP57" t="s">
        <v>322</v>
      </c>
      <c r="MQ57" t="s">
        <v>323</v>
      </c>
      <c r="MR57">
        <v>1</v>
      </c>
      <c r="MS57" t="s">
        <v>403</v>
      </c>
      <c r="MT57" t="s">
        <v>404</v>
      </c>
      <c r="MU57" t="s">
        <v>405</v>
      </c>
      <c r="MV57">
        <v>334</v>
      </c>
      <c r="MW57" s="13">
        <v>411</v>
      </c>
      <c r="MX57" s="13" t="s">
        <v>406</v>
      </c>
      <c r="MY57" t="s">
        <v>240</v>
      </c>
      <c r="MZ57" t="s">
        <v>241</v>
      </c>
      <c r="NA57" t="s">
        <v>242</v>
      </c>
      <c r="NB57" t="s">
        <v>297</v>
      </c>
      <c r="ND57" s="18">
        <v>43274</v>
      </c>
      <c r="NE57" s="19">
        <v>1.5277777777777777E-2</v>
      </c>
      <c r="NF57" t="s">
        <v>407</v>
      </c>
      <c r="NG57" t="s">
        <v>245</v>
      </c>
      <c r="NH57" t="s">
        <v>246</v>
      </c>
      <c r="NI57">
        <v>106</v>
      </c>
      <c r="NJ57" t="s">
        <v>244</v>
      </c>
      <c r="NK57">
        <v>7</v>
      </c>
      <c r="NL57" t="s">
        <v>247</v>
      </c>
      <c r="NM57">
        <v>29.630009999999999</v>
      </c>
      <c r="NN57">
        <v>-84.925749999999994</v>
      </c>
      <c r="NO57" t="s">
        <v>248</v>
      </c>
      <c r="NP57" t="s">
        <v>249</v>
      </c>
      <c r="NQ57">
        <v>0.125</v>
      </c>
      <c r="NR57" t="s">
        <v>247</v>
      </c>
      <c r="NS57">
        <v>982000410609892</v>
      </c>
      <c r="NT57" t="s">
        <v>244</v>
      </c>
      <c r="NU57" t="s">
        <v>244</v>
      </c>
      <c r="NV57" t="s">
        <v>248</v>
      </c>
      <c r="NW57" t="s">
        <v>404</v>
      </c>
      <c r="NX57" t="s">
        <v>405</v>
      </c>
      <c r="NY57">
        <v>95</v>
      </c>
      <c r="NZ57">
        <v>95.1</v>
      </c>
      <c r="OA57">
        <v>89.6</v>
      </c>
      <c r="OB57" s="14">
        <v>6685.3091668390798</v>
      </c>
      <c r="OC57" t="s">
        <v>248</v>
      </c>
      <c r="OD57" t="s">
        <v>247</v>
      </c>
      <c r="OE57" t="s">
        <v>248</v>
      </c>
      <c r="OF57" t="s">
        <v>408</v>
      </c>
      <c r="OG57" t="s">
        <v>247</v>
      </c>
      <c r="OH57">
        <v>48</v>
      </c>
      <c r="OI57" t="s">
        <v>404</v>
      </c>
      <c r="OJ57" t="s">
        <v>409</v>
      </c>
      <c r="OK57">
        <v>87</v>
      </c>
      <c r="OL57">
        <v>0.9885057471264368</v>
      </c>
      <c r="OM57">
        <v>1</v>
      </c>
      <c r="ON57">
        <v>-14.75</v>
      </c>
      <c r="OO57">
        <v>10.86</v>
      </c>
      <c r="OP57" s="25">
        <v>2.8931042042604869</v>
      </c>
      <c r="OQ57" s="25">
        <v>3.3748867528467459</v>
      </c>
      <c r="OR57" t="s">
        <v>909</v>
      </c>
      <c r="OS57" t="s">
        <v>909</v>
      </c>
    </row>
    <row r="58" spans="1:409" x14ac:dyDescent="0.25">
      <c r="A58">
        <v>57</v>
      </c>
      <c r="B58" s="1">
        <v>16</v>
      </c>
      <c r="C58" s="1">
        <v>22</v>
      </c>
      <c r="D58" s="1">
        <v>8</v>
      </c>
      <c r="E58" s="1">
        <v>0</v>
      </c>
      <c r="F58" s="1">
        <v>27</v>
      </c>
      <c r="G58" s="1">
        <v>12</v>
      </c>
      <c r="H58" s="1">
        <v>3</v>
      </c>
      <c r="I58" s="1">
        <v>0</v>
      </c>
      <c r="J58" s="1">
        <v>66</v>
      </c>
      <c r="K58" s="1">
        <v>1</v>
      </c>
      <c r="L58" s="1">
        <v>795</v>
      </c>
      <c r="M58" s="1">
        <v>0</v>
      </c>
      <c r="N58" s="1">
        <v>0</v>
      </c>
      <c r="O58" s="1">
        <v>0</v>
      </c>
      <c r="P58" s="1">
        <v>0</v>
      </c>
      <c r="Q58" s="1">
        <v>30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2">
        <v>980</v>
      </c>
      <c r="Y58" s="3"/>
      <c r="Z58" s="15">
        <f t="shared" si="172"/>
        <v>0.23933074149157196</v>
      </c>
      <c r="AA58" s="15">
        <f t="shared" si="173"/>
        <v>0.32907976955091145</v>
      </c>
      <c r="AB58" s="15">
        <f t="shared" si="174"/>
        <v>0.11966537074578598</v>
      </c>
      <c r="AC58" s="15">
        <f t="shared" si="175"/>
        <v>0</v>
      </c>
      <c r="AD58" s="15">
        <f t="shared" si="176"/>
        <v>0.40387062626702769</v>
      </c>
      <c r="AE58" s="15">
        <f t="shared" si="177"/>
        <v>0.17949805611867897</v>
      </c>
      <c r="AF58" s="15">
        <f t="shared" si="178"/>
        <v>4.4874514029669743E-2</v>
      </c>
      <c r="AG58" s="15">
        <f t="shared" si="179"/>
        <v>0</v>
      </c>
      <c r="AH58" s="15">
        <f t="shared" si="180"/>
        <v>0.98723930865273424</v>
      </c>
      <c r="AI58" s="15">
        <f t="shared" si="181"/>
        <v>1.4958171343223248E-2</v>
      </c>
      <c r="AJ58" s="15">
        <f t="shared" si="182"/>
        <v>11.89174621786248</v>
      </c>
      <c r="AK58" s="15">
        <f t="shared" si="183"/>
        <v>0</v>
      </c>
      <c r="AL58" s="15">
        <f t="shared" si="184"/>
        <v>0</v>
      </c>
      <c r="AM58" s="15">
        <f t="shared" si="185"/>
        <v>0</v>
      </c>
      <c r="AN58" s="15">
        <f t="shared" si="186"/>
        <v>0</v>
      </c>
      <c r="AO58" s="15">
        <f t="shared" si="187"/>
        <v>0.44874514029669738</v>
      </c>
      <c r="AP58" s="15">
        <f t="shared" si="188"/>
        <v>0</v>
      </c>
      <c r="AQ58" s="15">
        <f t="shared" si="189"/>
        <v>0</v>
      </c>
      <c r="AR58" s="15">
        <f t="shared" si="190"/>
        <v>0</v>
      </c>
      <c r="AS58" s="15">
        <f t="shared" si="191"/>
        <v>0</v>
      </c>
      <c r="AT58" s="15">
        <f t="shared" si="192"/>
        <v>0</v>
      </c>
      <c r="AU58" s="15">
        <f t="shared" si="193"/>
        <v>0</v>
      </c>
      <c r="AV58" s="5">
        <f t="shared" si="194"/>
        <v>14.659007916358782</v>
      </c>
      <c r="AW58" s="16"/>
      <c r="AX58" s="6">
        <v>160</v>
      </c>
      <c r="AY58" s="6">
        <v>220</v>
      </c>
      <c r="AZ58" s="6">
        <v>80</v>
      </c>
      <c r="BA58" s="6">
        <v>0</v>
      </c>
      <c r="BB58" s="6">
        <v>270</v>
      </c>
      <c r="BC58" s="6">
        <v>120</v>
      </c>
      <c r="BD58" s="6">
        <v>30</v>
      </c>
      <c r="BE58" s="6">
        <v>0</v>
      </c>
      <c r="BF58" s="6">
        <v>660</v>
      </c>
      <c r="BG58" s="6">
        <v>10</v>
      </c>
      <c r="BH58" s="6">
        <v>7950</v>
      </c>
      <c r="BI58" s="6">
        <v>0</v>
      </c>
      <c r="BJ58" s="6">
        <v>0</v>
      </c>
      <c r="BK58" s="6">
        <v>0</v>
      </c>
      <c r="BL58" s="6">
        <v>0</v>
      </c>
      <c r="BM58" s="6">
        <v>300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7">
        <v>9800</v>
      </c>
      <c r="BU58" s="16"/>
      <c r="BV58" s="8">
        <v>0</v>
      </c>
      <c r="BW58" s="8">
        <v>1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7</v>
      </c>
      <c r="CO58" s="8">
        <v>0</v>
      </c>
      <c r="CP58" s="8">
        <v>0</v>
      </c>
      <c r="CQ58" s="8">
        <v>0</v>
      </c>
      <c r="CR58" s="8">
        <v>3</v>
      </c>
      <c r="CS58" s="8">
        <v>0</v>
      </c>
      <c r="CT58" s="8">
        <v>0</v>
      </c>
      <c r="CU58" s="8">
        <v>1</v>
      </c>
      <c r="CV58" s="8">
        <v>0</v>
      </c>
      <c r="CW58" s="8">
        <v>0</v>
      </c>
      <c r="CX58" s="8">
        <v>0</v>
      </c>
      <c r="CY58" s="8">
        <v>1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1</v>
      </c>
      <c r="DW58" s="8">
        <v>1</v>
      </c>
      <c r="DX58" s="8">
        <v>0</v>
      </c>
      <c r="DY58" s="8">
        <v>0</v>
      </c>
      <c r="DZ58" s="8">
        <v>0</v>
      </c>
      <c r="EA58" s="8">
        <v>0</v>
      </c>
      <c r="EB58" s="8">
        <v>1</v>
      </c>
      <c r="EC58" s="8">
        <v>0</v>
      </c>
      <c r="ED58" s="8">
        <v>0</v>
      </c>
      <c r="EE58" s="8">
        <v>0</v>
      </c>
      <c r="EF58" s="8">
        <v>1</v>
      </c>
      <c r="EG58" s="8">
        <v>0</v>
      </c>
      <c r="EH58" s="8">
        <v>0</v>
      </c>
      <c r="EI58" s="8">
        <v>0</v>
      </c>
      <c r="EJ58" s="8">
        <v>0</v>
      </c>
      <c r="EK58" s="8">
        <v>6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0</v>
      </c>
      <c r="FG58" s="8">
        <v>3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2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6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1</v>
      </c>
      <c r="GB58" s="8">
        <v>0</v>
      </c>
      <c r="GC58" s="8">
        <v>0</v>
      </c>
      <c r="GD58" s="8">
        <v>0</v>
      </c>
      <c r="GE58" s="8">
        <v>0</v>
      </c>
      <c r="GF58" s="9">
        <v>35</v>
      </c>
      <c r="GG58" s="3"/>
      <c r="GH58" s="10">
        <f t="shared" si="195"/>
        <v>0</v>
      </c>
      <c r="GI58" s="10">
        <f t="shared" si="196"/>
        <v>4.5714285714285712</v>
      </c>
      <c r="GJ58" s="10">
        <f t="shared" si="197"/>
        <v>0</v>
      </c>
      <c r="GK58" s="10">
        <f t="shared" si="198"/>
        <v>0</v>
      </c>
      <c r="GL58" s="10">
        <f t="shared" si="199"/>
        <v>0</v>
      </c>
      <c r="GM58" s="10">
        <f t="shared" si="200"/>
        <v>0</v>
      </c>
      <c r="GN58" s="10">
        <f t="shared" si="201"/>
        <v>0</v>
      </c>
      <c r="GO58" s="10">
        <f t="shared" si="202"/>
        <v>0</v>
      </c>
      <c r="GP58" s="10">
        <f t="shared" si="203"/>
        <v>0</v>
      </c>
      <c r="GQ58" s="10">
        <f t="shared" si="204"/>
        <v>0</v>
      </c>
      <c r="GR58" s="10">
        <f t="shared" si="205"/>
        <v>0</v>
      </c>
      <c r="GS58" s="10">
        <f t="shared" si="206"/>
        <v>0</v>
      </c>
      <c r="GT58" s="10">
        <f t="shared" si="207"/>
        <v>0</v>
      </c>
      <c r="GU58" s="10">
        <f t="shared" si="208"/>
        <v>0</v>
      </c>
      <c r="GV58" s="10">
        <f t="shared" si="209"/>
        <v>0</v>
      </c>
      <c r="GW58" s="10">
        <f t="shared" si="210"/>
        <v>0</v>
      </c>
      <c r="GX58" s="10">
        <f t="shared" si="211"/>
        <v>0</v>
      </c>
      <c r="GY58" s="10">
        <f t="shared" si="212"/>
        <v>0</v>
      </c>
      <c r="GZ58" s="10">
        <f t="shared" si="213"/>
        <v>32</v>
      </c>
      <c r="HA58" s="10">
        <f t="shared" si="214"/>
        <v>0</v>
      </c>
      <c r="HB58" s="10">
        <f t="shared" si="215"/>
        <v>0</v>
      </c>
      <c r="HC58" s="10">
        <f t="shared" si="216"/>
        <v>0</v>
      </c>
      <c r="HD58" s="10">
        <f t="shared" si="217"/>
        <v>13.714285714285715</v>
      </c>
      <c r="HE58" s="10">
        <f t="shared" si="218"/>
        <v>0</v>
      </c>
      <c r="HF58" s="10">
        <f t="shared" si="219"/>
        <v>0</v>
      </c>
      <c r="HG58" s="10">
        <f t="shared" si="220"/>
        <v>4.5714285714285712</v>
      </c>
      <c r="HH58" s="10">
        <f t="shared" si="221"/>
        <v>0</v>
      </c>
      <c r="HI58" s="10">
        <f t="shared" si="222"/>
        <v>0</v>
      </c>
      <c r="HJ58" s="10">
        <f t="shared" si="223"/>
        <v>0</v>
      </c>
      <c r="HK58" s="10">
        <f t="shared" si="224"/>
        <v>4.5714285714285712</v>
      </c>
      <c r="HL58" s="10">
        <f t="shared" si="225"/>
        <v>0</v>
      </c>
      <c r="HM58" s="10">
        <f t="shared" si="226"/>
        <v>0</v>
      </c>
      <c r="HN58" s="10">
        <f t="shared" si="227"/>
        <v>0</v>
      </c>
      <c r="HO58" s="10">
        <f t="shared" si="228"/>
        <v>0</v>
      </c>
      <c r="HP58" s="10">
        <f t="shared" si="229"/>
        <v>0</v>
      </c>
      <c r="HQ58" s="10">
        <f t="shared" si="230"/>
        <v>0</v>
      </c>
      <c r="HR58" s="10">
        <f t="shared" si="231"/>
        <v>0</v>
      </c>
      <c r="HS58" s="10">
        <f t="shared" si="232"/>
        <v>0</v>
      </c>
      <c r="HT58" s="10">
        <f t="shared" si="233"/>
        <v>0</v>
      </c>
      <c r="HU58" s="10">
        <f t="shared" si="234"/>
        <v>0</v>
      </c>
      <c r="HV58" s="10">
        <f t="shared" si="235"/>
        <v>0</v>
      </c>
      <c r="HW58" s="10">
        <f t="shared" si="236"/>
        <v>0</v>
      </c>
      <c r="HX58" s="10">
        <f t="shared" si="237"/>
        <v>0</v>
      </c>
      <c r="HY58" s="10">
        <f t="shared" si="238"/>
        <v>0</v>
      </c>
      <c r="HZ58" s="10">
        <f t="shared" si="239"/>
        <v>0</v>
      </c>
      <c r="IA58" s="10">
        <f t="shared" si="240"/>
        <v>0</v>
      </c>
      <c r="IB58" s="10">
        <f t="shared" si="241"/>
        <v>0</v>
      </c>
      <c r="IC58" s="10">
        <f t="shared" si="242"/>
        <v>0</v>
      </c>
      <c r="ID58" s="10">
        <f t="shared" si="243"/>
        <v>0</v>
      </c>
      <c r="IE58" s="10">
        <f t="shared" si="244"/>
        <v>0</v>
      </c>
      <c r="IF58" s="10">
        <f t="shared" si="245"/>
        <v>0</v>
      </c>
      <c r="IG58" s="10">
        <f t="shared" si="246"/>
        <v>0</v>
      </c>
      <c r="IH58" s="10">
        <f t="shared" si="247"/>
        <v>4.5714285714285712</v>
      </c>
      <c r="II58" s="10">
        <f t="shared" si="248"/>
        <v>4.5714285714285712</v>
      </c>
      <c r="IJ58" s="10">
        <f t="shared" si="249"/>
        <v>0</v>
      </c>
      <c r="IK58" s="10">
        <f t="shared" si="250"/>
        <v>0</v>
      </c>
      <c r="IL58" s="10">
        <f t="shared" si="251"/>
        <v>0</v>
      </c>
      <c r="IM58" s="10">
        <f t="shared" si="252"/>
        <v>0</v>
      </c>
      <c r="IN58" s="10">
        <f t="shared" si="253"/>
        <v>4.5714285714285712</v>
      </c>
      <c r="IO58" s="10">
        <f t="shared" si="254"/>
        <v>0</v>
      </c>
      <c r="IP58" s="10">
        <f t="shared" si="255"/>
        <v>0</v>
      </c>
      <c r="IQ58" s="10">
        <f t="shared" si="256"/>
        <v>0</v>
      </c>
      <c r="IR58" s="10">
        <f t="shared" si="257"/>
        <v>4.5714285714285712</v>
      </c>
      <c r="IS58" s="10">
        <f t="shared" si="258"/>
        <v>0</v>
      </c>
      <c r="IT58" s="10">
        <f t="shared" si="259"/>
        <v>0</v>
      </c>
      <c r="IU58" s="10">
        <f t="shared" si="260"/>
        <v>0</v>
      </c>
      <c r="IV58" s="10">
        <f t="shared" si="261"/>
        <v>0</v>
      </c>
      <c r="IW58" s="10">
        <f t="shared" si="262"/>
        <v>27.428571428571431</v>
      </c>
      <c r="IX58" s="10">
        <f t="shared" si="263"/>
        <v>0</v>
      </c>
      <c r="IY58" s="10">
        <f t="shared" si="264"/>
        <v>0</v>
      </c>
      <c r="IZ58" s="10">
        <f t="shared" si="265"/>
        <v>0</v>
      </c>
      <c r="JA58" s="10">
        <f t="shared" si="266"/>
        <v>0</v>
      </c>
      <c r="JB58" s="10">
        <f t="shared" si="267"/>
        <v>0</v>
      </c>
      <c r="JC58" s="10">
        <f t="shared" si="268"/>
        <v>0</v>
      </c>
      <c r="JD58" s="10">
        <f t="shared" si="269"/>
        <v>0</v>
      </c>
      <c r="JE58" s="10">
        <f t="shared" si="270"/>
        <v>0</v>
      </c>
      <c r="JF58" s="10">
        <f t="shared" si="271"/>
        <v>0</v>
      </c>
      <c r="JG58" s="10">
        <v>0</v>
      </c>
      <c r="JH58" s="10">
        <f t="shared" si="272"/>
        <v>0</v>
      </c>
      <c r="JI58" s="10">
        <f t="shared" si="273"/>
        <v>0</v>
      </c>
      <c r="JJ58" s="10">
        <f t="shared" si="274"/>
        <v>0</v>
      </c>
      <c r="JK58" s="10">
        <f t="shared" si="275"/>
        <v>0</v>
      </c>
      <c r="JL58" s="10">
        <f t="shared" si="276"/>
        <v>0</v>
      </c>
      <c r="JM58" s="10">
        <f t="shared" si="277"/>
        <v>0</v>
      </c>
      <c r="JN58" s="10">
        <f t="shared" si="278"/>
        <v>0</v>
      </c>
      <c r="JO58" s="10">
        <f t="shared" si="279"/>
        <v>0</v>
      </c>
      <c r="JP58" s="10">
        <f t="shared" si="280"/>
        <v>0</v>
      </c>
      <c r="JQ58" s="10">
        <f t="shared" si="281"/>
        <v>0</v>
      </c>
      <c r="JR58" s="10">
        <f t="shared" si="282"/>
        <v>13.714285714285715</v>
      </c>
      <c r="JS58" s="10">
        <f t="shared" si="283"/>
        <v>0</v>
      </c>
      <c r="JT58" s="10">
        <f t="shared" si="284"/>
        <v>0</v>
      </c>
      <c r="JU58" s="10">
        <f t="shared" si="285"/>
        <v>0</v>
      </c>
      <c r="JV58" s="10">
        <f t="shared" si="286"/>
        <v>0</v>
      </c>
      <c r="JW58" s="10">
        <f t="shared" si="287"/>
        <v>0</v>
      </c>
      <c r="JX58" s="10">
        <f t="shared" si="288"/>
        <v>9.1428571428571423</v>
      </c>
      <c r="JY58" s="10">
        <f t="shared" si="289"/>
        <v>0</v>
      </c>
      <c r="JZ58" s="10">
        <f t="shared" si="290"/>
        <v>0</v>
      </c>
      <c r="KA58" s="10">
        <f t="shared" si="291"/>
        <v>0</v>
      </c>
      <c r="KB58" s="10">
        <f t="shared" si="292"/>
        <v>0</v>
      </c>
      <c r="KC58" s="10">
        <f t="shared" si="293"/>
        <v>0</v>
      </c>
      <c r="KD58" s="10">
        <f t="shared" si="294"/>
        <v>0</v>
      </c>
      <c r="KE58" s="10">
        <f t="shared" si="295"/>
        <v>0</v>
      </c>
      <c r="KF58" s="10">
        <f t="shared" si="296"/>
        <v>27.428571428571431</v>
      </c>
      <c r="KG58" s="10">
        <f t="shared" si="297"/>
        <v>0</v>
      </c>
      <c r="KH58" s="10">
        <f t="shared" si="298"/>
        <v>0</v>
      </c>
      <c r="KI58" s="10">
        <f t="shared" si="299"/>
        <v>0</v>
      </c>
      <c r="KJ58" s="10">
        <f t="shared" si="300"/>
        <v>0</v>
      </c>
      <c r="KK58" s="10">
        <f t="shared" si="301"/>
        <v>0</v>
      </c>
      <c r="KL58" s="10">
        <f t="shared" si="302"/>
        <v>4.5714285714285712</v>
      </c>
      <c r="KM58" s="10">
        <f t="shared" si="303"/>
        <v>0</v>
      </c>
      <c r="KN58" s="10">
        <f t="shared" si="304"/>
        <v>0</v>
      </c>
      <c r="KO58" s="10">
        <f t="shared" si="305"/>
        <v>0</v>
      </c>
      <c r="KP58" s="10">
        <f t="shared" si="306"/>
        <v>0</v>
      </c>
      <c r="KQ58" s="11">
        <v>160.00000000000003</v>
      </c>
      <c r="KR58" s="16"/>
      <c r="KS58" s="12">
        <v>6685.3091668390798</v>
      </c>
      <c r="KT58" s="26">
        <v>87</v>
      </c>
      <c r="KU58" s="26">
        <v>0.9885057471264368</v>
      </c>
      <c r="KV58" s="26">
        <v>1</v>
      </c>
      <c r="KW58" s="26">
        <v>-14.75</v>
      </c>
      <c r="KX58" s="26">
        <v>10.86</v>
      </c>
      <c r="KY58" s="27">
        <v>2.8931042042604869</v>
      </c>
      <c r="KZ58" s="27">
        <v>3.3748867528467459</v>
      </c>
      <c r="LA58" s="17"/>
      <c r="LB58" s="2">
        <v>744</v>
      </c>
      <c r="LC58" s="1">
        <v>0</v>
      </c>
      <c r="LD58" s="1">
        <v>0</v>
      </c>
      <c r="LE58" s="1">
        <v>0</v>
      </c>
      <c r="LF58" s="1">
        <v>1</v>
      </c>
      <c r="LG58" s="1">
        <v>101</v>
      </c>
      <c r="LH58" s="1">
        <v>0</v>
      </c>
      <c r="LI58" s="1">
        <v>0</v>
      </c>
      <c r="LJ58" s="1">
        <v>2</v>
      </c>
      <c r="LK58" s="1">
        <v>0</v>
      </c>
      <c r="LL58" s="1">
        <v>43</v>
      </c>
      <c r="LM58" s="1">
        <v>24</v>
      </c>
      <c r="LN58" s="1">
        <v>71</v>
      </c>
      <c r="LO58" s="1">
        <v>0</v>
      </c>
      <c r="LP58" s="1">
        <v>10</v>
      </c>
      <c r="LQ58" s="1">
        <v>0</v>
      </c>
      <c r="LR58" s="1">
        <v>0</v>
      </c>
      <c r="LS58" s="1">
        <v>2</v>
      </c>
      <c r="LT58" s="1">
        <v>40</v>
      </c>
      <c r="LU58" s="1">
        <v>1</v>
      </c>
      <c r="LV58" s="1">
        <v>0</v>
      </c>
      <c r="LW58" s="1">
        <v>0</v>
      </c>
      <c r="LX58" s="1">
        <v>0</v>
      </c>
      <c r="LY58" s="1">
        <v>161</v>
      </c>
      <c r="LZ58" s="1">
        <v>5</v>
      </c>
      <c r="MA58" s="1">
        <v>33</v>
      </c>
      <c r="MB58" s="1">
        <v>0</v>
      </c>
      <c r="MC58" s="1">
        <v>0</v>
      </c>
      <c r="MD58" s="1">
        <v>250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>
        <v>0</v>
      </c>
      <c r="MK58" s="28"/>
      <c r="ML58" t="s">
        <v>874</v>
      </c>
      <c r="MM58" t="s">
        <v>402</v>
      </c>
      <c r="MN58" t="s">
        <v>320</v>
      </c>
      <c r="MO58" t="s">
        <v>334</v>
      </c>
      <c r="MP58" t="s">
        <v>335</v>
      </c>
      <c r="MQ58" t="s">
        <v>336</v>
      </c>
      <c r="MR58">
        <v>0.1</v>
      </c>
      <c r="MS58" t="s">
        <v>403</v>
      </c>
      <c r="MT58" t="s">
        <v>404</v>
      </c>
      <c r="MU58" t="s">
        <v>405</v>
      </c>
      <c r="MV58">
        <v>9800</v>
      </c>
      <c r="MW58" s="13">
        <v>411</v>
      </c>
      <c r="MX58" s="13" t="s">
        <v>406</v>
      </c>
      <c r="MY58" t="s">
        <v>240</v>
      </c>
      <c r="MZ58" t="s">
        <v>241</v>
      </c>
      <c r="NA58" t="s">
        <v>242</v>
      </c>
      <c r="NB58" t="s">
        <v>297</v>
      </c>
      <c r="ND58" s="18">
        <v>43274</v>
      </c>
      <c r="NE58" s="19">
        <v>1.5277777777777777E-2</v>
      </c>
      <c r="NF58" t="s">
        <v>407</v>
      </c>
      <c r="NG58" t="s">
        <v>245</v>
      </c>
      <c r="NH58" t="s">
        <v>246</v>
      </c>
      <c r="NI58">
        <v>106</v>
      </c>
      <c r="NJ58" t="s">
        <v>244</v>
      </c>
      <c r="NK58">
        <v>7</v>
      </c>
      <c r="NL58" t="s">
        <v>247</v>
      </c>
      <c r="NM58">
        <v>29.630009999999999</v>
      </c>
      <c r="NN58">
        <v>-84.925749999999994</v>
      </c>
      <c r="NO58" t="s">
        <v>248</v>
      </c>
      <c r="NP58" t="s">
        <v>249</v>
      </c>
      <c r="NQ58">
        <v>0.125</v>
      </c>
      <c r="NR58" t="s">
        <v>247</v>
      </c>
      <c r="NS58">
        <v>982000410609892</v>
      </c>
      <c r="NT58" t="s">
        <v>244</v>
      </c>
      <c r="NU58" t="s">
        <v>244</v>
      </c>
      <c r="NV58" t="s">
        <v>248</v>
      </c>
      <c r="NW58" t="s">
        <v>404</v>
      </c>
      <c r="NX58" t="s">
        <v>405</v>
      </c>
      <c r="NY58">
        <v>95</v>
      </c>
      <c r="NZ58">
        <v>95.1</v>
      </c>
      <c r="OA58">
        <v>89.6</v>
      </c>
      <c r="OB58" s="14">
        <v>6685.3091668390798</v>
      </c>
      <c r="OC58" t="s">
        <v>248</v>
      </c>
      <c r="OD58" t="s">
        <v>247</v>
      </c>
      <c r="OE58" t="s">
        <v>248</v>
      </c>
      <c r="OF58" t="s">
        <v>408</v>
      </c>
      <c r="OG58" t="s">
        <v>247</v>
      </c>
      <c r="OH58">
        <v>47</v>
      </c>
      <c r="OI58" t="s">
        <v>404</v>
      </c>
      <c r="OJ58" t="s">
        <v>409</v>
      </c>
      <c r="OK58">
        <v>87</v>
      </c>
      <c r="OL58">
        <v>0.9885057471264368</v>
      </c>
      <c r="OM58">
        <v>1</v>
      </c>
      <c r="ON58">
        <v>-14.75</v>
      </c>
      <c r="OO58">
        <v>10.86</v>
      </c>
      <c r="OP58" s="25">
        <v>2.8931042042604869</v>
      </c>
      <c r="OQ58" s="25">
        <v>3.3748867528467459</v>
      </c>
      <c r="OR58" t="s">
        <v>911</v>
      </c>
      <c r="OS58" t="s">
        <v>910</v>
      </c>
    </row>
    <row r="59" spans="1:409" x14ac:dyDescent="0.25">
      <c r="A59">
        <v>58</v>
      </c>
      <c r="B59" s="1">
        <v>75</v>
      </c>
      <c r="C59" s="1">
        <v>23</v>
      </c>
      <c r="D59" s="1">
        <v>0</v>
      </c>
      <c r="E59" s="1">
        <v>0</v>
      </c>
      <c r="F59" s="1">
        <v>57</v>
      </c>
      <c r="G59" s="1">
        <v>77</v>
      </c>
      <c r="H59" s="1">
        <v>0</v>
      </c>
      <c r="I59" s="1">
        <v>0</v>
      </c>
      <c r="J59" s="1">
        <v>120</v>
      </c>
      <c r="K59" s="1">
        <v>0</v>
      </c>
      <c r="L59" s="1">
        <v>0</v>
      </c>
      <c r="M59" s="1">
        <v>0</v>
      </c>
      <c r="N59" s="1">
        <v>3</v>
      </c>
      <c r="O59" s="1">
        <v>0</v>
      </c>
      <c r="P59" s="1">
        <v>0</v>
      </c>
      <c r="Q59" s="1">
        <v>27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2">
        <v>382</v>
      </c>
      <c r="Y59" s="3"/>
      <c r="Z59" s="15">
        <f t="shared" si="172"/>
        <v>0.11218628507417434</v>
      </c>
      <c r="AA59" s="15">
        <f t="shared" si="173"/>
        <v>3.4403794089413471E-2</v>
      </c>
      <c r="AB59" s="15">
        <f t="shared" si="174"/>
        <v>0</v>
      </c>
      <c r="AC59" s="15">
        <f t="shared" si="175"/>
        <v>0</v>
      </c>
      <c r="AD59" s="15">
        <f t="shared" si="176"/>
        <v>8.526157665637249E-2</v>
      </c>
      <c r="AE59" s="15">
        <f t="shared" si="177"/>
        <v>0.115177919342819</v>
      </c>
      <c r="AF59" s="15">
        <f t="shared" si="178"/>
        <v>0</v>
      </c>
      <c r="AG59" s="15">
        <f t="shared" si="179"/>
        <v>0</v>
      </c>
      <c r="AH59" s="15">
        <f t="shared" si="180"/>
        <v>0.17949805611867897</v>
      </c>
      <c r="AI59" s="15">
        <f t="shared" si="181"/>
        <v>0</v>
      </c>
      <c r="AJ59" s="15">
        <f t="shared" si="182"/>
        <v>0</v>
      </c>
      <c r="AK59" s="15">
        <f t="shared" si="183"/>
        <v>0</v>
      </c>
      <c r="AL59" s="15">
        <f t="shared" si="184"/>
        <v>4.487451402966974E-3</v>
      </c>
      <c r="AM59" s="15">
        <f t="shared" si="185"/>
        <v>0</v>
      </c>
      <c r="AN59" s="15">
        <f t="shared" si="186"/>
        <v>0</v>
      </c>
      <c r="AO59" s="15">
        <f t="shared" si="187"/>
        <v>4.0387062626702767E-2</v>
      </c>
      <c r="AP59" s="15">
        <f t="shared" si="188"/>
        <v>0</v>
      </c>
      <c r="AQ59" s="15">
        <f t="shared" si="189"/>
        <v>0</v>
      </c>
      <c r="AR59" s="15">
        <f t="shared" si="190"/>
        <v>0</v>
      </c>
      <c r="AS59" s="15">
        <f t="shared" si="191"/>
        <v>0</v>
      </c>
      <c r="AT59" s="15">
        <f t="shared" si="192"/>
        <v>0</v>
      </c>
      <c r="AU59" s="15">
        <f t="shared" si="193"/>
        <v>0</v>
      </c>
      <c r="AV59" s="5">
        <f t="shared" si="194"/>
        <v>0.57140214531112798</v>
      </c>
      <c r="AW59" s="16"/>
      <c r="AX59" s="6">
        <v>75</v>
      </c>
      <c r="AY59" s="6">
        <v>23</v>
      </c>
      <c r="AZ59" s="6">
        <v>0</v>
      </c>
      <c r="BA59" s="6">
        <v>0</v>
      </c>
      <c r="BB59" s="6">
        <v>57</v>
      </c>
      <c r="BC59" s="6">
        <v>77</v>
      </c>
      <c r="BD59" s="6">
        <v>0</v>
      </c>
      <c r="BE59" s="6">
        <v>0</v>
      </c>
      <c r="BF59" s="6">
        <v>120</v>
      </c>
      <c r="BG59" s="6">
        <v>0</v>
      </c>
      <c r="BH59" s="6">
        <v>0</v>
      </c>
      <c r="BI59" s="6">
        <v>0</v>
      </c>
      <c r="BJ59" s="6">
        <v>3</v>
      </c>
      <c r="BK59" s="6">
        <v>0</v>
      </c>
      <c r="BL59" s="6">
        <v>0</v>
      </c>
      <c r="BM59" s="6">
        <v>27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7">
        <v>382</v>
      </c>
      <c r="BU59" s="16"/>
      <c r="BV59" s="8">
        <v>0</v>
      </c>
      <c r="BW59" s="8">
        <v>3</v>
      </c>
      <c r="BX59" s="8">
        <v>0</v>
      </c>
      <c r="BY59" s="8">
        <v>1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1</v>
      </c>
      <c r="CI59" s="8">
        <v>0</v>
      </c>
      <c r="CJ59" s="8">
        <v>2</v>
      </c>
      <c r="CK59" s="8">
        <v>0</v>
      </c>
      <c r="CL59" s="8">
        <v>0</v>
      </c>
      <c r="CM59" s="8">
        <v>0</v>
      </c>
      <c r="CN59" s="8">
        <v>20</v>
      </c>
      <c r="CO59" s="8">
        <v>0</v>
      </c>
      <c r="CP59" s="8">
        <v>0</v>
      </c>
      <c r="CQ59" s="8">
        <v>0</v>
      </c>
      <c r="CR59" s="8">
        <v>1</v>
      </c>
      <c r="CS59" s="8">
        <v>0</v>
      </c>
      <c r="CT59" s="8">
        <v>0</v>
      </c>
      <c r="CU59" s="8">
        <v>4</v>
      </c>
      <c r="CV59" s="8">
        <v>0</v>
      </c>
      <c r="CW59" s="8">
        <v>0</v>
      </c>
      <c r="CX59" s="8">
        <v>0</v>
      </c>
      <c r="CY59" s="8">
        <v>2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1</v>
      </c>
      <c r="DJ59" s="8">
        <v>7</v>
      </c>
      <c r="DK59" s="8">
        <v>0</v>
      </c>
      <c r="DL59" s="8">
        <v>0</v>
      </c>
      <c r="DM59" s="8">
        <v>0</v>
      </c>
      <c r="DN59" s="8">
        <v>1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17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1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1</v>
      </c>
      <c r="FH59" s="8">
        <v>0</v>
      </c>
      <c r="FI59" s="8">
        <v>0</v>
      </c>
      <c r="FJ59" s="8">
        <v>0</v>
      </c>
      <c r="FK59" s="8">
        <v>0</v>
      </c>
      <c r="FL59" s="8">
        <v>3</v>
      </c>
      <c r="FM59" s="8">
        <v>0</v>
      </c>
      <c r="FN59" s="8">
        <v>0</v>
      </c>
      <c r="FO59" s="8">
        <v>1</v>
      </c>
      <c r="FP59" s="8">
        <v>0</v>
      </c>
      <c r="FQ59" s="8">
        <v>0</v>
      </c>
      <c r="FR59" s="8">
        <v>0</v>
      </c>
      <c r="FS59" s="8">
        <v>1</v>
      </c>
      <c r="FT59" s="8">
        <v>0</v>
      </c>
      <c r="FU59" s="8">
        <v>0</v>
      </c>
      <c r="FV59" s="8">
        <v>0</v>
      </c>
      <c r="FW59" s="8">
        <v>0</v>
      </c>
      <c r="FX59" s="8">
        <v>2</v>
      </c>
      <c r="FY59" s="8">
        <v>0</v>
      </c>
      <c r="FZ59" s="8">
        <v>0</v>
      </c>
      <c r="GA59" s="8">
        <v>0</v>
      </c>
      <c r="GB59" s="8">
        <v>0</v>
      </c>
      <c r="GC59" s="8">
        <v>1</v>
      </c>
      <c r="GD59" s="8">
        <v>0</v>
      </c>
      <c r="GE59" s="8">
        <v>0</v>
      </c>
      <c r="GF59" s="9">
        <v>70</v>
      </c>
      <c r="GG59" s="3"/>
      <c r="GH59" s="10">
        <f t="shared" si="195"/>
        <v>0</v>
      </c>
      <c r="GI59" s="10">
        <f t="shared" si="196"/>
        <v>3.2142857142857144</v>
      </c>
      <c r="GJ59" s="10">
        <f t="shared" si="197"/>
        <v>0</v>
      </c>
      <c r="GK59" s="10">
        <f t="shared" si="198"/>
        <v>1.0714285714285714</v>
      </c>
      <c r="GL59" s="10">
        <f t="shared" si="199"/>
        <v>0</v>
      </c>
      <c r="GM59" s="10">
        <f t="shared" si="200"/>
        <v>0</v>
      </c>
      <c r="GN59" s="10">
        <f t="shared" si="201"/>
        <v>0</v>
      </c>
      <c r="GO59" s="10">
        <f t="shared" si="202"/>
        <v>0</v>
      </c>
      <c r="GP59" s="10">
        <f t="shared" si="203"/>
        <v>0</v>
      </c>
      <c r="GQ59" s="10">
        <f t="shared" si="204"/>
        <v>0</v>
      </c>
      <c r="GR59" s="10">
        <f t="shared" si="205"/>
        <v>0</v>
      </c>
      <c r="GS59" s="10">
        <f t="shared" si="206"/>
        <v>0</v>
      </c>
      <c r="GT59" s="10">
        <f t="shared" si="207"/>
        <v>1.0714285714285714</v>
      </c>
      <c r="GU59" s="10">
        <f t="shared" si="208"/>
        <v>0</v>
      </c>
      <c r="GV59" s="10">
        <f t="shared" si="209"/>
        <v>2.1428571428571428</v>
      </c>
      <c r="GW59" s="10">
        <f t="shared" si="210"/>
        <v>0</v>
      </c>
      <c r="GX59" s="10">
        <f t="shared" si="211"/>
        <v>0</v>
      </c>
      <c r="GY59" s="10">
        <f t="shared" si="212"/>
        <v>0</v>
      </c>
      <c r="GZ59" s="10">
        <f t="shared" si="213"/>
        <v>21.428571428571427</v>
      </c>
      <c r="HA59" s="10">
        <f t="shared" si="214"/>
        <v>0</v>
      </c>
      <c r="HB59" s="10">
        <f t="shared" si="215"/>
        <v>0</v>
      </c>
      <c r="HC59" s="10">
        <f t="shared" si="216"/>
        <v>0</v>
      </c>
      <c r="HD59" s="10">
        <f t="shared" si="217"/>
        <v>1.0714285714285714</v>
      </c>
      <c r="HE59" s="10">
        <f t="shared" si="218"/>
        <v>0</v>
      </c>
      <c r="HF59" s="10">
        <f t="shared" si="219"/>
        <v>0</v>
      </c>
      <c r="HG59" s="10">
        <f t="shared" si="220"/>
        <v>4.2857142857142856</v>
      </c>
      <c r="HH59" s="10">
        <f t="shared" si="221"/>
        <v>0</v>
      </c>
      <c r="HI59" s="10">
        <f t="shared" si="222"/>
        <v>0</v>
      </c>
      <c r="HJ59" s="10">
        <f t="shared" si="223"/>
        <v>0</v>
      </c>
      <c r="HK59" s="10">
        <f t="shared" si="224"/>
        <v>2.1428571428571428</v>
      </c>
      <c r="HL59" s="10">
        <f t="shared" si="225"/>
        <v>0</v>
      </c>
      <c r="HM59" s="10">
        <f t="shared" si="226"/>
        <v>0</v>
      </c>
      <c r="HN59" s="10">
        <f t="shared" si="227"/>
        <v>0</v>
      </c>
      <c r="HO59" s="10">
        <f t="shared" si="228"/>
        <v>0</v>
      </c>
      <c r="HP59" s="10">
        <f t="shared" si="229"/>
        <v>0</v>
      </c>
      <c r="HQ59" s="10">
        <f t="shared" si="230"/>
        <v>0</v>
      </c>
      <c r="HR59" s="10">
        <f t="shared" si="231"/>
        <v>0</v>
      </c>
      <c r="HS59" s="10">
        <f t="shared" si="232"/>
        <v>0</v>
      </c>
      <c r="HT59" s="10">
        <f t="shared" si="233"/>
        <v>0</v>
      </c>
      <c r="HU59" s="10">
        <f t="shared" si="234"/>
        <v>1.0714285714285714</v>
      </c>
      <c r="HV59" s="10">
        <f t="shared" si="235"/>
        <v>7.5</v>
      </c>
      <c r="HW59" s="10">
        <f t="shared" si="236"/>
        <v>0</v>
      </c>
      <c r="HX59" s="10">
        <f t="shared" si="237"/>
        <v>0</v>
      </c>
      <c r="HY59" s="10">
        <f t="shared" si="238"/>
        <v>0</v>
      </c>
      <c r="HZ59" s="10">
        <f t="shared" si="239"/>
        <v>1.0714285714285714</v>
      </c>
      <c r="IA59" s="10">
        <f t="shared" si="240"/>
        <v>0</v>
      </c>
      <c r="IB59" s="10">
        <f t="shared" si="241"/>
        <v>0</v>
      </c>
      <c r="IC59" s="10">
        <f t="shared" si="242"/>
        <v>0</v>
      </c>
      <c r="ID59" s="10">
        <f t="shared" si="243"/>
        <v>0</v>
      </c>
      <c r="IE59" s="10">
        <f t="shared" si="244"/>
        <v>0</v>
      </c>
      <c r="IF59" s="10">
        <f t="shared" si="245"/>
        <v>0</v>
      </c>
      <c r="IG59" s="10">
        <f t="shared" si="246"/>
        <v>0</v>
      </c>
      <c r="IH59" s="10">
        <f t="shared" si="247"/>
        <v>0</v>
      </c>
      <c r="II59" s="10">
        <f t="shared" si="248"/>
        <v>0</v>
      </c>
      <c r="IJ59" s="10">
        <f t="shared" si="249"/>
        <v>0</v>
      </c>
      <c r="IK59" s="10">
        <f t="shared" si="250"/>
        <v>0</v>
      </c>
      <c r="IL59" s="10">
        <f t="shared" si="251"/>
        <v>0</v>
      </c>
      <c r="IM59" s="10">
        <f t="shared" si="252"/>
        <v>0</v>
      </c>
      <c r="IN59" s="10">
        <f t="shared" si="253"/>
        <v>0</v>
      </c>
      <c r="IO59" s="10">
        <f t="shared" si="254"/>
        <v>0</v>
      </c>
      <c r="IP59" s="10">
        <f t="shared" si="255"/>
        <v>0</v>
      </c>
      <c r="IQ59" s="10">
        <f t="shared" si="256"/>
        <v>0</v>
      </c>
      <c r="IR59" s="10">
        <f t="shared" si="257"/>
        <v>0</v>
      </c>
      <c r="IS59" s="10">
        <f t="shared" si="258"/>
        <v>0</v>
      </c>
      <c r="IT59" s="10">
        <f t="shared" si="259"/>
        <v>0</v>
      </c>
      <c r="IU59" s="10">
        <f t="shared" si="260"/>
        <v>0</v>
      </c>
      <c r="IV59" s="10">
        <f t="shared" si="261"/>
        <v>0</v>
      </c>
      <c r="IW59" s="10">
        <f t="shared" si="262"/>
        <v>18.214285714285715</v>
      </c>
      <c r="IX59" s="10">
        <f t="shared" si="263"/>
        <v>0</v>
      </c>
      <c r="IY59" s="10">
        <f t="shared" si="264"/>
        <v>0</v>
      </c>
      <c r="IZ59" s="10">
        <f t="shared" si="265"/>
        <v>0</v>
      </c>
      <c r="JA59" s="10">
        <f t="shared" si="266"/>
        <v>0</v>
      </c>
      <c r="JB59" s="10">
        <f t="shared" si="267"/>
        <v>0</v>
      </c>
      <c r="JC59" s="10">
        <f t="shared" si="268"/>
        <v>0</v>
      </c>
      <c r="JD59" s="10">
        <f t="shared" si="269"/>
        <v>0</v>
      </c>
      <c r="JE59" s="10">
        <f t="shared" si="270"/>
        <v>0</v>
      </c>
      <c r="JF59" s="10">
        <f t="shared" si="271"/>
        <v>0</v>
      </c>
      <c r="JG59" s="10">
        <v>0</v>
      </c>
      <c r="JH59" s="10">
        <f t="shared" si="272"/>
        <v>1.0714285714285714</v>
      </c>
      <c r="JI59" s="10">
        <f t="shared" si="273"/>
        <v>0</v>
      </c>
      <c r="JJ59" s="10">
        <f t="shared" si="274"/>
        <v>0</v>
      </c>
      <c r="JK59" s="10">
        <f t="shared" si="275"/>
        <v>0</v>
      </c>
      <c r="JL59" s="10">
        <f t="shared" si="276"/>
        <v>0</v>
      </c>
      <c r="JM59" s="10">
        <f t="shared" si="277"/>
        <v>0</v>
      </c>
      <c r="JN59" s="10">
        <f t="shared" si="278"/>
        <v>0</v>
      </c>
      <c r="JO59" s="10">
        <f t="shared" si="279"/>
        <v>0</v>
      </c>
      <c r="JP59" s="10">
        <f t="shared" si="280"/>
        <v>0</v>
      </c>
      <c r="JQ59" s="10">
        <f t="shared" si="281"/>
        <v>0</v>
      </c>
      <c r="JR59" s="10">
        <f t="shared" si="282"/>
        <v>1.0714285714285714</v>
      </c>
      <c r="JS59" s="10">
        <f t="shared" si="283"/>
        <v>0</v>
      </c>
      <c r="JT59" s="10">
        <f t="shared" si="284"/>
        <v>0</v>
      </c>
      <c r="JU59" s="10">
        <f t="shared" si="285"/>
        <v>0</v>
      </c>
      <c r="JV59" s="10">
        <f t="shared" si="286"/>
        <v>0</v>
      </c>
      <c r="JW59" s="10">
        <f t="shared" si="287"/>
        <v>3.2142857142857144</v>
      </c>
      <c r="JX59" s="10">
        <f t="shared" si="288"/>
        <v>0</v>
      </c>
      <c r="JY59" s="10">
        <f t="shared" si="289"/>
        <v>0</v>
      </c>
      <c r="JZ59" s="10">
        <f t="shared" si="290"/>
        <v>1.0714285714285714</v>
      </c>
      <c r="KA59" s="10">
        <f t="shared" si="291"/>
        <v>0</v>
      </c>
      <c r="KB59" s="10">
        <f t="shared" si="292"/>
        <v>0</v>
      </c>
      <c r="KC59" s="10">
        <f t="shared" si="293"/>
        <v>0</v>
      </c>
      <c r="KD59" s="10">
        <f t="shared" si="294"/>
        <v>1.0714285714285714</v>
      </c>
      <c r="KE59" s="10">
        <f t="shared" si="295"/>
        <v>0</v>
      </c>
      <c r="KF59" s="10">
        <f t="shared" si="296"/>
        <v>0</v>
      </c>
      <c r="KG59" s="10">
        <f t="shared" si="297"/>
        <v>0</v>
      </c>
      <c r="KH59" s="10">
        <f t="shared" si="298"/>
        <v>0</v>
      </c>
      <c r="KI59" s="10">
        <f t="shared" si="299"/>
        <v>2.1428571428571428</v>
      </c>
      <c r="KJ59" s="10">
        <f t="shared" si="300"/>
        <v>0</v>
      </c>
      <c r="KK59" s="10">
        <f t="shared" si="301"/>
        <v>0</v>
      </c>
      <c r="KL59" s="10">
        <f t="shared" si="302"/>
        <v>0</v>
      </c>
      <c r="KM59" s="10">
        <f t="shared" si="303"/>
        <v>0</v>
      </c>
      <c r="KN59" s="10">
        <f t="shared" si="304"/>
        <v>1.0714285714285714</v>
      </c>
      <c r="KO59" s="10">
        <f t="shared" si="305"/>
        <v>0</v>
      </c>
      <c r="KP59" s="10">
        <f t="shared" si="306"/>
        <v>0</v>
      </c>
      <c r="KQ59" s="11">
        <v>74.999999999999972</v>
      </c>
      <c r="KR59" s="16"/>
      <c r="KS59" s="12">
        <v>6685.3091668390798</v>
      </c>
      <c r="KT59" s="26">
        <v>87</v>
      </c>
      <c r="KU59" s="26">
        <v>0.9885057471264368</v>
      </c>
      <c r="KV59" s="26">
        <v>1</v>
      </c>
      <c r="KW59" s="26">
        <v>-14.75</v>
      </c>
      <c r="KX59" s="26">
        <v>10.86</v>
      </c>
      <c r="KY59" s="27">
        <v>2.8931042042604869</v>
      </c>
      <c r="KZ59" s="27">
        <v>3.3748867528467459</v>
      </c>
      <c r="LA59" s="17"/>
      <c r="LB59" s="2">
        <v>1114</v>
      </c>
      <c r="LC59" s="1">
        <v>0</v>
      </c>
      <c r="LD59" s="1">
        <v>0</v>
      </c>
      <c r="LE59" s="1">
        <v>0</v>
      </c>
      <c r="LF59" s="1">
        <v>0</v>
      </c>
      <c r="LG59" s="1">
        <v>20</v>
      </c>
      <c r="LH59" s="1">
        <v>0</v>
      </c>
      <c r="LI59" s="1">
        <v>0</v>
      </c>
      <c r="LJ59" s="1">
        <v>0</v>
      </c>
      <c r="LK59" s="1">
        <v>0</v>
      </c>
      <c r="LL59" s="1">
        <v>104</v>
      </c>
      <c r="LM59" s="1">
        <v>2</v>
      </c>
      <c r="LN59" s="1">
        <v>242</v>
      </c>
      <c r="LO59" s="1">
        <v>0</v>
      </c>
      <c r="LP59" s="1">
        <v>0</v>
      </c>
      <c r="LQ59" s="1">
        <v>0</v>
      </c>
      <c r="LR59" s="1">
        <v>0</v>
      </c>
      <c r="LS59" s="1">
        <v>2</v>
      </c>
      <c r="LT59" s="1">
        <v>20</v>
      </c>
      <c r="LU59" s="1">
        <v>0</v>
      </c>
      <c r="LV59" s="1">
        <v>0</v>
      </c>
      <c r="LW59" s="1">
        <v>0</v>
      </c>
      <c r="LX59" s="1">
        <v>0</v>
      </c>
      <c r="LY59" s="1">
        <v>128</v>
      </c>
      <c r="LZ59" s="1">
        <v>4</v>
      </c>
      <c r="MA59" s="1">
        <v>4</v>
      </c>
      <c r="MB59" s="1">
        <v>10</v>
      </c>
      <c r="MC59" s="1">
        <v>0</v>
      </c>
      <c r="MD59" s="1">
        <v>578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28"/>
      <c r="ML59" t="s">
        <v>875</v>
      </c>
      <c r="MM59" t="s">
        <v>402</v>
      </c>
      <c r="MN59" t="s">
        <v>320</v>
      </c>
      <c r="MO59" t="s">
        <v>337</v>
      </c>
      <c r="MP59" t="s">
        <v>338</v>
      </c>
      <c r="MQ59" t="s">
        <v>339</v>
      </c>
      <c r="MR59">
        <v>1</v>
      </c>
      <c r="MS59" t="s">
        <v>403</v>
      </c>
      <c r="MT59" t="s">
        <v>404</v>
      </c>
      <c r="MU59" t="s">
        <v>405</v>
      </c>
      <c r="MV59">
        <v>382</v>
      </c>
      <c r="MW59" s="13">
        <v>411</v>
      </c>
      <c r="MX59" s="13" t="s">
        <v>406</v>
      </c>
      <c r="MY59" t="s">
        <v>240</v>
      </c>
      <c r="MZ59" t="s">
        <v>241</v>
      </c>
      <c r="NA59" t="s">
        <v>242</v>
      </c>
      <c r="NB59" t="s">
        <v>297</v>
      </c>
      <c r="ND59" s="18">
        <v>43274</v>
      </c>
      <c r="NE59" s="19">
        <v>1.5277777777777777E-2</v>
      </c>
      <c r="NF59" t="s">
        <v>407</v>
      </c>
      <c r="NG59" t="s">
        <v>245</v>
      </c>
      <c r="NH59" t="s">
        <v>246</v>
      </c>
      <c r="NI59">
        <v>106</v>
      </c>
      <c r="NJ59" t="s">
        <v>244</v>
      </c>
      <c r="NK59">
        <v>7</v>
      </c>
      <c r="NL59" t="s">
        <v>247</v>
      </c>
      <c r="NM59">
        <v>29.630009999999999</v>
      </c>
      <c r="NN59">
        <v>-84.925749999999994</v>
      </c>
      <c r="NO59" t="s">
        <v>248</v>
      </c>
      <c r="NP59" t="s">
        <v>249</v>
      </c>
      <c r="NQ59">
        <v>0.125</v>
      </c>
      <c r="NR59" t="s">
        <v>247</v>
      </c>
      <c r="NS59">
        <v>982000410609892</v>
      </c>
      <c r="NT59" t="s">
        <v>244</v>
      </c>
      <c r="NU59" t="s">
        <v>244</v>
      </c>
      <c r="NV59" t="s">
        <v>248</v>
      </c>
      <c r="NW59" t="s">
        <v>404</v>
      </c>
      <c r="NX59" t="s">
        <v>405</v>
      </c>
      <c r="NY59">
        <v>95</v>
      </c>
      <c r="NZ59">
        <v>95.1</v>
      </c>
      <c r="OA59">
        <v>89.6</v>
      </c>
      <c r="OB59" s="14">
        <v>6685.3091668390798</v>
      </c>
      <c r="OC59" t="s">
        <v>248</v>
      </c>
      <c r="OD59" t="s">
        <v>247</v>
      </c>
      <c r="OE59" t="s">
        <v>248</v>
      </c>
      <c r="OF59" t="s">
        <v>408</v>
      </c>
      <c r="OG59" t="s">
        <v>247</v>
      </c>
      <c r="OH59">
        <v>46</v>
      </c>
      <c r="OI59" t="s">
        <v>404</v>
      </c>
      <c r="OJ59" t="s">
        <v>409</v>
      </c>
      <c r="OK59">
        <v>87</v>
      </c>
      <c r="OL59">
        <v>0.9885057471264368</v>
      </c>
      <c r="OM59">
        <v>1</v>
      </c>
      <c r="ON59">
        <v>-14.75</v>
      </c>
      <c r="OO59">
        <v>10.86</v>
      </c>
      <c r="OP59" s="25">
        <v>2.8931042042604869</v>
      </c>
      <c r="OQ59" s="25">
        <v>3.3748867528467459</v>
      </c>
      <c r="OR59" t="s">
        <v>911</v>
      </c>
      <c r="OS59" t="s">
        <v>910</v>
      </c>
    </row>
    <row r="60" spans="1:409" x14ac:dyDescent="0.25">
      <c r="A60">
        <v>59</v>
      </c>
      <c r="B60" s="1">
        <v>36</v>
      </c>
      <c r="C60" s="1">
        <v>4</v>
      </c>
      <c r="D60" s="1">
        <v>0</v>
      </c>
      <c r="E60" s="1">
        <v>0</v>
      </c>
      <c r="F60" s="1">
        <v>5</v>
      </c>
      <c r="G60" s="1">
        <v>4</v>
      </c>
      <c r="H60" s="1">
        <v>0</v>
      </c>
      <c r="I60" s="1">
        <v>0</v>
      </c>
      <c r="J60" s="1">
        <v>2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2">
        <v>53</v>
      </c>
      <c r="Y60" s="3"/>
      <c r="Z60" s="15">
        <f t="shared" si="172"/>
        <v>0.42154666426140996</v>
      </c>
      <c r="AA60" s="15">
        <f t="shared" si="173"/>
        <v>4.683851825126778E-2</v>
      </c>
      <c r="AB60" s="15">
        <f t="shared" si="174"/>
        <v>0</v>
      </c>
      <c r="AC60" s="15">
        <f t="shared" si="175"/>
        <v>0</v>
      </c>
      <c r="AD60" s="15">
        <f t="shared" si="176"/>
        <v>5.8548147814084725E-2</v>
      </c>
      <c r="AE60" s="15">
        <f t="shared" si="177"/>
        <v>4.683851825126778E-2</v>
      </c>
      <c r="AF60" s="15">
        <f t="shared" si="178"/>
        <v>0</v>
      </c>
      <c r="AG60" s="15">
        <f t="shared" si="179"/>
        <v>0</v>
      </c>
      <c r="AH60" s="15">
        <f t="shared" si="180"/>
        <v>2.341925912563389E-2</v>
      </c>
      <c r="AI60" s="15">
        <f t="shared" si="181"/>
        <v>0</v>
      </c>
      <c r="AJ60" s="15">
        <f t="shared" si="182"/>
        <v>1.1709629562816945E-2</v>
      </c>
      <c r="AK60" s="15">
        <f t="shared" si="183"/>
        <v>0</v>
      </c>
      <c r="AL60" s="15">
        <f t="shared" si="184"/>
        <v>0</v>
      </c>
      <c r="AM60" s="15">
        <f t="shared" si="185"/>
        <v>0</v>
      </c>
      <c r="AN60" s="15">
        <f t="shared" si="186"/>
        <v>0</v>
      </c>
      <c r="AO60" s="15">
        <f t="shared" si="187"/>
        <v>1.1709629562816945E-2</v>
      </c>
      <c r="AP60" s="15">
        <f t="shared" si="188"/>
        <v>0</v>
      </c>
      <c r="AQ60" s="15">
        <f t="shared" si="189"/>
        <v>0</v>
      </c>
      <c r="AR60" s="15">
        <f t="shared" si="190"/>
        <v>0</v>
      </c>
      <c r="AS60" s="15">
        <f t="shared" si="191"/>
        <v>0</v>
      </c>
      <c r="AT60" s="15">
        <f t="shared" si="192"/>
        <v>0</v>
      </c>
      <c r="AU60" s="15">
        <f t="shared" si="193"/>
        <v>0</v>
      </c>
      <c r="AV60" s="5">
        <f t="shared" si="194"/>
        <v>0.62061036682929815</v>
      </c>
      <c r="AW60" s="16"/>
      <c r="AX60" s="6">
        <v>240</v>
      </c>
      <c r="AY60" s="6">
        <v>26.666666666666668</v>
      </c>
      <c r="AZ60" s="6">
        <v>0</v>
      </c>
      <c r="BA60" s="6">
        <v>0</v>
      </c>
      <c r="BB60" s="6">
        <v>33.333333333333336</v>
      </c>
      <c r="BC60" s="6">
        <v>26.666666666666668</v>
      </c>
      <c r="BD60" s="6">
        <v>0</v>
      </c>
      <c r="BE60" s="6">
        <v>0</v>
      </c>
      <c r="BF60" s="6">
        <v>13.333333333333334</v>
      </c>
      <c r="BG60" s="6">
        <v>0</v>
      </c>
      <c r="BH60" s="6">
        <v>6.666666666666667</v>
      </c>
      <c r="BI60" s="6">
        <v>0</v>
      </c>
      <c r="BJ60" s="6">
        <v>0</v>
      </c>
      <c r="BK60" s="6">
        <v>0</v>
      </c>
      <c r="BL60" s="6">
        <v>0</v>
      </c>
      <c r="BM60" s="6">
        <v>6.666666666666667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20">
        <v>353.33333333333337</v>
      </c>
      <c r="BU60" s="16"/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35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4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9">
        <v>39</v>
      </c>
      <c r="GG60" s="3"/>
      <c r="GH60" s="10">
        <f t="shared" si="195"/>
        <v>0</v>
      </c>
      <c r="GI60" s="10">
        <f t="shared" si="196"/>
        <v>0</v>
      </c>
      <c r="GJ60" s="10">
        <f t="shared" si="197"/>
        <v>0</v>
      </c>
      <c r="GK60" s="10">
        <f t="shared" si="198"/>
        <v>0</v>
      </c>
      <c r="GL60" s="10">
        <f t="shared" si="199"/>
        <v>0</v>
      </c>
      <c r="GM60" s="10">
        <f t="shared" si="200"/>
        <v>0</v>
      </c>
      <c r="GN60" s="10">
        <f t="shared" si="201"/>
        <v>0</v>
      </c>
      <c r="GO60" s="10">
        <f t="shared" si="202"/>
        <v>0</v>
      </c>
      <c r="GP60" s="10">
        <f t="shared" si="203"/>
        <v>0</v>
      </c>
      <c r="GQ60" s="10">
        <f t="shared" si="204"/>
        <v>0</v>
      </c>
      <c r="GR60" s="10">
        <f t="shared" si="205"/>
        <v>0</v>
      </c>
      <c r="GS60" s="10">
        <f t="shared" si="206"/>
        <v>0</v>
      </c>
      <c r="GT60" s="10">
        <f t="shared" si="207"/>
        <v>0</v>
      </c>
      <c r="GU60" s="10">
        <f t="shared" si="208"/>
        <v>0</v>
      </c>
      <c r="GV60" s="10">
        <f t="shared" si="209"/>
        <v>0</v>
      </c>
      <c r="GW60" s="10">
        <f t="shared" si="210"/>
        <v>0</v>
      </c>
      <c r="GX60" s="10">
        <f t="shared" si="211"/>
        <v>0</v>
      </c>
      <c r="GY60" s="10">
        <f t="shared" si="212"/>
        <v>0</v>
      </c>
      <c r="GZ60" s="10">
        <f t="shared" si="213"/>
        <v>215.38461538461539</v>
      </c>
      <c r="HA60" s="10">
        <f t="shared" si="214"/>
        <v>0</v>
      </c>
      <c r="HB60" s="10">
        <f t="shared" si="215"/>
        <v>0</v>
      </c>
      <c r="HC60" s="10">
        <f t="shared" si="216"/>
        <v>0</v>
      </c>
      <c r="HD60" s="10">
        <f t="shared" si="217"/>
        <v>0</v>
      </c>
      <c r="HE60" s="10">
        <f t="shared" si="218"/>
        <v>0</v>
      </c>
      <c r="HF60" s="10">
        <f t="shared" si="219"/>
        <v>0</v>
      </c>
      <c r="HG60" s="10">
        <f t="shared" si="220"/>
        <v>0</v>
      </c>
      <c r="HH60" s="10">
        <f t="shared" si="221"/>
        <v>0</v>
      </c>
      <c r="HI60" s="10">
        <f t="shared" si="222"/>
        <v>0</v>
      </c>
      <c r="HJ60" s="10">
        <f t="shared" si="223"/>
        <v>0</v>
      </c>
      <c r="HK60" s="10">
        <f t="shared" si="224"/>
        <v>0</v>
      </c>
      <c r="HL60" s="10">
        <f t="shared" si="225"/>
        <v>0</v>
      </c>
      <c r="HM60" s="10">
        <f t="shared" si="226"/>
        <v>0</v>
      </c>
      <c r="HN60" s="10">
        <f t="shared" si="227"/>
        <v>0</v>
      </c>
      <c r="HO60" s="10">
        <f t="shared" si="228"/>
        <v>0</v>
      </c>
      <c r="HP60" s="10">
        <f t="shared" si="229"/>
        <v>0</v>
      </c>
      <c r="HQ60" s="10">
        <f t="shared" si="230"/>
        <v>0</v>
      </c>
      <c r="HR60" s="10">
        <f t="shared" si="231"/>
        <v>0</v>
      </c>
      <c r="HS60" s="10">
        <f t="shared" si="232"/>
        <v>0</v>
      </c>
      <c r="HT60" s="10">
        <f t="shared" si="233"/>
        <v>0</v>
      </c>
      <c r="HU60" s="10">
        <f t="shared" si="234"/>
        <v>0</v>
      </c>
      <c r="HV60" s="10">
        <f t="shared" si="235"/>
        <v>0</v>
      </c>
      <c r="HW60" s="10">
        <f t="shared" si="236"/>
        <v>0</v>
      </c>
      <c r="HX60" s="10">
        <f t="shared" si="237"/>
        <v>0</v>
      </c>
      <c r="HY60" s="10">
        <f t="shared" si="238"/>
        <v>0</v>
      </c>
      <c r="HZ60" s="10">
        <f t="shared" si="239"/>
        <v>0</v>
      </c>
      <c r="IA60" s="10">
        <f t="shared" si="240"/>
        <v>0</v>
      </c>
      <c r="IB60" s="10">
        <f t="shared" si="241"/>
        <v>0</v>
      </c>
      <c r="IC60" s="10">
        <f t="shared" si="242"/>
        <v>0</v>
      </c>
      <c r="ID60" s="10">
        <f t="shared" si="243"/>
        <v>0</v>
      </c>
      <c r="IE60" s="10">
        <f t="shared" si="244"/>
        <v>0</v>
      </c>
      <c r="IF60" s="10">
        <f t="shared" si="245"/>
        <v>0</v>
      </c>
      <c r="IG60" s="10">
        <f t="shared" si="246"/>
        <v>0</v>
      </c>
      <c r="IH60" s="10">
        <f t="shared" si="247"/>
        <v>0</v>
      </c>
      <c r="II60" s="10">
        <f t="shared" si="248"/>
        <v>0</v>
      </c>
      <c r="IJ60" s="10">
        <f t="shared" si="249"/>
        <v>0</v>
      </c>
      <c r="IK60" s="10">
        <f t="shared" si="250"/>
        <v>0</v>
      </c>
      <c r="IL60" s="10">
        <f t="shared" si="251"/>
        <v>0</v>
      </c>
      <c r="IM60" s="10">
        <f t="shared" si="252"/>
        <v>0</v>
      </c>
      <c r="IN60" s="10">
        <f t="shared" si="253"/>
        <v>0</v>
      </c>
      <c r="IO60" s="10">
        <f t="shared" si="254"/>
        <v>0</v>
      </c>
      <c r="IP60" s="10">
        <f t="shared" si="255"/>
        <v>0</v>
      </c>
      <c r="IQ60" s="10">
        <f t="shared" si="256"/>
        <v>0</v>
      </c>
      <c r="IR60" s="10">
        <f t="shared" si="257"/>
        <v>0</v>
      </c>
      <c r="IS60" s="10">
        <f t="shared" si="258"/>
        <v>0</v>
      </c>
      <c r="IT60" s="10">
        <f t="shared" si="259"/>
        <v>0</v>
      </c>
      <c r="IU60" s="10">
        <f t="shared" si="260"/>
        <v>0</v>
      </c>
      <c r="IV60" s="10">
        <f t="shared" si="261"/>
        <v>0</v>
      </c>
      <c r="IW60" s="10">
        <f t="shared" si="262"/>
        <v>0</v>
      </c>
      <c r="IX60" s="10">
        <f t="shared" si="263"/>
        <v>0</v>
      </c>
      <c r="IY60" s="10">
        <f t="shared" si="264"/>
        <v>0</v>
      </c>
      <c r="IZ60" s="10">
        <f t="shared" si="265"/>
        <v>0</v>
      </c>
      <c r="JA60" s="10">
        <f t="shared" si="266"/>
        <v>0</v>
      </c>
      <c r="JB60" s="10">
        <f t="shared" si="267"/>
        <v>0</v>
      </c>
      <c r="JC60" s="10">
        <f t="shared" si="268"/>
        <v>0</v>
      </c>
      <c r="JD60" s="10">
        <f t="shared" si="269"/>
        <v>0</v>
      </c>
      <c r="JE60" s="10">
        <f t="shared" si="270"/>
        <v>0</v>
      </c>
      <c r="JF60" s="10">
        <f t="shared" si="271"/>
        <v>0</v>
      </c>
      <c r="JG60" s="10">
        <v>0</v>
      </c>
      <c r="JH60" s="10">
        <f t="shared" si="272"/>
        <v>0</v>
      </c>
      <c r="JI60" s="10">
        <f t="shared" si="273"/>
        <v>0</v>
      </c>
      <c r="JJ60" s="10">
        <f t="shared" si="274"/>
        <v>0</v>
      </c>
      <c r="JK60" s="10">
        <f t="shared" si="275"/>
        <v>0</v>
      </c>
      <c r="JL60" s="10">
        <f t="shared" si="276"/>
        <v>0</v>
      </c>
      <c r="JM60" s="10">
        <f t="shared" si="277"/>
        <v>0</v>
      </c>
      <c r="JN60" s="10">
        <f t="shared" si="278"/>
        <v>0</v>
      </c>
      <c r="JO60" s="10">
        <f t="shared" si="279"/>
        <v>0</v>
      </c>
      <c r="JP60" s="10">
        <f t="shared" si="280"/>
        <v>0</v>
      </c>
      <c r="JQ60" s="10">
        <f t="shared" si="281"/>
        <v>0</v>
      </c>
      <c r="JR60" s="10">
        <f t="shared" si="282"/>
        <v>0</v>
      </c>
      <c r="JS60" s="10">
        <f t="shared" si="283"/>
        <v>0</v>
      </c>
      <c r="JT60" s="10">
        <f t="shared" si="284"/>
        <v>0</v>
      </c>
      <c r="JU60" s="10">
        <f t="shared" si="285"/>
        <v>0</v>
      </c>
      <c r="JV60" s="10">
        <f t="shared" si="286"/>
        <v>0</v>
      </c>
      <c r="JW60" s="10">
        <f t="shared" si="287"/>
        <v>0</v>
      </c>
      <c r="JX60" s="10">
        <f t="shared" si="288"/>
        <v>0</v>
      </c>
      <c r="JY60" s="10">
        <f t="shared" si="289"/>
        <v>0</v>
      </c>
      <c r="JZ60" s="10">
        <f t="shared" si="290"/>
        <v>0</v>
      </c>
      <c r="KA60" s="10">
        <f t="shared" si="291"/>
        <v>0</v>
      </c>
      <c r="KB60" s="10">
        <f t="shared" si="292"/>
        <v>0</v>
      </c>
      <c r="KC60" s="10">
        <f t="shared" si="293"/>
        <v>0</v>
      </c>
      <c r="KD60" s="10">
        <f t="shared" si="294"/>
        <v>0</v>
      </c>
      <c r="KE60" s="10">
        <f t="shared" si="295"/>
        <v>0</v>
      </c>
      <c r="KF60" s="10">
        <f t="shared" si="296"/>
        <v>24.615384615384613</v>
      </c>
      <c r="KG60" s="10">
        <f t="shared" si="297"/>
        <v>0</v>
      </c>
      <c r="KH60" s="10">
        <f t="shared" si="298"/>
        <v>0</v>
      </c>
      <c r="KI60" s="10">
        <f t="shared" si="299"/>
        <v>0</v>
      </c>
      <c r="KJ60" s="10">
        <f t="shared" si="300"/>
        <v>0</v>
      </c>
      <c r="KK60" s="10">
        <f t="shared" si="301"/>
        <v>0</v>
      </c>
      <c r="KL60" s="10">
        <f t="shared" si="302"/>
        <v>0</v>
      </c>
      <c r="KM60" s="10">
        <f t="shared" si="303"/>
        <v>0</v>
      </c>
      <c r="KN60" s="10">
        <f t="shared" si="304"/>
        <v>0</v>
      </c>
      <c r="KO60" s="10">
        <f t="shared" si="305"/>
        <v>0</v>
      </c>
      <c r="KP60" s="10">
        <f t="shared" si="306"/>
        <v>0</v>
      </c>
      <c r="KQ60" s="11">
        <v>240</v>
      </c>
      <c r="KR60" s="16"/>
      <c r="KS60" s="12">
        <v>5693.3198705415671</v>
      </c>
      <c r="KT60" s="26"/>
      <c r="KU60" s="26"/>
      <c r="KV60" s="26"/>
      <c r="KW60" s="26">
        <v>-14.24</v>
      </c>
      <c r="KX60" s="26">
        <v>11.37</v>
      </c>
      <c r="KY60" s="27">
        <v>2.79</v>
      </c>
      <c r="KZ60" s="27">
        <v>3.27</v>
      </c>
      <c r="LA60" s="17"/>
      <c r="LB60" s="2">
        <v>469</v>
      </c>
      <c r="LC60" s="1">
        <v>0</v>
      </c>
      <c r="LD60" s="1">
        <v>0</v>
      </c>
      <c r="LE60" s="1">
        <v>0</v>
      </c>
      <c r="LF60" s="1">
        <v>0</v>
      </c>
      <c r="LG60" s="1">
        <v>4</v>
      </c>
      <c r="LH60" s="1">
        <v>0</v>
      </c>
      <c r="LI60" s="1">
        <v>0</v>
      </c>
      <c r="LJ60" s="1">
        <v>0</v>
      </c>
      <c r="LK60" s="1">
        <v>0</v>
      </c>
      <c r="LL60" s="1">
        <v>403</v>
      </c>
      <c r="LM60" s="1">
        <v>2</v>
      </c>
      <c r="LN60" s="1">
        <v>30</v>
      </c>
      <c r="LO60" s="1">
        <v>17</v>
      </c>
      <c r="LP60" s="1">
        <v>0</v>
      </c>
      <c r="LQ60" s="1">
        <v>0</v>
      </c>
      <c r="LR60" s="1">
        <v>0</v>
      </c>
      <c r="LS60" s="1">
        <v>0</v>
      </c>
      <c r="LT60" s="1">
        <v>7</v>
      </c>
      <c r="LU60" s="1">
        <v>0</v>
      </c>
      <c r="LV60" s="1">
        <v>0</v>
      </c>
      <c r="LW60" s="1">
        <v>0</v>
      </c>
      <c r="LX60" s="1">
        <v>0</v>
      </c>
      <c r="LY60" s="1">
        <v>1</v>
      </c>
      <c r="LZ60" s="1">
        <v>0</v>
      </c>
      <c r="MA60" s="1">
        <v>0</v>
      </c>
      <c r="MB60" s="1">
        <v>0</v>
      </c>
      <c r="MC60" s="1">
        <v>0</v>
      </c>
      <c r="MD60" s="1">
        <v>5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28"/>
      <c r="ML60" t="s">
        <v>876</v>
      </c>
      <c r="MM60" t="s">
        <v>410</v>
      </c>
      <c r="MN60" t="s">
        <v>320</v>
      </c>
      <c r="MO60" t="s">
        <v>334</v>
      </c>
      <c r="MP60" t="s">
        <v>335</v>
      </c>
      <c r="MQ60" t="s">
        <v>336</v>
      </c>
      <c r="MR60">
        <v>0.15</v>
      </c>
      <c r="MS60" t="s">
        <v>411</v>
      </c>
      <c r="MT60" t="s">
        <v>412</v>
      </c>
      <c r="MU60" t="s">
        <v>413</v>
      </c>
      <c r="MV60">
        <v>353.33333333333337</v>
      </c>
      <c r="MW60" s="13">
        <v>415</v>
      </c>
      <c r="MX60" s="13" t="s">
        <v>414</v>
      </c>
      <c r="MY60" t="s">
        <v>240</v>
      </c>
      <c r="MZ60" t="s">
        <v>241</v>
      </c>
      <c r="NA60" t="s">
        <v>242</v>
      </c>
      <c r="NB60" t="s">
        <v>306</v>
      </c>
      <c r="ND60" s="18">
        <v>43275</v>
      </c>
      <c r="NE60" s="19">
        <v>0.16666666666666666</v>
      </c>
      <c r="NF60" t="s">
        <v>415</v>
      </c>
      <c r="NG60" t="s">
        <v>245</v>
      </c>
      <c r="NH60" t="s">
        <v>246</v>
      </c>
      <c r="NI60">
        <v>97</v>
      </c>
      <c r="NJ60" t="s">
        <v>244</v>
      </c>
      <c r="NK60">
        <v>4</v>
      </c>
      <c r="NL60" t="s">
        <v>247</v>
      </c>
      <c r="NM60">
        <v>29.639931000000001</v>
      </c>
      <c r="NN60">
        <v>-84.907263</v>
      </c>
      <c r="NO60" t="s">
        <v>248</v>
      </c>
      <c r="NP60" t="s">
        <v>249</v>
      </c>
      <c r="NQ60" t="s">
        <v>244</v>
      </c>
      <c r="NR60" t="s">
        <v>247</v>
      </c>
      <c r="NS60" t="s">
        <v>244</v>
      </c>
      <c r="NT60" t="s">
        <v>416</v>
      </c>
      <c r="NU60" t="s">
        <v>244</v>
      </c>
      <c r="NV60" t="s">
        <v>247</v>
      </c>
      <c r="NW60" t="s">
        <v>417</v>
      </c>
      <c r="NX60" t="s">
        <v>418</v>
      </c>
      <c r="NY60">
        <v>86.4</v>
      </c>
      <c r="NZ60">
        <v>85.6</v>
      </c>
      <c r="OA60">
        <v>83.9</v>
      </c>
      <c r="OB60" s="14">
        <v>5693.3198705415671</v>
      </c>
      <c r="OC60" t="s">
        <v>248</v>
      </c>
      <c r="OD60" t="s">
        <v>247</v>
      </c>
      <c r="OE60" t="s">
        <v>248</v>
      </c>
      <c r="OF60" t="s">
        <v>419</v>
      </c>
      <c r="OG60" t="s">
        <v>247</v>
      </c>
      <c r="ON60">
        <v>-14.24</v>
      </c>
      <c r="OO60">
        <v>11.37</v>
      </c>
      <c r="OP60" s="25">
        <v>2.79</v>
      </c>
      <c r="OQ60" s="25">
        <v>3.27</v>
      </c>
      <c r="OR60" t="s">
        <v>911</v>
      </c>
      <c r="OS60" t="s">
        <v>910</v>
      </c>
    </row>
    <row r="61" spans="1:409" x14ac:dyDescent="0.25">
      <c r="A61">
        <v>60</v>
      </c>
      <c r="B61" s="1">
        <v>56</v>
      </c>
      <c r="C61" s="1">
        <v>8</v>
      </c>
      <c r="D61" s="1">
        <v>1</v>
      </c>
      <c r="E61" s="1">
        <v>0</v>
      </c>
      <c r="F61" s="1">
        <v>6</v>
      </c>
      <c r="G61" s="1">
        <v>6</v>
      </c>
      <c r="H61" s="1">
        <v>0</v>
      </c>
      <c r="I61" s="1">
        <v>0</v>
      </c>
      <c r="J61" s="1">
        <v>0</v>
      </c>
      <c r="K61" s="1">
        <v>0</v>
      </c>
      <c r="L61" s="1">
        <v>2</v>
      </c>
      <c r="M61" s="1">
        <v>0</v>
      </c>
      <c r="N61" s="1">
        <v>3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2">
        <v>82</v>
      </c>
      <c r="Y61" s="3"/>
      <c r="Z61" s="15">
        <f t="shared" si="172"/>
        <v>0.93073066135611304</v>
      </c>
      <c r="AA61" s="15">
        <f t="shared" si="173"/>
        <v>0.13296152305087328</v>
      </c>
      <c r="AB61" s="15">
        <f t="shared" si="174"/>
        <v>1.6620190381359159E-2</v>
      </c>
      <c r="AC61" s="15">
        <f t="shared" si="175"/>
        <v>0</v>
      </c>
      <c r="AD61" s="15">
        <f t="shared" si="176"/>
        <v>9.9721142288154971E-2</v>
      </c>
      <c r="AE61" s="15">
        <f t="shared" si="177"/>
        <v>9.9721142288154971E-2</v>
      </c>
      <c r="AF61" s="15">
        <f t="shared" si="178"/>
        <v>0</v>
      </c>
      <c r="AG61" s="15">
        <f t="shared" si="179"/>
        <v>0</v>
      </c>
      <c r="AH61" s="15">
        <f t="shared" si="180"/>
        <v>0</v>
      </c>
      <c r="AI61" s="15">
        <f t="shared" si="181"/>
        <v>0</v>
      </c>
      <c r="AJ61" s="15">
        <f t="shared" si="182"/>
        <v>3.3240380762718319E-2</v>
      </c>
      <c r="AK61" s="15">
        <f t="shared" si="183"/>
        <v>0</v>
      </c>
      <c r="AL61" s="15">
        <f t="shared" si="184"/>
        <v>4.9860571144077485E-2</v>
      </c>
      <c r="AM61" s="15">
        <f t="shared" si="185"/>
        <v>0</v>
      </c>
      <c r="AN61" s="15">
        <f t="shared" si="186"/>
        <v>0</v>
      </c>
      <c r="AO61" s="15">
        <f t="shared" si="187"/>
        <v>0</v>
      </c>
      <c r="AP61" s="15">
        <f t="shared" si="188"/>
        <v>0</v>
      </c>
      <c r="AQ61" s="15">
        <f t="shared" si="189"/>
        <v>0</v>
      </c>
      <c r="AR61" s="15">
        <f t="shared" si="190"/>
        <v>0</v>
      </c>
      <c r="AS61" s="15">
        <f t="shared" si="191"/>
        <v>0</v>
      </c>
      <c r="AT61" s="15">
        <f t="shared" si="192"/>
        <v>0</v>
      </c>
      <c r="AU61" s="15">
        <f t="shared" si="193"/>
        <v>0</v>
      </c>
      <c r="AV61" s="5">
        <f t="shared" si="194"/>
        <v>1.3628556112714514</v>
      </c>
      <c r="AW61" s="16"/>
      <c r="AX61" s="6">
        <v>560</v>
      </c>
      <c r="AY61" s="6">
        <v>80</v>
      </c>
      <c r="AZ61" s="6">
        <v>10</v>
      </c>
      <c r="BA61" s="6">
        <v>0</v>
      </c>
      <c r="BB61" s="6">
        <v>60</v>
      </c>
      <c r="BC61" s="6">
        <v>60</v>
      </c>
      <c r="BD61" s="6">
        <v>0</v>
      </c>
      <c r="BE61" s="6">
        <v>0</v>
      </c>
      <c r="BF61" s="6">
        <v>0</v>
      </c>
      <c r="BG61" s="6">
        <v>0</v>
      </c>
      <c r="BH61" s="6">
        <v>20</v>
      </c>
      <c r="BI61" s="6">
        <v>0</v>
      </c>
      <c r="BJ61" s="6">
        <v>30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20">
        <v>820</v>
      </c>
      <c r="BU61" s="16"/>
      <c r="BV61" s="8">
        <v>0</v>
      </c>
      <c r="BW61" s="8">
        <v>11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4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46</v>
      </c>
      <c r="CO61" s="8">
        <v>0</v>
      </c>
      <c r="CP61" s="8">
        <v>0</v>
      </c>
      <c r="CQ61" s="8">
        <v>0</v>
      </c>
      <c r="CR61" s="8">
        <v>1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1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1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1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1</v>
      </c>
      <c r="EG61" s="8">
        <v>0</v>
      </c>
      <c r="EH61" s="8">
        <v>0</v>
      </c>
      <c r="EI61" s="8">
        <v>0</v>
      </c>
      <c r="EJ61" s="8">
        <v>0</v>
      </c>
      <c r="EK61" s="8">
        <v>5</v>
      </c>
      <c r="EL61" s="8">
        <v>0</v>
      </c>
      <c r="EM61" s="8">
        <v>0</v>
      </c>
      <c r="EN61" s="8">
        <v>1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4</v>
      </c>
      <c r="FH61" s="8">
        <v>0</v>
      </c>
      <c r="FI61" s="8">
        <v>0</v>
      </c>
      <c r="FJ61" s="8">
        <v>0</v>
      </c>
      <c r="FK61" s="8">
        <v>0</v>
      </c>
      <c r="FL61" s="8">
        <v>2</v>
      </c>
      <c r="FM61" s="8">
        <v>1</v>
      </c>
      <c r="FN61" s="8">
        <v>0</v>
      </c>
      <c r="FO61" s="8">
        <v>0</v>
      </c>
      <c r="FP61" s="8">
        <v>0</v>
      </c>
      <c r="FQ61" s="8">
        <v>0</v>
      </c>
      <c r="FR61" s="8">
        <v>4</v>
      </c>
      <c r="FS61" s="8">
        <v>4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1</v>
      </c>
      <c r="GB61" s="8">
        <v>0</v>
      </c>
      <c r="GC61" s="8">
        <v>0</v>
      </c>
      <c r="GD61" s="8">
        <v>0</v>
      </c>
      <c r="GE61" s="8">
        <v>0</v>
      </c>
      <c r="GF61" s="9">
        <v>88</v>
      </c>
      <c r="GG61" s="3"/>
      <c r="GH61" s="10">
        <f t="shared" si="195"/>
        <v>0</v>
      </c>
      <c r="GI61" s="10">
        <f t="shared" si="196"/>
        <v>70</v>
      </c>
      <c r="GJ61" s="10">
        <f t="shared" si="197"/>
        <v>0</v>
      </c>
      <c r="GK61" s="10">
        <f t="shared" si="198"/>
        <v>0</v>
      </c>
      <c r="GL61" s="10">
        <f t="shared" si="199"/>
        <v>0</v>
      </c>
      <c r="GM61" s="10">
        <f t="shared" si="200"/>
        <v>0</v>
      </c>
      <c r="GN61" s="10">
        <f t="shared" si="201"/>
        <v>0</v>
      </c>
      <c r="GO61" s="10">
        <f t="shared" si="202"/>
        <v>0</v>
      </c>
      <c r="GP61" s="10">
        <f t="shared" si="203"/>
        <v>0</v>
      </c>
      <c r="GQ61" s="10">
        <f t="shared" si="204"/>
        <v>0</v>
      </c>
      <c r="GR61" s="10">
        <f t="shared" si="205"/>
        <v>25.454545454545457</v>
      </c>
      <c r="GS61" s="10">
        <f t="shared" si="206"/>
        <v>0</v>
      </c>
      <c r="GT61" s="10">
        <f t="shared" si="207"/>
        <v>0</v>
      </c>
      <c r="GU61" s="10">
        <f t="shared" si="208"/>
        <v>0</v>
      </c>
      <c r="GV61" s="10">
        <f t="shared" si="209"/>
        <v>0</v>
      </c>
      <c r="GW61" s="10">
        <f t="shared" si="210"/>
        <v>0</v>
      </c>
      <c r="GX61" s="10">
        <f t="shared" si="211"/>
        <v>0</v>
      </c>
      <c r="GY61" s="10">
        <f t="shared" si="212"/>
        <v>0</v>
      </c>
      <c r="GZ61" s="10">
        <f t="shared" si="213"/>
        <v>292.72727272727269</v>
      </c>
      <c r="HA61" s="10">
        <f t="shared" si="214"/>
        <v>0</v>
      </c>
      <c r="HB61" s="10">
        <f t="shared" si="215"/>
        <v>0</v>
      </c>
      <c r="HC61" s="10">
        <f t="shared" si="216"/>
        <v>0</v>
      </c>
      <c r="HD61" s="10">
        <f t="shared" si="217"/>
        <v>6.3636363636363642</v>
      </c>
      <c r="HE61" s="10">
        <f t="shared" si="218"/>
        <v>0</v>
      </c>
      <c r="HF61" s="10">
        <f t="shared" si="219"/>
        <v>0</v>
      </c>
      <c r="HG61" s="10">
        <f t="shared" si="220"/>
        <v>0</v>
      </c>
      <c r="HH61" s="10">
        <f t="shared" si="221"/>
        <v>0</v>
      </c>
      <c r="HI61" s="10">
        <f t="shared" si="222"/>
        <v>0</v>
      </c>
      <c r="HJ61" s="10">
        <f t="shared" si="223"/>
        <v>6.3636363636363642</v>
      </c>
      <c r="HK61" s="10">
        <f t="shared" si="224"/>
        <v>0</v>
      </c>
      <c r="HL61" s="10">
        <f t="shared" si="225"/>
        <v>0</v>
      </c>
      <c r="HM61" s="10">
        <f t="shared" si="226"/>
        <v>0</v>
      </c>
      <c r="HN61" s="10">
        <f t="shared" si="227"/>
        <v>0</v>
      </c>
      <c r="HO61" s="10">
        <f t="shared" si="228"/>
        <v>0</v>
      </c>
      <c r="HP61" s="10">
        <f t="shared" si="229"/>
        <v>0</v>
      </c>
      <c r="HQ61" s="10">
        <f t="shared" si="230"/>
        <v>0</v>
      </c>
      <c r="HR61" s="10">
        <f t="shared" si="231"/>
        <v>0</v>
      </c>
      <c r="HS61" s="10">
        <f t="shared" si="232"/>
        <v>0</v>
      </c>
      <c r="HT61" s="10">
        <f t="shared" si="233"/>
        <v>0</v>
      </c>
      <c r="HU61" s="10">
        <f t="shared" si="234"/>
        <v>0</v>
      </c>
      <c r="HV61" s="10">
        <f t="shared" si="235"/>
        <v>6.3636363636363642</v>
      </c>
      <c r="HW61" s="10">
        <f t="shared" si="236"/>
        <v>0</v>
      </c>
      <c r="HX61" s="10">
        <f t="shared" si="237"/>
        <v>0</v>
      </c>
      <c r="HY61" s="10">
        <f t="shared" si="238"/>
        <v>0</v>
      </c>
      <c r="HZ61" s="10">
        <f t="shared" si="239"/>
        <v>0</v>
      </c>
      <c r="IA61" s="10">
        <f t="shared" si="240"/>
        <v>0</v>
      </c>
      <c r="IB61" s="10">
        <f t="shared" si="241"/>
        <v>0</v>
      </c>
      <c r="IC61" s="10">
        <f t="shared" si="242"/>
        <v>0</v>
      </c>
      <c r="ID61" s="10">
        <f t="shared" si="243"/>
        <v>0</v>
      </c>
      <c r="IE61" s="10">
        <f t="shared" si="244"/>
        <v>0</v>
      </c>
      <c r="IF61" s="10">
        <f t="shared" si="245"/>
        <v>0</v>
      </c>
      <c r="IG61" s="10">
        <f t="shared" si="246"/>
        <v>0</v>
      </c>
      <c r="IH61" s="10">
        <f t="shared" si="247"/>
        <v>0</v>
      </c>
      <c r="II61" s="10">
        <f t="shared" si="248"/>
        <v>6.3636363636363642</v>
      </c>
      <c r="IJ61" s="10">
        <f t="shared" si="249"/>
        <v>0</v>
      </c>
      <c r="IK61" s="10">
        <f t="shared" si="250"/>
        <v>0</v>
      </c>
      <c r="IL61" s="10">
        <f t="shared" si="251"/>
        <v>0</v>
      </c>
      <c r="IM61" s="10">
        <f t="shared" si="252"/>
        <v>0</v>
      </c>
      <c r="IN61" s="10">
        <f t="shared" si="253"/>
        <v>0</v>
      </c>
      <c r="IO61" s="10">
        <f t="shared" si="254"/>
        <v>0</v>
      </c>
      <c r="IP61" s="10">
        <f t="shared" si="255"/>
        <v>0</v>
      </c>
      <c r="IQ61" s="10">
        <f t="shared" si="256"/>
        <v>0</v>
      </c>
      <c r="IR61" s="10">
        <f t="shared" si="257"/>
        <v>6.3636363636363642</v>
      </c>
      <c r="IS61" s="10">
        <f t="shared" si="258"/>
        <v>0</v>
      </c>
      <c r="IT61" s="10">
        <f t="shared" si="259"/>
        <v>0</v>
      </c>
      <c r="IU61" s="10">
        <f t="shared" si="260"/>
        <v>0</v>
      </c>
      <c r="IV61" s="10">
        <f t="shared" si="261"/>
        <v>0</v>
      </c>
      <c r="IW61" s="10">
        <f t="shared" si="262"/>
        <v>31.818181818181817</v>
      </c>
      <c r="IX61" s="10">
        <f t="shared" si="263"/>
        <v>0</v>
      </c>
      <c r="IY61" s="10">
        <f t="shared" si="264"/>
        <v>0</v>
      </c>
      <c r="IZ61" s="10">
        <f t="shared" si="265"/>
        <v>6.3636363636363642</v>
      </c>
      <c r="JA61" s="10">
        <f t="shared" si="266"/>
        <v>0</v>
      </c>
      <c r="JB61" s="10">
        <f t="shared" si="267"/>
        <v>0</v>
      </c>
      <c r="JC61" s="10">
        <f t="shared" si="268"/>
        <v>0</v>
      </c>
      <c r="JD61" s="10">
        <f t="shared" si="269"/>
        <v>0</v>
      </c>
      <c r="JE61" s="10">
        <f t="shared" si="270"/>
        <v>0</v>
      </c>
      <c r="JF61" s="10">
        <f t="shared" si="271"/>
        <v>0</v>
      </c>
      <c r="JG61" s="10">
        <v>0</v>
      </c>
      <c r="JH61" s="10">
        <f t="shared" si="272"/>
        <v>0</v>
      </c>
      <c r="JI61" s="10">
        <f t="shared" si="273"/>
        <v>0</v>
      </c>
      <c r="JJ61" s="10">
        <f t="shared" si="274"/>
        <v>0</v>
      </c>
      <c r="JK61" s="10">
        <f t="shared" si="275"/>
        <v>0</v>
      </c>
      <c r="JL61" s="10">
        <f t="shared" si="276"/>
        <v>0</v>
      </c>
      <c r="JM61" s="10">
        <f t="shared" si="277"/>
        <v>0</v>
      </c>
      <c r="JN61" s="10">
        <f t="shared" si="278"/>
        <v>0</v>
      </c>
      <c r="JO61" s="10">
        <f t="shared" si="279"/>
        <v>0</v>
      </c>
      <c r="JP61" s="10">
        <f t="shared" si="280"/>
        <v>0</v>
      </c>
      <c r="JQ61" s="10">
        <f t="shared" si="281"/>
        <v>0</v>
      </c>
      <c r="JR61" s="10">
        <f t="shared" si="282"/>
        <v>25.454545454545457</v>
      </c>
      <c r="JS61" s="10">
        <f t="shared" si="283"/>
        <v>0</v>
      </c>
      <c r="JT61" s="10">
        <f t="shared" si="284"/>
        <v>0</v>
      </c>
      <c r="JU61" s="10">
        <f t="shared" si="285"/>
        <v>0</v>
      </c>
      <c r="JV61" s="10">
        <f t="shared" si="286"/>
        <v>0</v>
      </c>
      <c r="JW61" s="10">
        <f t="shared" si="287"/>
        <v>12.727272727272728</v>
      </c>
      <c r="JX61" s="10">
        <f t="shared" si="288"/>
        <v>6.3636363636363642</v>
      </c>
      <c r="JY61" s="10">
        <f t="shared" si="289"/>
        <v>0</v>
      </c>
      <c r="JZ61" s="10">
        <f t="shared" si="290"/>
        <v>0</v>
      </c>
      <c r="KA61" s="10">
        <f t="shared" si="291"/>
        <v>0</v>
      </c>
      <c r="KB61" s="10">
        <f t="shared" si="292"/>
        <v>0</v>
      </c>
      <c r="KC61" s="10">
        <f t="shared" si="293"/>
        <v>25.454545454545457</v>
      </c>
      <c r="KD61" s="10">
        <f t="shared" si="294"/>
        <v>25.454545454545457</v>
      </c>
      <c r="KE61" s="10">
        <f t="shared" si="295"/>
        <v>0</v>
      </c>
      <c r="KF61" s="10">
        <f t="shared" si="296"/>
        <v>0</v>
      </c>
      <c r="KG61" s="10">
        <f t="shared" si="297"/>
        <v>0</v>
      </c>
      <c r="KH61" s="10">
        <f t="shared" si="298"/>
        <v>0</v>
      </c>
      <c r="KI61" s="10">
        <f t="shared" si="299"/>
        <v>0</v>
      </c>
      <c r="KJ61" s="10">
        <f t="shared" si="300"/>
        <v>0</v>
      </c>
      <c r="KK61" s="10">
        <f t="shared" si="301"/>
        <v>0</v>
      </c>
      <c r="KL61" s="10">
        <f t="shared" si="302"/>
        <v>6.3636363636363642</v>
      </c>
      <c r="KM61" s="10">
        <f t="shared" si="303"/>
        <v>0</v>
      </c>
      <c r="KN61" s="10">
        <f t="shared" si="304"/>
        <v>0</v>
      </c>
      <c r="KO61" s="10">
        <f t="shared" si="305"/>
        <v>0</v>
      </c>
      <c r="KP61" s="10">
        <f t="shared" si="306"/>
        <v>0</v>
      </c>
      <c r="KQ61" s="11">
        <v>560.00000000000011</v>
      </c>
      <c r="KR61" s="16"/>
      <c r="KS61" s="12">
        <v>6016.7782501551719</v>
      </c>
      <c r="KT61" s="26">
        <v>55</v>
      </c>
      <c r="KU61" s="26">
        <v>0.52727272727272723</v>
      </c>
      <c r="KV61" s="26">
        <v>1</v>
      </c>
      <c r="KW61" s="26">
        <v>-14.24</v>
      </c>
      <c r="KX61" s="26">
        <v>11.37</v>
      </c>
      <c r="KY61" s="27">
        <v>2.79</v>
      </c>
      <c r="KZ61" s="27">
        <v>3.27</v>
      </c>
      <c r="LA61" s="17"/>
      <c r="LB61" s="2">
        <v>647</v>
      </c>
      <c r="LC61" s="1">
        <v>130</v>
      </c>
      <c r="LD61" s="1">
        <v>0</v>
      </c>
      <c r="LE61" s="1">
        <v>0</v>
      </c>
      <c r="LF61" s="1">
        <v>0</v>
      </c>
      <c r="LG61" s="1">
        <v>14</v>
      </c>
      <c r="LH61" s="1">
        <v>0</v>
      </c>
      <c r="LI61" s="1">
        <v>12</v>
      </c>
      <c r="LJ61" s="1">
        <v>0</v>
      </c>
      <c r="LK61" s="1">
        <v>0</v>
      </c>
      <c r="LL61" s="1">
        <v>291</v>
      </c>
      <c r="LM61" s="1">
        <v>31</v>
      </c>
      <c r="LN61" s="1">
        <v>85</v>
      </c>
      <c r="LO61" s="1">
        <v>0</v>
      </c>
      <c r="LP61" s="1">
        <v>3</v>
      </c>
      <c r="LQ61" s="1">
        <v>1</v>
      </c>
      <c r="LR61" s="1">
        <v>0</v>
      </c>
      <c r="LS61" s="1">
        <v>0</v>
      </c>
      <c r="LT61" s="1">
        <v>24</v>
      </c>
      <c r="LU61" s="1">
        <v>0</v>
      </c>
      <c r="LV61" s="1">
        <v>0</v>
      </c>
      <c r="LW61" s="1">
        <v>0</v>
      </c>
      <c r="LX61" s="1">
        <v>0</v>
      </c>
      <c r="LY61" s="1">
        <v>47</v>
      </c>
      <c r="LZ61" s="1">
        <v>5</v>
      </c>
      <c r="MA61" s="1">
        <v>1</v>
      </c>
      <c r="MB61" s="1">
        <v>0</v>
      </c>
      <c r="MC61" s="1">
        <v>0</v>
      </c>
      <c r="MD61" s="1">
        <v>3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28"/>
      <c r="ML61" t="s">
        <v>877</v>
      </c>
      <c r="MM61" t="s">
        <v>420</v>
      </c>
      <c r="MN61" t="s">
        <v>320</v>
      </c>
      <c r="MO61" t="s">
        <v>337</v>
      </c>
      <c r="MP61" t="s">
        <v>338</v>
      </c>
      <c r="MQ61" t="s">
        <v>339</v>
      </c>
      <c r="MR61">
        <v>0.1</v>
      </c>
      <c r="MS61" t="s">
        <v>411</v>
      </c>
      <c r="MT61" t="s">
        <v>417</v>
      </c>
      <c r="MU61" t="s">
        <v>418</v>
      </c>
      <c r="MV61">
        <v>820</v>
      </c>
      <c r="MW61" s="13">
        <v>413</v>
      </c>
      <c r="MX61" s="13" t="s">
        <v>421</v>
      </c>
      <c r="MY61" t="s">
        <v>240</v>
      </c>
      <c r="MZ61" t="s">
        <v>241</v>
      </c>
      <c r="NA61" t="s">
        <v>242</v>
      </c>
      <c r="NB61" t="s">
        <v>297</v>
      </c>
      <c r="ND61" s="18">
        <v>43274</v>
      </c>
      <c r="NE61" s="19">
        <v>0.10416666666666667</v>
      </c>
      <c r="NF61" t="s">
        <v>422</v>
      </c>
      <c r="NG61" t="s">
        <v>283</v>
      </c>
      <c r="NH61" t="s">
        <v>246</v>
      </c>
      <c r="NI61">
        <v>95</v>
      </c>
      <c r="NJ61" t="s">
        <v>244</v>
      </c>
      <c r="NK61">
        <v>2</v>
      </c>
      <c r="NL61" t="s">
        <v>248</v>
      </c>
      <c r="NM61">
        <v>29.634530000000002</v>
      </c>
      <c r="NN61">
        <v>-84.917299999999997</v>
      </c>
      <c r="NO61" t="s">
        <v>248</v>
      </c>
      <c r="NP61" t="s">
        <v>330</v>
      </c>
      <c r="NQ61" t="s">
        <v>244</v>
      </c>
      <c r="NR61" t="s">
        <v>247</v>
      </c>
      <c r="NS61">
        <v>982000410609174</v>
      </c>
      <c r="NT61" t="s">
        <v>244</v>
      </c>
      <c r="NU61" t="s">
        <v>244</v>
      </c>
      <c r="NV61" t="s">
        <v>248</v>
      </c>
      <c r="NW61" t="s">
        <v>417</v>
      </c>
      <c r="NX61" t="s">
        <v>418</v>
      </c>
      <c r="NY61">
        <v>91.2</v>
      </c>
      <c r="NZ61">
        <v>91</v>
      </c>
      <c r="OA61">
        <v>84</v>
      </c>
      <c r="OB61" s="14">
        <v>6016.7782501551719</v>
      </c>
      <c r="OC61" t="s">
        <v>248</v>
      </c>
      <c r="OD61" t="s">
        <v>247</v>
      </c>
      <c r="OE61" t="s">
        <v>248</v>
      </c>
      <c r="OF61" t="s">
        <v>423</v>
      </c>
      <c r="OG61" t="s">
        <v>247</v>
      </c>
      <c r="OH61">
        <v>50</v>
      </c>
      <c r="OI61" t="s">
        <v>417</v>
      </c>
      <c r="OJ61" t="s">
        <v>424</v>
      </c>
      <c r="OK61">
        <v>55</v>
      </c>
      <c r="OL61">
        <v>0.52727272727272723</v>
      </c>
      <c r="OM61">
        <v>1</v>
      </c>
      <c r="ON61">
        <v>-14.24</v>
      </c>
      <c r="OO61">
        <v>11.37</v>
      </c>
      <c r="OP61" s="25">
        <v>2.79</v>
      </c>
      <c r="OQ61" s="25">
        <v>3.27</v>
      </c>
      <c r="OR61" t="s">
        <v>911</v>
      </c>
      <c r="OS61" t="s">
        <v>911</v>
      </c>
    </row>
    <row r="62" spans="1:409" x14ac:dyDescent="0.25">
      <c r="A62">
        <v>61</v>
      </c>
      <c r="B62" s="1">
        <v>60</v>
      </c>
      <c r="C62" s="1">
        <v>11</v>
      </c>
      <c r="D62" s="1">
        <v>0</v>
      </c>
      <c r="E62" s="1">
        <v>0</v>
      </c>
      <c r="F62" s="1">
        <v>64</v>
      </c>
      <c r="G62" s="1">
        <v>17</v>
      </c>
      <c r="H62" s="1">
        <v>0</v>
      </c>
      <c r="I62" s="1">
        <v>2</v>
      </c>
      <c r="J62" s="1">
        <v>10</v>
      </c>
      <c r="K62" s="1">
        <v>0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4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2">
        <v>169</v>
      </c>
      <c r="Y62" s="3"/>
      <c r="Z62" s="15">
        <f t="shared" si="172"/>
        <v>4.9860571144077488</v>
      </c>
      <c r="AA62" s="15">
        <f t="shared" si="173"/>
        <v>0.91411047097475395</v>
      </c>
      <c r="AB62" s="15">
        <f t="shared" si="174"/>
        <v>0</v>
      </c>
      <c r="AC62" s="15">
        <f t="shared" si="175"/>
        <v>0</v>
      </c>
      <c r="AD62" s="15">
        <f t="shared" si="176"/>
        <v>5.3184609220349319</v>
      </c>
      <c r="AE62" s="15">
        <f t="shared" si="177"/>
        <v>1.4127161824155288</v>
      </c>
      <c r="AF62" s="15">
        <f t="shared" si="178"/>
        <v>0</v>
      </c>
      <c r="AG62" s="15">
        <f t="shared" si="179"/>
        <v>0.16620190381359162</v>
      </c>
      <c r="AH62" s="15">
        <f t="shared" si="180"/>
        <v>0.83100951906795806</v>
      </c>
      <c r="AI62" s="15">
        <f t="shared" si="181"/>
        <v>0</v>
      </c>
      <c r="AJ62" s="15">
        <f t="shared" si="182"/>
        <v>8.3100951906795811E-2</v>
      </c>
      <c r="AK62" s="15">
        <f t="shared" si="183"/>
        <v>0</v>
      </c>
      <c r="AL62" s="15">
        <f t="shared" si="184"/>
        <v>0</v>
      </c>
      <c r="AM62" s="15">
        <f t="shared" si="185"/>
        <v>0</v>
      </c>
      <c r="AN62" s="15">
        <f t="shared" si="186"/>
        <v>0</v>
      </c>
      <c r="AO62" s="15">
        <f t="shared" si="187"/>
        <v>0.33240380762718325</v>
      </c>
      <c r="AP62" s="15">
        <f t="shared" si="188"/>
        <v>0</v>
      </c>
      <c r="AQ62" s="15">
        <f t="shared" si="189"/>
        <v>0</v>
      </c>
      <c r="AR62" s="15">
        <f t="shared" si="190"/>
        <v>0</v>
      </c>
      <c r="AS62" s="15">
        <f t="shared" si="191"/>
        <v>0</v>
      </c>
      <c r="AT62" s="15">
        <f t="shared" si="192"/>
        <v>0</v>
      </c>
      <c r="AU62" s="15">
        <f t="shared" si="193"/>
        <v>0</v>
      </c>
      <c r="AV62" s="5">
        <f t="shared" si="194"/>
        <v>14.044060872248492</v>
      </c>
      <c r="AW62" s="16"/>
      <c r="AX62" s="6">
        <v>3000</v>
      </c>
      <c r="AY62" s="6">
        <v>550</v>
      </c>
      <c r="AZ62" s="6">
        <v>0</v>
      </c>
      <c r="BA62" s="6">
        <v>0</v>
      </c>
      <c r="BB62" s="6">
        <v>3200</v>
      </c>
      <c r="BC62" s="6">
        <v>850</v>
      </c>
      <c r="BD62" s="6">
        <v>0</v>
      </c>
      <c r="BE62" s="6">
        <v>100</v>
      </c>
      <c r="BF62" s="6">
        <v>500</v>
      </c>
      <c r="BG62" s="6">
        <v>0</v>
      </c>
      <c r="BH62" s="6">
        <v>50</v>
      </c>
      <c r="BI62" s="6">
        <v>0</v>
      </c>
      <c r="BJ62" s="6">
        <v>0</v>
      </c>
      <c r="BK62" s="6">
        <v>0</v>
      </c>
      <c r="BL62" s="6">
        <v>0</v>
      </c>
      <c r="BM62" s="6">
        <v>200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7">
        <v>8450</v>
      </c>
      <c r="BU62" s="16"/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23</v>
      </c>
      <c r="CO62" s="8">
        <v>0</v>
      </c>
      <c r="CP62" s="8">
        <v>0</v>
      </c>
      <c r="CQ62" s="8">
        <v>0</v>
      </c>
      <c r="CR62" s="8">
        <v>2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1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1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1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8">
        <v>0</v>
      </c>
      <c r="FR62" s="8">
        <v>0</v>
      </c>
      <c r="FS62" s="8">
        <v>0</v>
      </c>
      <c r="FT62" s="8">
        <v>0</v>
      </c>
      <c r="FU62" s="8">
        <v>18</v>
      </c>
      <c r="FV62" s="8">
        <v>0</v>
      </c>
      <c r="FW62" s="8">
        <v>0</v>
      </c>
      <c r="FX62" s="8">
        <v>0</v>
      </c>
      <c r="FY62" s="8">
        <v>0</v>
      </c>
      <c r="FZ62" s="8">
        <v>1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9">
        <v>47</v>
      </c>
      <c r="GG62" s="3"/>
      <c r="GH62" s="10">
        <f t="shared" si="195"/>
        <v>0</v>
      </c>
      <c r="GI62" s="10">
        <f t="shared" si="196"/>
        <v>0</v>
      </c>
      <c r="GJ62" s="10">
        <f t="shared" si="197"/>
        <v>0</v>
      </c>
      <c r="GK62" s="10">
        <f t="shared" si="198"/>
        <v>0</v>
      </c>
      <c r="GL62" s="10">
        <f t="shared" si="199"/>
        <v>0</v>
      </c>
      <c r="GM62" s="10">
        <f t="shared" si="200"/>
        <v>0</v>
      </c>
      <c r="GN62" s="10">
        <f t="shared" si="201"/>
        <v>0</v>
      </c>
      <c r="GO62" s="10">
        <f t="shared" si="202"/>
        <v>0</v>
      </c>
      <c r="GP62" s="10">
        <f t="shared" si="203"/>
        <v>0</v>
      </c>
      <c r="GQ62" s="10">
        <f t="shared" si="204"/>
        <v>0</v>
      </c>
      <c r="GR62" s="10">
        <f t="shared" si="205"/>
        <v>0</v>
      </c>
      <c r="GS62" s="10">
        <f t="shared" si="206"/>
        <v>0</v>
      </c>
      <c r="GT62" s="10">
        <f t="shared" si="207"/>
        <v>0</v>
      </c>
      <c r="GU62" s="10">
        <f t="shared" si="208"/>
        <v>0</v>
      </c>
      <c r="GV62" s="10">
        <f t="shared" si="209"/>
        <v>0</v>
      </c>
      <c r="GW62" s="10">
        <f t="shared" si="210"/>
        <v>0</v>
      </c>
      <c r="GX62" s="10">
        <f t="shared" si="211"/>
        <v>0</v>
      </c>
      <c r="GY62" s="10">
        <f t="shared" si="212"/>
        <v>0</v>
      </c>
      <c r="GZ62" s="10">
        <f t="shared" si="213"/>
        <v>1468.0851063829787</v>
      </c>
      <c r="HA62" s="10">
        <f t="shared" si="214"/>
        <v>0</v>
      </c>
      <c r="HB62" s="10">
        <f t="shared" si="215"/>
        <v>0</v>
      </c>
      <c r="HC62" s="10">
        <f t="shared" si="216"/>
        <v>0</v>
      </c>
      <c r="HD62" s="10">
        <f t="shared" si="217"/>
        <v>127.6595744680851</v>
      </c>
      <c r="HE62" s="10">
        <f t="shared" si="218"/>
        <v>0</v>
      </c>
      <c r="HF62" s="10">
        <f t="shared" si="219"/>
        <v>0</v>
      </c>
      <c r="HG62" s="10">
        <f t="shared" si="220"/>
        <v>0</v>
      </c>
      <c r="HH62" s="10">
        <f t="shared" si="221"/>
        <v>0</v>
      </c>
      <c r="HI62" s="10">
        <f t="shared" si="222"/>
        <v>0</v>
      </c>
      <c r="HJ62" s="10">
        <f t="shared" si="223"/>
        <v>0</v>
      </c>
      <c r="HK62" s="10">
        <f t="shared" si="224"/>
        <v>0</v>
      </c>
      <c r="HL62" s="10">
        <f t="shared" si="225"/>
        <v>0</v>
      </c>
      <c r="HM62" s="10">
        <f t="shared" si="226"/>
        <v>0</v>
      </c>
      <c r="HN62" s="10">
        <f t="shared" si="227"/>
        <v>0</v>
      </c>
      <c r="HO62" s="10">
        <f t="shared" si="228"/>
        <v>0</v>
      </c>
      <c r="HP62" s="10">
        <f t="shared" si="229"/>
        <v>0</v>
      </c>
      <c r="HQ62" s="10">
        <f t="shared" si="230"/>
        <v>0</v>
      </c>
      <c r="HR62" s="10">
        <f t="shared" si="231"/>
        <v>0</v>
      </c>
      <c r="HS62" s="10">
        <f t="shared" si="232"/>
        <v>0</v>
      </c>
      <c r="HT62" s="10">
        <f t="shared" si="233"/>
        <v>0</v>
      </c>
      <c r="HU62" s="10">
        <f t="shared" si="234"/>
        <v>0</v>
      </c>
      <c r="HV62" s="10">
        <f t="shared" si="235"/>
        <v>63.829787234042549</v>
      </c>
      <c r="HW62" s="10">
        <f t="shared" si="236"/>
        <v>0</v>
      </c>
      <c r="HX62" s="10">
        <f t="shared" si="237"/>
        <v>0</v>
      </c>
      <c r="HY62" s="10">
        <f t="shared" si="238"/>
        <v>0</v>
      </c>
      <c r="HZ62" s="10">
        <f t="shared" si="239"/>
        <v>0</v>
      </c>
      <c r="IA62" s="10">
        <f t="shared" si="240"/>
        <v>0</v>
      </c>
      <c r="IB62" s="10">
        <f t="shared" si="241"/>
        <v>0</v>
      </c>
      <c r="IC62" s="10">
        <f t="shared" si="242"/>
        <v>0</v>
      </c>
      <c r="ID62" s="10">
        <f t="shared" si="243"/>
        <v>0</v>
      </c>
      <c r="IE62" s="10">
        <f t="shared" si="244"/>
        <v>0</v>
      </c>
      <c r="IF62" s="10">
        <f t="shared" si="245"/>
        <v>0</v>
      </c>
      <c r="IG62" s="10">
        <f t="shared" si="246"/>
        <v>0</v>
      </c>
      <c r="IH62" s="10">
        <f t="shared" si="247"/>
        <v>0</v>
      </c>
      <c r="II62" s="10">
        <f t="shared" si="248"/>
        <v>0</v>
      </c>
      <c r="IJ62" s="10">
        <f t="shared" si="249"/>
        <v>0</v>
      </c>
      <c r="IK62" s="10">
        <f t="shared" si="250"/>
        <v>0</v>
      </c>
      <c r="IL62" s="10">
        <f t="shared" si="251"/>
        <v>0</v>
      </c>
      <c r="IM62" s="10">
        <f t="shared" si="252"/>
        <v>0</v>
      </c>
      <c r="IN62" s="10">
        <f t="shared" si="253"/>
        <v>0</v>
      </c>
      <c r="IO62" s="10">
        <f t="shared" si="254"/>
        <v>0</v>
      </c>
      <c r="IP62" s="10">
        <f t="shared" si="255"/>
        <v>0</v>
      </c>
      <c r="IQ62" s="10">
        <f t="shared" si="256"/>
        <v>0</v>
      </c>
      <c r="IR62" s="10">
        <f t="shared" si="257"/>
        <v>0</v>
      </c>
      <c r="IS62" s="10">
        <f t="shared" si="258"/>
        <v>0</v>
      </c>
      <c r="IT62" s="10">
        <f t="shared" si="259"/>
        <v>0</v>
      </c>
      <c r="IU62" s="10">
        <f t="shared" si="260"/>
        <v>0</v>
      </c>
      <c r="IV62" s="10">
        <f t="shared" si="261"/>
        <v>0</v>
      </c>
      <c r="IW62" s="10">
        <f t="shared" si="262"/>
        <v>63.829787234042549</v>
      </c>
      <c r="IX62" s="10">
        <f t="shared" si="263"/>
        <v>0</v>
      </c>
      <c r="IY62" s="10">
        <f t="shared" si="264"/>
        <v>0</v>
      </c>
      <c r="IZ62" s="10">
        <f t="shared" si="265"/>
        <v>0</v>
      </c>
      <c r="JA62" s="10">
        <f t="shared" si="266"/>
        <v>0</v>
      </c>
      <c r="JB62" s="10">
        <f t="shared" si="267"/>
        <v>0</v>
      </c>
      <c r="JC62" s="10">
        <f t="shared" si="268"/>
        <v>0</v>
      </c>
      <c r="JD62" s="10">
        <f t="shared" si="269"/>
        <v>0</v>
      </c>
      <c r="JE62" s="10">
        <f t="shared" si="270"/>
        <v>0</v>
      </c>
      <c r="JF62" s="10">
        <f t="shared" si="271"/>
        <v>0</v>
      </c>
      <c r="JG62" s="10">
        <v>0</v>
      </c>
      <c r="JH62" s="10">
        <f t="shared" si="272"/>
        <v>0</v>
      </c>
      <c r="JI62" s="10">
        <f t="shared" si="273"/>
        <v>0</v>
      </c>
      <c r="JJ62" s="10">
        <f t="shared" si="274"/>
        <v>0</v>
      </c>
      <c r="JK62" s="10">
        <f t="shared" si="275"/>
        <v>0</v>
      </c>
      <c r="JL62" s="10">
        <f t="shared" si="276"/>
        <v>0</v>
      </c>
      <c r="JM62" s="10">
        <f t="shared" si="277"/>
        <v>0</v>
      </c>
      <c r="JN62" s="10">
        <f t="shared" si="278"/>
        <v>0</v>
      </c>
      <c r="JO62" s="10">
        <f t="shared" si="279"/>
        <v>0</v>
      </c>
      <c r="JP62" s="10">
        <f t="shared" si="280"/>
        <v>0</v>
      </c>
      <c r="JQ62" s="10">
        <f t="shared" si="281"/>
        <v>0</v>
      </c>
      <c r="JR62" s="10">
        <f t="shared" si="282"/>
        <v>0</v>
      </c>
      <c r="JS62" s="10">
        <f t="shared" si="283"/>
        <v>0</v>
      </c>
      <c r="JT62" s="10">
        <f t="shared" si="284"/>
        <v>63.829787234042549</v>
      </c>
      <c r="JU62" s="10">
        <f t="shared" si="285"/>
        <v>0</v>
      </c>
      <c r="JV62" s="10">
        <f t="shared" si="286"/>
        <v>0</v>
      </c>
      <c r="JW62" s="10">
        <f t="shared" si="287"/>
        <v>0</v>
      </c>
      <c r="JX62" s="10">
        <f t="shared" si="288"/>
        <v>0</v>
      </c>
      <c r="JY62" s="10">
        <f t="shared" si="289"/>
        <v>0</v>
      </c>
      <c r="JZ62" s="10">
        <f t="shared" si="290"/>
        <v>0</v>
      </c>
      <c r="KA62" s="10">
        <f t="shared" si="291"/>
        <v>0</v>
      </c>
      <c r="KB62" s="10">
        <f t="shared" si="292"/>
        <v>0</v>
      </c>
      <c r="KC62" s="10">
        <f t="shared" si="293"/>
        <v>0</v>
      </c>
      <c r="KD62" s="10">
        <f t="shared" si="294"/>
        <v>0</v>
      </c>
      <c r="KE62" s="10">
        <f t="shared" si="295"/>
        <v>0</v>
      </c>
      <c r="KF62" s="10">
        <f t="shared" si="296"/>
        <v>1148.936170212766</v>
      </c>
      <c r="KG62" s="10">
        <f t="shared" si="297"/>
        <v>0</v>
      </c>
      <c r="KH62" s="10">
        <f t="shared" si="298"/>
        <v>0</v>
      </c>
      <c r="KI62" s="10">
        <f t="shared" si="299"/>
        <v>0</v>
      </c>
      <c r="KJ62" s="10">
        <f t="shared" si="300"/>
        <v>0</v>
      </c>
      <c r="KK62" s="10">
        <f t="shared" si="301"/>
        <v>63.829787234042549</v>
      </c>
      <c r="KL62" s="10">
        <f t="shared" si="302"/>
        <v>0</v>
      </c>
      <c r="KM62" s="10">
        <f t="shared" si="303"/>
        <v>0</v>
      </c>
      <c r="KN62" s="10">
        <f t="shared" si="304"/>
        <v>0</v>
      </c>
      <c r="KO62" s="10">
        <f t="shared" si="305"/>
        <v>0</v>
      </c>
      <c r="KP62" s="10">
        <f t="shared" si="306"/>
        <v>0</v>
      </c>
      <c r="KQ62" s="11">
        <v>3000</v>
      </c>
      <c r="KR62" s="16"/>
      <c r="KS62" s="12">
        <v>6016.7782501551719</v>
      </c>
      <c r="KT62" s="26">
        <v>55</v>
      </c>
      <c r="KU62" s="26">
        <v>0.52727272727272723</v>
      </c>
      <c r="KV62" s="26">
        <v>1</v>
      </c>
      <c r="KW62" s="26">
        <v>-14.24</v>
      </c>
      <c r="KX62" s="26">
        <v>11.37</v>
      </c>
      <c r="KY62" s="27">
        <v>2.79</v>
      </c>
      <c r="KZ62" s="27">
        <v>3.27</v>
      </c>
      <c r="LA62" s="17"/>
      <c r="LB62" s="2">
        <v>183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54</v>
      </c>
      <c r="LM62" s="1">
        <v>7</v>
      </c>
      <c r="LN62" s="1">
        <v>100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5</v>
      </c>
      <c r="LU62" s="1">
        <v>0</v>
      </c>
      <c r="LV62" s="1">
        <v>0</v>
      </c>
      <c r="LW62" s="1">
        <v>0</v>
      </c>
      <c r="LX62" s="1">
        <v>0</v>
      </c>
      <c r="LY62" s="1">
        <v>1</v>
      </c>
      <c r="LZ62" s="1">
        <v>0</v>
      </c>
      <c r="MA62" s="1">
        <v>0</v>
      </c>
      <c r="MB62" s="1">
        <v>0</v>
      </c>
      <c r="MC62" s="1">
        <v>2</v>
      </c>
      <c r="MD62" s="1">
        <v>14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28"/>
      <c r="ML62" t="s">
        <v>878</v>
      </c>
      <c r="MM62" t="s">
        <v>425</v>
      </c>
      <c r="MN62" t="s">
        <v>320</v>
      </c>
      <c r="MO62" t="s">
        <v>321</v>
      </c>
      <c r="MP62" t="s">
        <v>322</v>
      </c>
      <c r="MQ62" t="s">
        <v>323</v>
      </c>
      <c r="MR62">
        <v>0.02</v>
      </c>
      <c r="MS62" t="s">
        <v>426</v>
      </c>
      <c r="MT62" t="s">
        <v>417</v>
      </c>
      <c r="MU62" t="s">
        <v>418</v>
      </c>
      <c r="MV62">
        <v>8450</v>
      </c>
      <c r="MW62" s="13">
        <v>413</v>
      </c>
      <c r="MX62" s="13" t="s">
        <v>421</v>
      </c>
      <c r="MY62" t="s">
        <v>240</v>
      </c>
      <c r="MZ62" t="s">
        <v>241</v>
      </c>
      <c r="NA62" t="s">
        <v>242</v>
      </c>
      <c r="NB62" t="s">
        <v>297</v>
      </c>
      <c r="ND62" s="18">
        <v>43274</v>
      </c>
      <c r="NE62" s="19">
        <v>0.10416666666666667</v>
      </c>
      <c r="NF62" t="s">
        <v>422</v>
      </c>
      <c r="NG62" t="s">
        <v>283</v>
      </c>
      <c r="NH62" t="s">
        <v>246</v>
      </c>
      <c r="NI62">
        <v>95</v>
      </c>
      <c r="NJ62" t="s">
        <v>244</v>
      </c>
      <c r="NK62">
        <v>2</v>
      </c>
      <c r="NL62" t="s">
        <v>248</v>
      </c>
      <c r="NM62">
        <v>29.634530000000002</v>
      </c>
      <c r="NN62">
        <v>-84.917299999999997</v>
      </c>
      <c r="NO62" t="s">
        <v>248</v>
      </c>
      <c r="NP62" t="s">
        <v>330</v>
      </c>
      <c r="NQ62" t="s">
        <v>244</v>
      </c>
      <c r="NR62" t="s">
        <v>247</v>
      </c>
      <c r="NS62">
        <v>982000410609174</v>
      </c>
      <c r="NT62" t="s">
        <v>244</v>
      </c>
      <c r="NU62" t="s">
        <v>244</v>
      </c>
      <c r="NV62" t="s">
        <v>248</v>
      </c>
      <c r="NW62" t="s">
        <v>417</v>
      </c>
      <c r="NX62" t="s">
        <v>418</v>
      </c>
      <c r="NY62">
        <v>91.2</v>
      </c>
      <c r="NZ62">
        <v>91</v>
      </c>
      <c r="OA62">
        <v>84</v>
      </c>
      <c r="OB62" s="14">
        <v>6016.7782501551719</v>
      </c>
      <c r="OC62" t="s">
        <v>248</v>
      </c>
      <c r="OD62" t="s">
        <v>247</v>
      </c>
      <c r="OE62" t="s">
        <v>248</v>
      </c>
      <c r="OF62" t="s">
        <v>423</v>
      </c>
      <c r="OG62" t="s">
        <v>247</v>
      </c>
      <c r="OH62">
        <v>52</v>
      </c>
      <c r="OI62" t="s">
        <v>417</v>
      </c>
      <c r="OJ62" t="s">
        <v>424</v>
      </c>
      <c r="OK62">
        <v>55</v>
      </c>
      <c r="OL62">
        <v>0.52727272727272723</v>
      </c>
      <c r="OM62">
        <v>1</v>
      </c>
      <c r="ON62">
        <v>-14.24</v>
      </c>
      <c r="OO62">
        <v>11.37</v>
      </c>
      <c r="OP62" s="25">
        <v>2.79</v>
      </c>
      <c r="OQ62" s="25">
        <v>3.27</v>
      </c>
      <c r="OR62" t="s">
        <v>911</v>
      </c>
      <c r="OS62" t="s">
        <v>911</v>
      </c>
    </row>
    <row r="63" spans="1:409" x14ac:dyDescent="0.25">
      <c r="A63">
        <v>62</v>
      </c>
      <c r="B63" s="1">
        <v>25</v>
      </c>
      <c r="C63" s="1">
        <v>25</v>
      </c>
      <c r="D63" s="1">
        <v>0</v>
      </c>
      <c r="E63" s="1">
        <v>0</v>
      </c>
      <c r="F63" s="1">
        <v>102</v>
      </c>
      <c r="G63" s="1">
        <v>10</v>
      </c>
      <c r="H63" s="1">
        <v>1</v>
      </c>
      <c r="I63" s="1">
        <v>0</v>
      </c>
      <c r="J63" s="1">
        <v>13</v>
      </c>
      <c r="K63" s="1">
        <v>0</v>
      </c>
      <c r="L63" s="1">
        <v>3866</v>
      </c>
      <c r="M63" s="1">
        <v>0</v>
      </c>
      <c r="N63" s="1">
        <v>2</v>
      </c>
      <c r="O63" s="1">
        <v>0</v>
      </c>
      <c r="P63" s="1">
        <v>0</v>
      </c>
      <c r="Q63" s="1">
        <v>8</v>
      </c>
      <c r="R63" s="1">
        <v>0</v>
      </c>
      <c r="S63" s="1">
        <v>0</v>
      </c>
      <c r="T63" s="1">
        <v>0</v>
      </c>
      <c r="U63" s="1">
        <v>5</v>
      </c>
      <c r="V63" s="1">
        <v>0</v>
      </c>
      <c r="W63" s="1">
        <v>0</v>
      </c>
      <c r="X63" s="2">
        <v>4057</v>
      </c>
      <c r="Y63" s="3"/>
      <c r="Z63" s="15">
        <f t="shared" si="172"/>
        <v>0.41550475953397903</v>
      </c>
      <c r="AA63" s="15">
        <f t="shared" si="173"/>
        <v>0.41550475953397903</v>
      </c>
      <c r="AB63" s="15">
        <f t="shared" si="174"/>
        <v>0</v>
      </c>
      <c r="AC63" s="15">
        <f t="shared" si="175"/>
        <v>0</v>
      </c>
      <c r="AD63" s="15">
        <f t="shared" si="176"/>
        <v>1.6952594188986345</v>
      </c>
      <c r="AE63" s="15">
        <f t="shared" si="177"/>
        <v>0.16620190381359162</v>
      </c>
      <c r="AF63" s="15">
        <f t="shared" si="178"/>
        <v>1.6620190381359159E-2</v>
      </c>
      <c r="AG63" s="15">
        <f t="shared" si="179"/>
        <v>0</v>
      </c>
      <c r="AH63" s="15">
        <f t="shared" si="180"/>
        <v>0.21606247495766912</v>
      </c>
      <c r="AI63" s="15">
        <f t="shared" si="181"/>
        <v>0</v>
      </c>
      <c r="AJ63" s="15">
        <f t="shared" si="182"/>
        <v>64.253656014334524</v>
      </c>
      <c r="AK63" s="15">
        <f t="shared" si="183"/>
        <v>0</v>
      </c>
      <c r="AL63" s="15">
        <f t="shared" si="184"/>
        <v>3.3240380762718319E-2</v>
      </c>
      <c r="AM63" s="15">
        <f t="shared" si="185"/>
        <v>0</v>
      </c>
      <c r="AN63" s="15">
        <f t="shared" si="186"/>
        <v>0</v>
      </c>
      <c r="AO63" s="15">
        <f t="shared" si="187"/>
        <v>0.13296152305087328</v>
      </c>
      <c r="AP63" s="15">
        <f t="shared" si="188"/>
        <v>0</v>
      </c>
      <c r="AQ63" s="15">
        <f t="shared" si="189"/>
        <v>0</v>
      </c>
      <c r="AR63" s="15">
        <f t="shared" si="190"/>
        <v>0</v>
      </c>
      <c r="AS63" s="15">
        <f t="shared" si="191"/>
        <v>8.3100951906795811E-2</v>
      </c>
      <c r="AT63" s="15">
        <f t="shared" si="192"/>
        <v>0</v>
      </c>
      <c r="AU63" s="15">
        <f t="shared" si="193"/>
        <v>0</v>
      </c>
      <c r="AV63" s="5">
        <f t="shared" si="194"/>
        <v>67.428112377174131</v>
      </c>
      <c r="AW63" s="16"/>
      <c r="AX63" s="6">
        <v>250</v>
      </c>
      <c r="AY63" s="6">
        <v>250</v>
      </c>
      <c r="AZ63" s="6">
        <v>0</v>
      </c>
      <c r="BA63" s="6">
        <v>0</v>
      </c>
      <c r="BB63" s="6">
        <v>1020</v>
      </c>
      <c r="BC63" s="6">
        <v>100</v>
      </c>
      <c r="BD63" s="6">
        <v>10</v>
      </c>
      <c r="BE63" s="6">
        <v>0</v>
      </c>
      <c r="BF63" s="6">
        <v>130</v>
      </c>
      <c r="BG63" s="6">
        <v>0</v>
      </c>
      <c r="BH63" s="6">
        <v>38660</v>
      </c>
      <c r="BI63" s="6">
        <v>0</v>
      </c>
      <c r="BJ63" s="6">
        <v>20</v>
      </c>
      <c r="BK63" s="6">
        <v>0</v>
      </c>
      <c r="BL63" s="6">
        <v>0</v>
      </c>
      <c r="BM63" s="6">
        <v>80</v>
      </c>
      <c r="BN63" s="6">
        <v>0</v>
      </c>
      <c r="BO63" s="6">
        <v>0</v>
      </c>
      <c r="BP63" s="6">
        <v>0</v>
      </c>
      <c r="BQ63" s="6">
        <v>50</v>
      </c>
      <c r="BR63" s="6">
        <v>0</v>
      </c>
      <c r="BS63" s="6">
        <v>0</v>
      </c>
      <c r="BT63" s="7">
        <v>40570</v>
      </c>
      <c r="BU63" s="16"/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22</v>
      </c>
      <c r="CO63" s="8">
        <v>0</v>
      </c>
      <c r="CP63" s="8">
        <v>0</v>
      </c>
      <c r="CQ63" s="8">
        <v>0</v>
      </c>
      <c r="CR63" s="8">
        <v>1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1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0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9">
        <v>24</v>
      </c>
      <c r="GG63" s="3"/>
      <c r="GH63" s="10">
        <f t="shared" si="195"/>
        <v>0</v>
      </c>
      <c r="GI63" s="10">
        <f t="shared" si="196"/>
        <v>0</v>
      </c>
      <c r="GJ63" s="10">
        <f t="shared" si="197"/>
        <v>0</v>
      </c>
      <c r="GK63" s="10">
        <f t="shared" si="198"/>
        <v>0</v>
      </c>
      <c r="GL63" s="10">
        <f t="shared" si="199"/>
        <v>0</v>
      </c>
      <c r="GM63" s="10">
        <f t="shared" si="200"/>
        <v>0</v>
      </c>
      <c r="GN63" s="10">
        <f t="shared" si="201"/>
        <v>0</v>
      </c>
      <c r="GO63" s="10">
        <f t="shared" si="202"/>
        <v>0</v>
      </c>
      <c r="GP63" s="10">
        <f t="shared" si="203"/>
        <v>0</v>
      </c>
      <c r="GQ63" s="10">
        <f t="shared" si="204"/>
        <v>0</v>
      </c>
      <c r="GR63" s="10">
        <f t="shared" si="205"/>
        <v>0</v>
      </c>
      <c r="GS63" s="10">
        <f t="shared" si="206"/>
        <v>0</v>
      </c>
      <c r="GT63" s="10">
        <f t="shared" si="207"/>
        <v>0</v>
      </c>
      <c r="GU63" s="10">
        <f t="shared" si="208"/>
        <v>0</v>
      </c>
      <c r="GV63" s="10">
        <f t="shared" si="209"/>
        <v>0</v>
      </c>
      <c r="GW63" s="10">
        <f t="shared" si="210"/>
        <v>0</v>
      </c>
      <c r="GX63" s="10">
        <f t="shared" si="211"/>
        <v>0</v>
      </c>
      <c r="GY63" s="10">
        <f t="shared" si="212"/>
        <v>0</v>
      </c>
      <c r="GZ63" s="10">
        <f t="shared" si="213"/>
        <v>229.16666666666666</v>
      </c>
      <c r="HA63" s="10">
        <f t="shared" si="214"/>
        <v>0</v>
      </c>
      <c r="HB63" s="10">
        <f t="shared" si="215"/>
        <v>0</v>
      </c>
      <c r="HC63" s="10">
        <f t="shared" si="216"/>
        <v>0</v>
      </c>
      <c r="HD63" s="10">
        <f t="shared" si="217"/>
        <v>10.416666666666666</v>
      </c>
      <c r="HE63" s="10">
        <f t="shared" si="218"/>
        <v>0</v>
      </c>
      <c r="HF63" s="10">
        <f t="shared" si="219"/>
        <v>0</v>
      </c>
      <c r="HG63" s="10">
        <f t="shared" si="220"/>
        <v>0</v>
      </c>
      <c r="HH63" s="10">
        <f t="shared" si="221"/>
        <v>0</v>
      </c>
      <c r="HI63" s="10">
        <f t="shared" si="222"/>
        <v>0</v>
      </c>
      <c r="HJ63" s="10">
        <f t="shared" si="223"/>
        <v>0</v>
      </c>
      <c r="HK63" s="10">
        <f t="shared" si="224"/>
        <v>10.416666666666666</v>
      </c>
      <c r="HL63" s="10">
        <f t="shared" si="225"/>
        <v>0</v>
      </c>
      <c r="HM63" s="10">
        <f t="shared" si="226"/>
        <v>0</v>
      </c>
      <c r="HN63" s="10">
        <f t="shared" si="227"/>
        <v>0</v>
      </c>
      <c r="HO63" s="10">
        <f t="shared" si="228"/>
        <v>0</v>
      </c>
      <c r="HP63" s="10">
        <f t="shared" si="229"/>
        <v>0</v>
      </c>
      <c r="HQ63" s="10">
        <f t="shared" si="230"/>
        <v>0</v>
      </c>
      <c r="HR63" s="10">
        <f t="shared" si="231"/>
        <v>0</v>
      </c>
      <c r="HS63" s="10">
        <f t="shared" si="232"/>
        <v>0</v>
      </c>
      <c r="HT63" s="10">
        <f t="shared" si="233"/>
        <v>0</v>
      </c>
      <c r="HU63" s="10">
        <f t="shared" si="234"/>
        <v>0</v>
      </c>
      <c r="HV63" s="10">
        <f t="shared" si="235"/>
        <v>0</v>
      </c>
      <c r="HW63" s="10">
        <f t="shared" si="236"/>
        <v>0</v>
      </c>
      <c r="HX63" s="10">
        <f t="shared" si="237"/>
        <v>0</v>
      </c>
      <c r="HY63" s="10">
        <f t="shared" si="238"/>
        <v>0</v>
      </c>
      <c r="HZ63" s="10">
        <f t="shared" si="239"/>
        <v>0</v>
      </c>
      <c r="IA63" s="10">
        <f t="shared" si="240"/>
        <v>0</v>
      </c>
      <c r="IB63" s="10">
        <f t="shared" si="241"/>
        <v>0</v>
      </c>
      <c r="IC63" s="10">
        <f t="shared" si="242"/>
        <v>0</v>
      </c>
      <c r="ID63" s="10">
        <f t="shared" si="243"/>
        <v>0</v>
      </c>
      <c r="IE63" s="10">
        <f t="shared" si="244"/>
        <v>0</v>
      </c>
      <c r="IF63" s="10">
        <f t="shared" si="245"/>
        <v>0</v>
      </c>
      <c r="IG63" s="10">
        <f t="shared" si="246"/>
        <v>0</v>
      </c>
      <c r="IH63" s="10">
        <f t="shared" si="247"/>
        <v>0</v>
      </c>
      <c r="II63" s="10">
        <f t="shared" si="248"/>
        <v>0</v>
      </c>
      <c r="IJ63" s="10">
        <f t="shared" si="249"/>
        <v>0</v>
      </c>
      <c r="IK63" s="10">
        <f t="shared" si="250"/>
        <v>0</v>
      </c>
      <c r="IL63" s="10">
        <f t="shared" si="251"/>
        <v>0</v>
      </c>
      <c r="IM63" s="10">
        <f t="shared" si="252"/>
        <v>0</v>
      </c>
      <c r="IN63" s="10">
        <f t="shared" si="253"/>
        <v>0</v>
      </c>
      <c r="IO63" s="10">
        <f t="shared" si="254"/>
        <v>0</v>
      </c>
      <c r="IP63" s="10">
        <f t="shared" si="255"/>
        <v>0</v>
      </c>
      <c r="IQ63" s="10">
        <f t="shared" si="256"/>
        <v>0</v>
      </c>
      <c r="IR63" s="10">
        <f t="shared" si="257"/>
        <v>0</v>
      </c>
      <c r="IS63" s="10">
        <f t="shared" si="258"/>
        <v>0</v>
      </c>
      <c r="IT63" s="10">
        <f t="shared" si="259"/>
        <v>0</v>
      </c>
      <c r="IU63" s="10">
        <f t="shared" si="260"/>
        <v>0</v>
      </c>
      <c r="IV63" s="10">
        <f t="shared" si="261"/>
        <v>0</v>
      </c>
      <c r="IW63" s="10">
        <f t="shared" si="262"/>
        <v>0</v>
      </c>
      <c r="IX63" s="10">
        <f t="shared" si="263"/>
        <v>0</v>
      </c>
      <c r="IY63" s="10">
        <f t="shared" si="264"/>
        <v>0</v>
      </c>
      <c r="IZ63" s="10">
        <f t="shared" si="265"/>
        <v>0</v>
      </c>
      <c r="JA63" s="10">
        <f t="shared" si="266"/>
        <v>0</v>
      </c>
      <c r="JB63" s="10">
        <f t="shared" si="267"/>
        <v>0</v>
      </c>
      <c r="JC63" s="10">
        <f t="shared" si="268"/>
        <v>0</v>
      </c>
      <c r="JD63" s="10">
        <f t="shared" si="269"/>
        <v>0</v>
      </c>
      <c r="JE63" s="10">
        <f t="shared" si="270"/>
        <v>0</v>
      </c>
      <c r="JF63" s="10">
        <f t="shared" si="271"/>
        <v>0</v>
      </c>
      <c r="JG63" s="10">
        <v>0</v>
      </c>
      <c r="JH63" s="10">
        <f t="shared" si="272"/>
        <v>0</v>
      </c>
      <c r="JI63" s="10">
        <f t="shared" si="273"/>
        <v>0</v>
      </c>
      <c r="JJ63" s="10">
        <f t="shared" si="274"/>
        <v>0</v>
      </c>
      <c r="JK63" s="10">
        <f t="shared" si="275"/>
        <v>0</v>
      </c>
      <c r="JL63" s="10">
        <f t="shared" si="276"/>
        <v>0</v>
      </c>
      <c r="JM63" s="10">
        <f t="shared" si="277"/>
        <v>0</v>
      </c>
      <c r="JN63" s="10">
        <f t="shared" si="278"/>
        <v>0</v>
      </c>
      <c r="JO63" s="10">
        <f t="shared" si="279"/>
        <v>0</v>
      </c>
      <c r="JP63" s="10">
        <f t="shared" si="280"/>
        <v>0</v>
      </c>
      <c r="JQ63" s="10">
        <f t="shared" si="281"/>
        <v>0</v>
      </c>
      <c r="JR63" s="10">
        <f t="shared" si="282"/>
        <v>0</v>
      </c>
      <c r="JS63" s="10">
        <f t="shared" si="283"/>
        <v>0</v>
      </c>
      <c r="JT63" s="10">
        <f t="shared" si="284"/>
        <v>0</v>
      </c>
      <c r="JU63" s="10">
        <f t="shared" si="285"/>
        <v>0</v>
      </c>
      <c r="JV63" s="10">
        <f t="shared" si="286"/>
        <v>0</v>
      </c>
      <c r="JW63" s="10">
        <f t="shared" si="287"/>
        <v>0</v>
      </c>
      <c r="JX63" s="10">
        <f t="shared" si="288"/>
        <v>0</v>
      </c>
      <c r="JY63" s="10">
        <f t="shared" si="289"/>
        <v>0</v>
      </c>
      <c r="JZ63" s="10">
        <f t="shared" si="290"/>
        <v>0</v>
      </c>
      <c r="KA63" s="10">
        <f t="shared" si="291"/>
        <v>0</v>
      </c>
      <c r="KB63" s="10">
        <f t="shared" si="292"/>
        <v>0</v>
      </c>
      <c r="KC63" s="10">
        <f t="shared" si="293"/>
        <v>0</v>
      </c>
      <c r="KD63" s="10">
        <f t="shared" si="294"/>
        <v>0</v>
      </c>
      <c r="KE63" s="10">
        <f t="shared" si="295"/>
        <v>0</v>
      </c>
      <c r="KF63" s="10">
        <f t="shared" si="296"/>
        <v>0</v>
      </c>
      <c r="KG63" s="10">
        <f t="shared" si="297"/>
        <v>0</v>
      </c>
      <c r="KH63" s="10">
        <f t="shared" si="298"/>
        <v>0</v>
      </c>
      <c r="KI63" s="10">
        <f t="shared" si="299"/>
        <v>0</v>
      </c>
      <c r="KJ63" s="10">
        <f t="shared" si="300"/>
        <v>0</v>
      </c>
      <c r="KK63" s="10">
        <f t="shared" si="301"/>
        <v>0</v>
      </c>
      <c r="KL63" s="10">
        <f t="shared" si="302"/>
        <v>0</v>
      </c>
      <c r="KM63" s="10">
        <f t="shared" si="303"/>
        <v>0</v>
      </c>
      <c r="KN63" s="10">
        <f t="shared" si="304"/>
        <v>0</v>
      </c>
      <c r="KO63" s="10">
        <f t="shared" si="305"/>
        <v>0</v>
      </c>
      <c r="KP63" s="10">
        <f t="shared" si="306"/>
        <v>0</v>
      </c>
      <c r="KQ63" s="11">
        <v>249.99999999999997</v>
      </c>
      <c r="KR63" s="16"/>
      <c r="KS63" s="12">
        <v>6016.7782501551719</v>
      </c>
      <c r="KT63" s="26">
        <v>55</v>
      </c>
      <c r="KU63" s="26">
        <v>0.52727272727272723</v>
      </c>
      <c r="KV63" s="26">
        <v>1</v>
      </c>
      <c r="KW63" s="26">
        <v>-14.24</v>
      </c>
      <c r="KX63" s="26">
        <v>11.37</v>
      </c>
      <c r="KY63" s="27">
        <v>2.79</v>
      </c>
      <c r="KZ63" s="27">
        <v>3.27</v>
      </c>
      <c r="LA63" s="17"/>
      <c r="LB63" s="2">
        <v>68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30</v>
      </c>
      <c r="LM63" s="1">
        <v>3</v>
      </c>
      <c r="LN63" s="1">
        <v>19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13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3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28"/>
      <c r="ML63" t="s">
        <v>879</v>
      </c>
      <c r="MM63" t="s">
        <v>420</v>
      </c>
      <c r="MN63" t="s">
        <v>320</v>
      </c>
      <c r="MO63" t="s">
        <v>334</v>
      </c>
      <c r="MP63" t="s">
        <v>335</v>
      </c>
      <c r="MQ63" t="s">
        <v>336</v>
      </c>
      <c r="MR63">
        <v>0.1</v>
      </c>
      <c r="MS63" t="s">
        <v>426</v>
      </c>
      <c r="MT63" t="s">
        <v>417</v>
      </c>
      <c r="MU63" t="s">
        <v>418</v>
      </c>
      <c r="MV63">
        <v>40570</v>
      </c>
      <c r="MW63" s="13">
        <v>413</v>
      </c>
      <c r="MX63" s="13" t="s">
        <v>421</v>
      </c>
      <c r="MY63" t="s">
        <v>240</v>
      </c>
      <c r="MZ63" t="s">
        <v>241</v>
      </c>
      <c r="NA63" t="s">
        <v>242</v>
      </c>
      <c r="NB63" t="s">
        <v>297</v>
      </c>
      <c r="ND63" s="18">
        <v>43274</v>
      </c>
      <c r="NE63" s="19">
        <v>0.10416666666666667</v>
      </c>
      <c r="NF63" t="s">
        <v>422</v>
      </c>
      <c r="NG63" t="s">
        <v>283</v>
      </c>
      <c r="NH63" t="s">
        <v>246</v>
      </c>
      <c r="NI63">
        <v>95</v>
      </c>
      <c r="NJ63" t="s">
        <v>244</v>
      </c>
      <c r="NK63">
        <v>2</v>
      </c>
      <c r="NL63" t="s">
        <v>248</v>
      </c>
      <c r="NM63">
        <v>29.634530000000002</v>
      </c>
      <c r="NN63">
        <v>-84.917299999999997</v>
      </c>
      <c r="NO63" t="s">
        <v>248</v>
      </c>
      <c r="NP63" t="s">
        <v>330</v>
      </c>
      <c r="NQ63" t="s">
        <v>244</v>
      </c>
      <c r="NR63" t="s">
        <v>247</v>
      </c>
      <c r="NS63">
        <v>982000410609174</v>
      </c>
      <c r="NT63" t="s">
        <v>244</v>
      </c>
      <c r="NU63" t="s">
        <v>244</v>
      </c>
      <c r="NV63" t="s">
        <v>248</v>
      </c>
      <c r="NW63" t="s">
        <v>417</v>
      </c>
      <c r="NX63" t="s">
        <v>418</v>
      </c>
      <c r="NY63">
        <v>91.2</v>
      </c>
      <c r="NZ63">
        <v>91</v>
      </c>
      <c r="OA63">
        <v>84</v>
      </c>
      <c r="OB63" s="14">
        <v>6016.7782501551719</v>
      </c>
      <c r="OC63" t="s">
        <v>248</v>
      </c>
      <c r="OD63" t="s">
        <v>247</v>
      </c>
      <c r="OE63" t="s">
        <v>248</v>
      </c>
      <c r="OF63" t="s">
        <v>423</v>
      </c>
      <c r="OG63" t="s">
        <v>247</v>
      </c>
      <c r="OH63">
        <v>51</v>
      </c>
      <c r="OI63" t="s">
        <v>417</v>
      </c>
      <c r="OJ63" t="s">
        <v>424</v>
      </c>
      <c r="OK63">
        <v>55</v>
      </c>
      <c r="OL63">
        <v>0.52727272727272723</v>
      </c>
      <c r="OM63">
        <v>1</v>
      </c>
      <c r="ON63">
        <v>-14.24</v>
      </c>
      <c r="OO63">
        <v>11.37</v>
      </c>
      <c r="OP63" s="25">
        <v>2.79</v>
      </c>
      <c r="OQ63" s="25">
        <v>3.27</v>
      </c>
      <c r="OR63" t="s">
        <v>911</v>
      </c>
      <c r="OS63" t="s">
        <v>911</v>
      </c>
    </row>
    <row r="64" spans="1:409" x14ac:dyDescent="0.25">
      <c r="A64">
        <v>63</v>
      </c>
      <c r="B64" s="1">
        <v>197</v>
      </c>
      <c r="C64" s="1">
        <v>37</v>
      </c>
      <c r="D64" s="1">
        <v>0</v>
      </c>
      <c r="E64" s="1">
        <v>0</v>
      </c>
      <c r="F64" s="1">
        <v>37</v>
      </c>
      <c r="G64" s="1">
        <v>7</v>
      </c>
      <c r="H64" s="1">
        <v>0</v>
      </c>
      <c r="I64" s="1">
        <v>5</v>
      </c>
      <c r="J64" s="1">
        <v>57</v>
      </c>
      <c r="K64" s="1">
        <v>8</v>
      </c>
      <c r="L64" s="1">
        <v>1512</v>
      </c>
      <c r="M64" s="1">
        <v>0</v>
      </c>
      <c r="N64" s="1">
        <v>0</v>
      </c>
      <c r="O64" s="1">
        <v>0</v>
      </c>
      <c r="P64" s="1">
        <v>0</v>
      </c>
      <c r="Q64" s="1">
        <v>42</v>
      </c>
      <c r="R64" s="1">
        <v>0</v>
      </c>
      <c r="S64" s="1">
        <v>0</v>
      </c>
      <c r="T64" s="1">
        <v>0</v>
      </c>
      <c r="U64" s="1">
        <v>25</v>
      </c>
      <c r="V64" s="1">
        <v>0</v>
      </c>
      <c r="W64" s="1">
        <v>0</v>
      </c>
      <c r="X64" s="2">
        <v>1927</v>
      </c>
      <c r="Y64" s="3"/>
      <c r="Z64" s="15">
        <f t="shared" si="172"/>
        <v>16.370887525638775</v>
      </c>
      <c r="AA64" s="15">
        <f t="shared" si="173"/>
        <v>3.0747352205514451</v>
      </c>
      <c r="AB64" s="15">
        <f t="shared" si="174"/>
        <v>0</v>
      </c>
      <c r="AC64" s="15">
        <f t="shared" si="175"/>
        <v>0</v>
      </c>
      <c r="AD64" s="15">
        <f t="shared" si="176"/>
        <v>3.0747352205514451</v>
      </c>
      <c r="AE64" s="15">
        <f t="shared" si="177"/>
        <v>0.58170666334757071</v>
      </c>
      <c r="AF64" s="15">
        <f t="shared" si="178"/>
        <v>0</v>
      </c>
      <c r="AG64" s="15">
        <f t="shared" si="179"/>
        <v>0.41550475953397903</v>
      </c>
      <c r="AH64" s="15">
        <f t="shared" si="180"/>
        <v>4.7367542586873608</v>
      </c>
      <c r="AI64" s="15">
        <f t="shared" si="181"/>
        <v>0.66480761525436649</v>
      </c>
      <c r="AJ64" s="15">
        <f t="shared" si="182"/>
        <v>125.64863928307525</v>
      </c>
      <c r="AK64" s="15">
        <f t="shared" si="183"/>
        <v>0</v>
      </c>
      <c r="AL64" s="15">
        <f t="shared" si="184"/>
        <v>0</v>
      </c>
      <c r="AM64" s="15">
        <f t="shared" si="185"/>
        <v>0</v>
      </c>
      <c r="AN64" s="15">
        <f t="shared" si="186"/>
        <v>0</v>
      </c>
      <c r="AO64" s="15">
        <f t="shared" si="187"/>
        <v>3.4902399800854238</v>
      </c>
      <c r="AP64" s="15">
        <f t="shared" si="188"/>
        <v>0</v>
      </c>
      <c r="AQ64" s="15">
        <f t="shared" si="189"/>
        <v>0</v>
      </c>
      <c r="AR64" s="15">
        <f t="shared" si="190"/>
        <v>0</v>
      </c>
      <c r="AS64" s="15">
        <f t="shared" si="191"/>
        <v>2.0775237976698953</v>
      </c>
      <c r="AT64" s="15">
        <f t="shared" si="192"/>
        <v>0</v>
      </c>
      <c r="AU64" s="15">
        <f t="shared" si="193"/>
        <v>0</v>
      </c>
      <c r="AV64" s="5">
        <f t="shared" si="194"/>
        <v>160.13553432439554</v>
      </c>
      <c r="AW64" s="16"/>
      <c r="AX64" s="6">
        <v>9850</v>
      </c>
      <c r="AY64" s="6">
        <v>1850</v>
      </c>
      <c r="AZ64" s="6">
        <v>0</v>
      </c>
      <c r="BA64" s="6">
        <v>0</v>
      </c>
      <c r="BB64" s="6">
        <v>1850</v>
      </c>
      <c r="BC64" s="6">
        <v>350</v>
      </c>
      <c r="BD64" s="6">
        <v>0</v>
      </c>
      <c r="BE64" s="6">
        <v>250</v>
      </c>
      <c r="BF64" s="6">
        <v>2850</v>
      </c>
      <c r="BG64" s="6">
        <v>400</v>
      </c>
      <c r="BH64" s="6">
        <v>75600</v>
      </c>
      <c r="BI64" s="6">
        <v>0</v>
      </c>
      <c r="BJ64" s="6">
        <v>0</v>
      </c>
      <c r="BK64" s="6">
        <v>0</v>
      </c>
      <c r="BL64" s="6">
        <v>0</v>
      </c>
      <c r="BM64" s="6">
        <v>2100</v>
      </c>
      <c r="BN64" s="6">
        <v>0</v>
      </c>
      <c r="BO64" s="6">
        <v>0</v>
      </c>
      <c r="BP64" s="6">
        <v>0</v>
      </c>
      <c r="BQ64" s="6">
        <v>1250</v>
      </c>
      <c r="BR64" s="6">
        <v>0</v>
      </c>
      <c r="BS64" s="6">
        <v>0</v>
      </c>
      <c r="BT64" s="7">
        <v>96350</v>
      </c>
      <c r="BU64" s="16"/>
      <c r="BV64" s="8">
        <v>0</v>
      </c>
      <c r="BW64" s="8">
        <v>9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5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60</v>
      </c>
      <c r="CO64" s="8">
        <v>0</v>
      </c>
      <c r="CP64" s="8">
        <v>0</v>
      </c>
      <c r="CQ64" s="8">
        <v>0</v>
      </c>
      <c r="CR64" s="8">
        <v>6</v>
      </c>
      <c r="CS64" s="8">
        <v>0</v>
      </c>
      <c r="CT64" s="8">
        <v>1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1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1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7</v>
      </c>
      <c r="EL64" s="8">
        <v>1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1</v>
      </c>
      <c r="FD64" s="8">
        <v>0</v>
      </c>
      <c r="FE64" s="8">
        <v>0</v>
      </c>
      <c r="FF64" s="8">
        <v>0</v>
      </c>
      <c r="FG64" s="8">
        <v>2</v>
      </c>
      <c r="FH64" s="8">
        <v>0</v>
      </c>
      <c r="FI64" s="8">
        <v>1</v>
      </c>
      <c r="FJ64" s="8">
        <v>0</v>
      </c>
      <c r="FK64" s="8">
        <v>0</v>
      </c>
      <c r="FL64" s="8">
        <v>0</v>
      </c>
      <c r="FM64" s="8">
        <v>3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1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9">
        <v>99</v>
      </c>
      <c r="GG64" s="3"/>
      <c r="GH64" s="10">
        <f t="shared" si="195"/>
        <v>0</v>
      </c>
      <c r="GI64" s="10">
        <f t="shared" si="196"/>
        <v>895.4545454545455</v>
      </c>
      <c r="GJ64" s="10">
        <f t="shared" si="197"/>
        <v>0</v>
      </c>
      <c r="GK64" s="10">
        <f t="shared" si="198"/>
        <v>0</v>
      </c>
      <c r="GL64" s="10">
        <f t="shared" si="199"/>
        <v>0</v>
      </c>
      <c r="GM64" s="10">
        <f t="shared" si="200"/>
        <v>0</v>
      </c>
      <c r="GN64" s="10">
        <f t="shared" si="201"/>
        <v>0</v>
      </c>
      <c r="GO64" s="10">
        <f t="shared" si="202"/>
        <v>0</v>
      </c>
      <c r="GP64" s="10">
        <f t="shared" si="203"/>
        <v>0</v>
      </c>
      <c r="GQ64" s="10">
        <f t="shared" si="204"/>
        <v>0</v>
      </c>
      <c r="GR64" s="10">
        <f t="shared" si="205"/>
        <v>497.47474747474746</v>
      </c>
      <c r="GS64" s="10">
        <f t="shared" si="206"/>
        <v>0</v>
      </c>
      <c r="GT64" s="10">
        <f t="shared" si="207"/>
        <v>0</v>
      </c>
      <c r="GU64" s="10">
        <f t="shared" si="208"/>
        <v>0</v>
      </c>
      <c r="GV64" s="10">
        <f t="shared" si="209"/>
        <v>0</v>
      </c>
      <c r="GW64" s="10">
        <f t="shared" si="210"/>
        <v>0</v>
      </c>
      <c r="GX64" s="10">
        <f t="shared" si="211"/>
        <v>0</v>
      </c>
      <c r="GY64" s="10">
        <f t="shared" si="212"/>
        <v>0</v>
      </c>
      <c r="GZ64" s="10">
        <f t="shared" si="213"/>
        <v>5969.69696969697</v>
      </c>
      <c r="HA64" s="10">
        <f t="shared" si="214"/>
        <v>0</v>
      </c>
      <c r="HB64" s="10">
        <f t="shared" si="215"/>
        <v>0</v>
      </c>
      <c r="HC64" s="10">
        <f t="shared" si="216"/>
        <v>0</v>
      </c>
      <c r="HD64" s="10">
        <f t="shared" si="217"/>
        <v>596.969696969697</v>
      </c>
      <c r="HE64" s="10">
        <f t="shared" si="218"/>
        <v>0</v>
      </c>
      <c r="HF64" s="10">
        <f t="shared" si="219"/>
        <v>99.494949494949509</v>
      </c>
      <c r="HG64" s="10">
        <f t="shared" si="220"/>
        <v>0</v>
      </c>
      <c r="HH64" s="10">
        <f t="shared" si="221"/>
        <v>0</v>
      </c>
      <c r="HI64" s="10">
        <f t="shared" si="222"/>
        <v>0</v>
      </c>
      <c r="HJ64" s="10">
        <f t="shared" si="223"/>
        <v>0</v>
      </c>
      <c r="HK64" s="10">
        <f t="shared" si="224"/>
        <v>0</v>
      </c>
      <c r="HL64" s="10">
        <f t="shared" si="225"/>
        <v>0</v>
      </c>
      <c r="HM64" s="10">
        <f t="shared" si="226"/>
        <v>0</v>
      </c>
      <c r="HN64" s="10">
        <f t="shared" si="227"/>
        <v>0</v>
      </c>
      <c r="HO64" s="10">
        <f t="shared" si="228"/>
        <v>0</v>
      </c>
      <c r="HP64" s="10">
        <f t="shared" si="229"/>
        <v>0</v>
      </c>
      <c r="HQ64" s="10">
        <f t="shared" si="230"/>
        <v>0</v>
      </c>
      <c r="HR64" s="10">
        <f t="shared" si="231"/>
        <v>0</v>
      </c>
      <c r="HS64" s="10">
        <f t="shared" si="232"/>
        <v>0</v>
      </c>
      <c r="HT64" s="10">
        <f t="shared" si="233"/>
        <v>0</v>
      </c>
      <c r="HU64" s="10">
        <f t="shared" si="234"/>
        <v>0</v>
      </c>
      <c r="HV64" s="10">
        <f t="shared" si="235"/>
        <v>99.494949494949509</v>
      </c>
      <c r="HW64" s="10">
        <f t="shared" si="236"/>
        <v>0</v>
      </c>
      <c r="HX64" s="10">
        <f t="shared" si="237"/>
        <v>0</v>
      </c>
      <c r="HY64" s="10">
        <f t="shared" si="238"/>
        <v>0</v>
      </c>
      <c r="HZ64" s="10">
        <f t="shared" si="239"/>
        <v>0</v>
      </c>
      <c r="IA64" s="10">
        <f t="shared" si="240"/>
        <v>0</v>
      </c>
      <c r="IB64" s="10">
        <f t="shared" si="241"/>
        <v>0</v>
      </c>
      <c r="IC64" s="10">
        <f t="shared" si="242"/>
        <v>0</v>
      </c>
      <c r="ID64" s="10">
        <f t="shared" si="243"/>
        <v>99.494949494949509</v>
      </c>
      <c r="IE64" s="10">
        <f t="shared" si="244"/>
        <v>0</v>
      </c>
      <c r="IF64" s="10">
        <f t="shared" si="245"/>
        <v>0</v>
      </c>
      <c r="IG64" s="10">
        <f t="shared" si="246"/>
        <v>0</v>
      </c>
      <c r="IH64" s="10">
        <f t="shared" si="247"/>
        <v>0</v>
      </c>
      <c r="II64" s="10">
        <f t="shared" si="248"/>
        <v>0</v>
      </c>
      <c r="IJ64" s="10">
        <f t="shared" si="249"/>
        <v>0</v>
      </c>
      <c r="IK64" s="10">
        <f t="shared" si="250"/>
        <v>0</v>
      </c>
      <c r="IL64" s="10">
        <f t="shared" si="251"/>
        <v>0</v>
      </c>
      <c r="IM64" s="10">
        <f t="shared" si="252"/>
        <v>0</v>
      </c>
      <c r="IN64" s="10">
        <f t="shared" si="253"/>
        <v>0</v>
      </c>
      <c r="IO64" s="10">
        <f t="shared" si="254"/>
        <v>0</v>
      </c>
      <c r="IP64" s="10">
        <f t="shared" si="255"/>
        <v>0</v>
      </c>
      <c r="IQ64" s="10">
        <f t="shared" si="256"/>
        <v>0</v>
      </c>
      <c r="IR64" s="10">
        <f t="shared" si="257"/>
        <v>0</v>
      </c>
      <c r="IS64" s="10">
        <f t="shared" si="258"/>
        <v>0</v>
      </c>
      <c r="IT64" s="10">
        <f t="shared" si="259"/>
        <v>0</v>
      </c>
      <c r="IU64" s="10">
        <f t="shared" si="260"/>
        <v>0</v>
      </c>
      <c r="IV64" s="10">
        <f t="shared" si="261"/>
        <v>0</v>
      </c>
      <c r="IW64" s="10">
        <f t="shared" si="262"/>
        <v>696.46464646464642</v>
      </c>
      <c r="IX64" s="10">
        <f t="shared" si="263"/>
        <v>99.494949494949509</v>
      </c>
      <c r="IY64" s="10">
        <f t="shared" si="264"/>
        <v>0</v>
      </c>
      <c r="IZ64" s="10">
        <f t="shared" si="265"/>
        <v>0</v>
      </c>
      <c r="JA64" s="10">
        <f t="shared" si="266"/>
        <v>0</v>
      </c>
      <c r="JB64" s="10">
        <f t="shared" si="267"/>
        <v>0</v>
      </c>
      <c r="JC64" s="10">
        <f t="shared" si="268"/>
        <v>0</v>
      </c>
      <c r="JD64" s="10">
        <f t="shared" si="269"/>
        <v>0</v>
      </c>
      <c r="JE64" s="10">
        <f t="shared" si="270"/>
        <v>0</v>
      </c>
      <c r="JF64" s="10">
        <f t="shared" si="271"/>
        <v>0</v>
      </c>
      <c r="JG64" s="10">
        <v>0</v>
      </c>
      <c r="JH64" s="10">
        <f t="shared" si="272"/>
        <v>0</v>
      </c>
      <c r="JI64" s="10">
        <f t="shared" si="273"/>
        <v>0</v>
      </c>
      <c r="JJ64" s="10">
        <f t="shared" si="274"/>
        <v>0</v>
      </c>
      <c r="JK64" s="10">
        <f t="shared" si="275"/>
        <v>0</v>
      </c>
      <c r="JL64" s="10">
        <f t="shared" si="276"/>
        <v>0</v>
      </c>
      <c r="JM64" s="10">
        <f t="shared" si="277"/>
        <v>0</v>
      </c>
      <c r="JN64" s="10">
        <f t="shared" si="278"/>
        <v>99.494949494949509</v>
      </c>
      <c r="JO64" s="10">
        <f t="shared" si="279"/>
        <v>0</v>
      </c>
      <c r="JP64" s="10">
        <f t="shared" si="280"/>
        <v>0</v>
      </c>
      <c r="JQ64" s="10">
        <f t="shared" si="281"/>
        <v>0</v>
      </c>
      <c r="JR64" s="10">
        <f t="shared" si="282"/>
        <v>198.98989898989902</v>
      </c>
      <c r="JS64" s="10">
        <f t="shared" si="283"/>
        <v>0</v>
      </c>
      <c r="JT64" s="10">
        <f t="shared" si="284"/>
        <v>99.494949494949509</v>
      </c>
      <c r="JU64" s="10">
        <f t="shared" si="285"/>
        <v>0</v>
      </c>
      <c r="JV64" s="10">
        <f t="shared" si="286"/>
        <v>0</v>
      </c>
      <c r="JW64" s="10">
        <f t="shared" si="287"/>
        <v>0</v>
      </c>
      <c r="JX64" s="10">
        <f t="shared" si="288"/>
        <v>298.4848484848485</v>
      </c>
      <c r="JY64" s="10">
        <f t="shared" si="289"/>
        <v>0</v>
      </c>
      <c r="JZ64" s="10">
        <f t="shared" si="290"/>
        <v>0</v>
      </c>
      <c r="KA64" s="10">
        <f t="shared" si="291"/>
        <v>0</v>
      </c>
      <c r="KB64" s="10">
        <f t="shared" si="292"/>
        <v>0</v>
      </c>
      <c r="KC64" s="10">
        <f t="shared" si="293"/>
        <v>0</v>
      </c>
      <c r="KD64" s="10">
        <f t="shared" si="294"/>
        <v>0</v>
      </c>
      <c r="KE64" s="10">
        <f t="shared" si="295"/>
        <v>0</v>
      </c>
      <c r="KF64" s="10">
        <f t="shared" si="296"/>
        <v>99.494949494949509</v>
      </c>
      <c r="KG64" s="10">
        <f t="shared" si="297"/>
        <v>0</v>
      </c>
      <c r="KH64" s="10">
        <f t="shared" si="298"/>
        <v>0</v>
      </c>
      <c r="KI64" s="10">
        <f t="shared" si="299"/>
        <v>0</v>
      </c>
      <c r="KJ64" s="10">
        <f t="shared" si="300"/>
        <v>0</v>
      </c>
      <c r="KK64" s="10">
        <f t="shared" si="301"/>
        <v>0</v>
      </c>
      <c r="KL64" s="10">
        <f t="shared" si="302"/>
        <v>0</v>
      </c>
      <c r="KM64" s="10">
        <f t="shared" si="303"/>
        <v>0</v>
      </c>
      <c r="KN64" s="10">
        <f t="shared" si="304"/>
        <v>0</v>
      </c>
      <c r="KO64" s="10">
        <f t="shared" si="305"/>
        <v>0</v>
      </c>
      <c r="KP64" s="10">
        <f t="shared" si="306"/>
        <v>0</v>
      </c>
      <c r="KQ64" s="11">
        <v>9849.9999999999982</v>
      </c>
      <c r="KR64" s="16"/>
      <c r="KS64" s="12">
        <v>6016.7782501551719</v>
      </c>
      <c r="KT64" s="26">
        <v>55</v>
      </c>
      <c r="KU64" s="26">
        <v>0.52727272727272723</v>
      </c>
      <c r="KV64" s="26">
        <v>1</v>
      </c>
      <c r="KW64" s="26">
        <v>-14.24</v>
      </c>
      <c r="KX64" s="26">
        <v>11.37</v>
      </c>
      <c r="KY64" s="27">
        <v>2.79</v>
      </c>
      <c r="KZ64" s="27">
        <v>3.27</v>
      </c>
      <c r="LA64" s="17"/>
      <c r="LB64" s="2">
        <v>71</v>
      </c>
      <c r="LC64" s="1">
        <v>3</v>
      </c>
      <c r="LD64" s="1">
        <v>0</v>
      </c>
      <c r="LE64" s="1">
        <v>0</v>
      </c>
      <c r="LF64" s="1">
        <v>0</v>
      </c>
      <c r="LG64" s="1">
        <v>1</v>
      </c>
      <c r="LH64" s="1">
        <v>0</v>
      </c>
      <c r="LI64" s="1">
        <v>0</v>
      </c>
      <c r="LJ64" s="1">
        <v>0</v>
      </c>
      <c r="LK64" s="1">
        <v>0</v>
      </c>
      <c r="LL64" s="1">
        <v>49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17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1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28"/>
      <c r="ML64" t="s">
        <v>880</v>
      </c>
      <c r="MM64" t="s">
        <v>425</v>
      </c>
      <c r="MN64" t="s">
        <v>320</v>
      </c>
      <c r="MO64" t="s">
        <v>337</v>
      </c>
      <c r="MP64" t="s">
        <v>338</v>
      </c>
      <c r="MQ64" t="s">
        <v>339</v>
      </c>
      <c r="MR64">
        <v>0.02</v>
      </c>
      <c r="MS64" t="s">
        <v>426</v>
      </c>
      <c r="MT64" t="s">
        <v>417</v>
      </c>
      <c r="MU64" t="s">
        <v>418</v>
      </c>
      <c r="MV64">
        <v>96350</v>
      </c>
      <c r="MW64" s="13">
        <v>413</v>
      </c>
      <c r="MX64" s="13" t="s">
        <v>421</v>
      </c>
      <c r="MY64" t="s">
        <v>240</v>
      </c>
      <c r="MZ64" t="s">
        <v>241</v>
      </c>
      <c r="NA64" t="s">
        <v>242</v>
      </c>
      <c r="NB64" t="s">
        <v>297</v>
      </c>
      <c r="ND64" s="18">
        <v>43274</v>
      </c>
      <c r="NE64" s="19">
        <v>0.10416666666666667</v>
      </c>
      <c r="NF64" t="s">
        <v>422</v>
      </c>
      <c r="NG64" t="s">
        <v>283</v>
      </c>
      <c r="NH64" t="s">
        <v>246</v>
      </c>
      <c r="NI64">
        <v>95</v>
      </c>
      <c r="NJ64" t="s">
        <v>244</v>
      </c>
      <c r="NK64">
        <v>2</v>
      </c>
      <c r="NL64" t="s">
        <v>248</v>
      </c>
      <c r="NM64">
        <v>29.634530000000002</v>
      </c>
      <c r="NN64">
        <v>-84.917299999999997</v>
      </c>
      <c r="NO64" t="s">
        <v>248</v>
      </c>
      <c r="NP64" t="s">
        <v>330</v>
      </c>
      <c r="NQ64" t="s">
        <v>244</v>
      </c>
      <c r="NR64" t="s">
        <v>247</v>
      </c>
      <c r="NS64">
        <v>982000410609174</v>
      </c>
      <c r="NT64" t="s">
        <v>244</v>
      </c>
      <c r="NU64" t="s">
        <v>244</v>
      </c>
      <c r="NV64" t="s">
        <v>248</v>
      </c>
      <c r="NW64" t="s">
        <v>417</v>
      </c>
      <c r="NX64" t="s">
        <v>418</v>
      </c>
      <c r="NY64">
        <v>91.2</v>
      </c>
      <c r="NZ64">
        <v>91</v>
      </c>
      <c r="OA64">
        <v>84</v>
      </c>
      <c r="OB64" s="14">
        <v>6016.7782501551719</v>
      </c>
      <c r="OC64" t="s">
        <v>248</v>
      </c>
      <c r="OD64" t="s">
        <v>247</v>
      </c>
      <c r="OE64" t="s">
        <v>248</v>
      </c>
      <c r="OF64" t="s">
        <v>423</v>
      </c>
      <c r="OG64" t="s">
        <v>247</v>
      </c>
      <c r="OH64">
        <v>49</v>
      </c>
      <c r="OI64" t="s">
        <v>417</v>
      </c>
      <c r="OJ64" t="s">
        <v>424</v>
      </c>
      <c r="OK64">
        <v>55</v>
      </c>
      <c r="OL64">
        <v>0.52727272727272723</v>
      </c>
      <c r="OM64">
        <v>1</v>
      </c>
      <c r="ON64">
        <v>-14.24</v>
      </c>
      <c r="OO64">
        <v>11.37</v>
      </c>
      <c r="OP64" s="25">
        <v>2.79</v>
      </c>
      <c r="OQ64" s="25">
        <v>3.27</v>
      </c>
      <c r="OR64" t="s">
        <v>911</v>
      </c>
      <c r="OS64" t="s">
        <v>911</v>
      </c>
    </row>
    <row r="65" spans="1:409" x14ac:dyDescent="0.25">
      <c r="A65">
        <v>64</v>
      </c>
      <c r="B65" s="1">
        <v>28</v>
      </c>
      <c r="C65" s="1">
        <v>8</v>
      </c>
      <c r="D65" s="1">
        <v>37</v>
      </c>
      <c r="E65" s="1">
        <v>0</v>
      </c>
      <c r="F65" s="1">
        <v>4</v>
      </c>
      <c r="G65" s="1">
        <v>6</v>
      </c>
      <c r="H65" s="1">
        <v>0</v>
      </c>
      <c r="I65" s="1">
        <v>2</v>
      </c>
      <c r="J65" s="1">
        <v>55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2">
        <v>140</v>
      </c>
      <c r="Y65" s="3"/>
      <c r="Z65" s="15">
        <f t="shared" si="172"/>
        <v>0.4377435138206891</v>
      </c>
      <c r="AA65" s="15">
        <f t="shared" si="173"/>
        <v>0.12506957537733973</v>
      </c>
      <c r="AB65" s="15">
        <f t="shared" si="174"/>
        <v>0.57844678612019629</v>
      </c>
      <c r="AC65" s="15">
        <f t="shared" si="175"/>
        <v>0</v>
      </c>
      <c r="AD65" s="15">
        <f t="shared" si="176"/>
        <v>6.2534787688669866E-2</v>
      </c>
      <c r="AE65" s="15">
        <f t="shared" si="177"/>
        <v>9.3802181533004791E-2</v>
      </c>
      <c r="AF65" s="15">
        <f t="shared" si="178"/>
        <v>0</v>
      </c>
      <c r="AG65" s="15">
        <f t="shared" si="179"/>
        <v>3.1267393844334933E-2</v>
      </c>
      <c r="AH65" s="15">
        <f t="shared" si="180"/>
        <v>0.85985333071921066</v>
      </c>
      <c r="AI65" s="15">
        <f t="shared" si="181"/>
        <v>0</v>
      </c>
      <c r="AJ65" s="15">
        <f t="shared" si="182"/>
        <v>0</v>
      </c>
      <c r="AK65" s="15">
        <f t="shared" si="183"/>
        <v>0</v>
      </c>
      <c r="AL65" s="15">
        <f t="shared" si="184"/>
        <v>0</v>
      </c>
      <c r="AM65" s="15">
        <f t="shared" si="185"/>
        <v>0</v>
      </c>
      <c r="AN65" s="15">
        <f t="shared" si="186"/>
        <v>0</v>
      </c>
      <c r="AO65" s="15">
        <f t="shared" si="187"/>
        <v>0</v>
      </c>
      <c r="AP65" s="15">
        <f t="shared" si="188"/>
        <v>0</v>
      </c>
      <c r="AQ65" s="15">
        <f t="shared" si="189"/>
        <v>0</v>
      </c>
      <c r="AR65" s="15">
        <f t="shared" si="190"/>
        <v>0</v>
      </c>
      <c r="AS65" s="15">
        <f t="shared" si="191"/>
        <v>0</v>
      </c>
      <c r="AT65" s="15">
        <f t="shared" si="192"/>
        <v>0</v>
      </c>
      <c r="AU65" s="15">
        <f t="shared" si="193"/>
        <v>0</v>
      </c>
      <c r="AV65" s="5">
        <f t="shared" si="194"/>
        <v>2.1887175691034453</v>
      </c>
      <c r="AW65" s="16"/>
      <c r="AX65" s="6">
        <v>280</v>
      </c>
      <c r="AY65" s="6">
        <v>80</v>
      </c>
      <c r="AZ65" s="6">
        <v>370</v>
      </c>
      <c r="BA65" s="6">
        <v>0</v>
      </c>
      <c r="BB65" s="6">
        <v>40</v>
      </c>
      <c r="BC65" s="6">
        <v>60</v>
      </c>
      <c r="BD65" s="6">
        <v>0</v>
      </c>
      <c r="BE65" s="6">
        <v>20</v>
      </c>
      <c r="BF65" s="6">
        <v>550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7">
        <v>1400</v>
      </c>
      <c r="BU65" s="16"/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12</v>
      </c>
      <c r="CO65" s="8">
        <v>0</v>
      </c>
      <c r="CP65" s="8">
        <v>0</v>
      </c>
      <c r="CQ65" s="8">
        <v>0</v>
      </c>
      <c r="CR65" s="8">
        <v>4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1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1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6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9">
        <v>24</v>
      </c>
      <c r="GG65" s="3"/>
      <c r="GH65" s="10">
        <f t="shared" si="195"/>
        <v>0</v>
      </c>
      <c r="GI65" s="10">
        <f t="shared" si="196"/>
        <v>0</v>
      </c>
      <c r="GJ65" s="10">
        <f t="shared" si="197"/>
        <v>0</v>
      </c>
      <c r="GK65" s="10">
        <f t="shared" si="198"/>
        <v>0</v>
      </c>
      <c r="GL65" s="10">
        <f t="shared" si="199"/>
        <v>0</v>
      </c>
      <c r="GM65" s="10">
        <f t="shared" si="200"/>
        <v>0</v>
      </c>
      <c r="GN65" s="10">
        <f t="shared" si="201"/>
        <v>0</v>
      </c>
      <c r="GO65" s="10">
        <f t="shared" si="202"/>
        <v>0</v>
      </c>
      <c r="GP65" s="10">
        <f t="shared" si="203"/>
        <v>0</v>
      </c>
      <c r="GQ65" s="10">
        <f t="shared" si="204"/>
        <v>0</v>
      </c>
      <c r="GR65" s="10">
        <f t="shared" si="205"/>
        <v>0</v>
      </c>
      <c r="GS65" s="10">
        <f t="shared" si="206"/>
        <v>0</v>
      </c>
      <c r="GT65" s="10">
        <f t="shared" si="207"/>
        <v>0</v>
      </c>
      <c r="GU65" s="10">
        <f t="shared" si="208"/>
        <v>0</v>
      </c>
      <c r="GV65" s="10">
        <f t="shared" si="209"/>
        <v>0</v>
      </c>
      <c r="GW65" s="10">
        <f t="shared" si="210"/>
        <v>0</v>
      </c>
      <c r="GX65" s="10">
        <f t="shared" si="211"/>
        <v>0</v>
      </c>
      <c r="GY65" s="10">
        <f t="shared" si="212"/>
        <v>0</v>
      </c>
      <c r="GZ65" s="10">
        <f t="shared" si="213"/>
        <v>140</v>
      </c>
      <c r="HA65" s="10">
        <f t="shared" si="214"/>
        <v>0</v>
      </c>
      <c r="HB65" s="10">
        <f t="shared" si="215"/>
        <v>0</v>
      </c>
      <c r="HC65" s="10">
        <f t="shared" si="216"/>
        <v>0</v>
      </c>
      <c r="HD65" s="10">
        <f t="shared" si="217"/>
        <v>46.666666666666664</v>
      </c>
      <c r="HE65" s="10">
        <f t="shared" si="218"/>
        <v>0</v>
      </c>
      <c r="HF65" s="10">
        <f t="shared" si="219"/>
        <v>0</v>
      </c>
      <c r="HG65" s="10">
        <f t="shared" si="220"/>
        <v>0</v>
      </c>
      <c r="HH65" s="10">
        <f t="shared" si="221"/>
        <v>0</v>
      </c>
      <c r="HI65" s="10">
        <f t="shared" si="222"/>
        <v>0</v>
      </c>
      <c r="HJ65" s="10">
        <f t="shared" si="223"/>
        <v>0</v>
      </c>
      <c r="HK65" s="10">
        <f t="shared" si="224"/>
        <v>0</v>
      </c>
      <c r="HL65" s="10">
        <f t="shared" si="225"/>
        <v>0</v>
      </c>
      <c r="HM65" s="10">
        <f t="shared" si="226"/>
        <v>0</v>
      </c>
      <c r="HN65" s="10">
        <f t="shared" si="227"/>
        <v>0</v>
      </c>
      <c r="HO65" s="10">
        <f t="shared" si="228"/>
        <v>0</v>
      </c>
      <c r="HP65" s="10">
        <f t="shared" si="229"/>
        <v>0</v>
      </c>
      <c r="HQ65" s="10">
        <f t="shared" si="230"/>
        <v>0</v>
      </c>
      <c r="HR65" s="10">
        <f t="shared" si="231"/>
        <v>0</v>
      </c>
      <c r="HS65" s="10">
        <f t="shared" si="232"/>
        <v>0</v>
      </c>
      <c r="HT65" s="10">
        <f t="shared" si="233"/>
        <v>0</v>
      </c>
      <c r="HU65" s="10">
        <f t="shared" si="234"/>
        <v>0</v>
      </c>
      <c r="HV65" s="10">
        <f t="shared" si="235"/>
        <v>0</v>
      </c>
      <c r="HW65" s="10">
        <f t="shared" si="236"/>
        <v>0</v>
      </c>
      <c r="HX65" s="10">
        <f t="shared" si="237"/>
        <v>0</v>
      </c>
      <c r="HY65" s="10">
        <f t="shared" si="238"/>
        <v>0</v>
      </c>
      <c r="HZ65" s="10">
        <f t="shared" si="239"/>
        <v>0</v>
      </c>
      <c r="IA65" s="10">
        <f t="shared" si="240"/>
        <v>0</v>
      </c>
      <c r="IB65" s="10">
        <f t="shared" si="241"/>
        <v>0</v>
      </c>
      <c r="IC65" s="10">
        <f t="shared" si="242"/>
        <v>0</v>
      </c>
      <c r="ID65" s="10">
        <f t="shared" si="243"/>
        <v>0</v>
      </c>
      <c r="IE65" s="10">
        <f t="shared" si="244"/>
        <v>0</v>
      </c>
      <c r="IF65" s="10">
        <f t="shared" si="245"/>
        <v>0</v>
      </c>
      <c r="IG65" s="10">
        <f t="shared" si="246"/>
        <v>0</v>
      </c>
      <c r="IH65" s="10">
        <f t="shared" si="247"/>
        <v>0</v>
      </c>
      <c r="II65" s="10">
        <f t="shared" si="248"/>
        <v>0</v>
      </c>
      <c r="IJ65" s="10">
        <f t="shared" si="249"/>
        <v>0</v>
      </c>
      <c r="IK65" s="10">
        <f t="shared" si="250"/>
        <v>0</v>
      </c>
      <c r="IL65" s="10">
        <f t="shared" si="251"/>
        <v>0</v>
      </c>
      <c r="IM65" s="10">
        <f t="shared" si="252"/>
        <v>0</v>
      </c>
      <c r="IN65" s="10">
        <f t="shared" si="253"/>
        <v>0</v>
      </c>
      <c r="IO65" s="10">
        <f t="shared" si="254"/>
        <v>0</v>
      </c>
      <c r="IP65" s="10">
        <f t="shared" si="255"/>
        <v>0</v>
      </c>
      <c r="IQ65" s="10">
        <f t="shared" si="256"/>
        <v>0</v>
      </c>
      <c r="IR65" s="10">
        <f t="shared" si="257"/>
        <v>0</v>
      </c>
      <c r="IS65" s="10">
        <f t="shared" si="258"/>
        <v>0</v>
      </c>
      <c r="IT65" s="10">
        <f t="shared" si="259"/>
        <v>0</v>
      </c>
      <c r="IU65" s="10">
        <f t="shared" si="260"/>
        <v>0</v>
      </c>
      <c r="IV65" s="10">
        <f t="shared" si="261"/>
        <v>0</v>
      </c>
      <c r="IW65" s="10">
        <f t="shared" si="262"/>
        <v>0</v>
      </c>
      <c r="IX65" s="10">
        <f t="shared" si="263"/>
        <v>0</v>
      </c>
      <c r="IY65" s="10">
        <f t="shared" si="264"/>
        <v>0</v>
      </c>
      <c r="IZ65" s="10">
        <f t="shared" si="265"/>
        <v>0</v>
      </c>
      <c r="JA65" s="10">
        <f t="shared" si="266"/>
        <v>0</v>
      </c>
      <c r="JB65" s="10">
        <f t="shared" si="267"/>
        <v>0</v>
      </c>
      <c r="JC65" s="10">
        <f t="shared" si="268"/>
        <v>0</v>
      </c>
      <c r="JD65" s="10">
        <f t="shared" si="269"/>
        <v>0</v>
      </c>
      <c r="JE65" s="10">
        <f t="shared" si="270"/>
        <v>0</v>
      </c>
      <c r="JF65" s="10">
        <f t="shared" si="271"/>
        <v>0</v>
      </c>
      <c r="JG65" s="10">
        <v>0</v>
      </c>
      <c r="JH65" s="10">
        <f t="shared" si="272"/>
        <v>0</v>
      </c>
      <c r="JI65" s="10">
        <f t="shared" si="273"/>
        <v>0</v>
      </c>
      <c r="JJ65" s="10">
        <f t="shared" si="274"/>
        <v>0</v>
      </c>
      <c r="JK65" s="10">
        <f t="shared" si="275"/>
        <v>0</v>
      </c>
      <c r="JL65" s="10">
        <f t="shared" si="276"/>
        <v>0</v>
      </c>
      <c r="JM65" s="10">
        <f t="shared" si="277"/>
        <v>0</v>
      </c>
      <c r="JN65" s="10">
        <f t="shared" si="278"/>
        <v>0</v>
      </c>
      <c r="JO65" s="10">
        <f t="shared" si="279"/>
        <v>0</v>
      </c>
      <c r="JP65" s="10">
        <f t="shared" si="280"/>
        <v>0</v>
      </c>
      <c r="JQ65" s="10">
        <f t="shared" si="281"/>
        <v>0</v>
      </c>
      <c r="JR65" s="10">
        <f t="shared" si="282"/>
        <v>11.666666666666666</v>
      </c>
      <c r="JS65" s="10">
        <f t="shared" si="283"/>
        <v>0</v>
      </c>
      <c r="JT65" s="10">
        <f t="shared" si="284"/>
        <v>0</v>
      </c>
      <c r="JU65" s="10">
        <f t="shared" si="285"/>
        <v>0</v>
      </c>
      <c r="JV65" s="10">
        <f t="shared" si="286"/>
        <v>0</v>
      </c>
      <c r="JW65" s="10">
        <f t="shared" si="287"/>
        <v>0</v>
      </c>
      <c r="JX65" s="10">
        <f t="shared" si="288"/>
        <v>11.666666666666666</v>
      </c>
      <c r="JY65" s="10">
        <f t="shared" si="289"/>
        <v>0</v>
      </c>
      <c r="JZ65" s="10">
        <f t="shared" si="290"/>
        <v>0</v>
      </c>
      <c r="KA65" s="10">
        <f t="shared" si="291"/>
        <v>0</v>
      </c>
      <c r="KB65" s="10">
        <f t="shared" si="292"/>
        <v>0</v>
      </c>
      <c r="KC65" s="10">
        <f t="shared" si="293"/>
        <v>0</v>
      </c>
      <c r="KD65" s="10">
        <f t="shared" si="294"/>
        <v>0</v>
      </c>
      <c r="KE65" s="10">
        <f t="shared" si="295"/>
        <v>0</v>
      </c>
      <c r="KF65" s="10">
        <f t="shared" si="296"/>
        <v>70</v>
      </c>
      <c r="KG65" s="10">
        <f t="shared" si="297"/>
        <v>0</v>
      </c>
      <c r="KH65" s="10">
        <f t="shared" si="298"/>
        <v>0</v>
      </c>
      <c r="KI65" s="10">
        <f t="shared" si="299"/>
        <v>0</v>
      </c>
      <c r="KJ65" s="10">
        <f t="shared" si="300"/>
        <v>0</v>
      </c>
      <c r="KK65" s="10">
        <f t="shared" si="301"/>
        <v>0</v>
      </c>
      <c r="KL65" s="10">
        <f t="shared" si="302"/>
        <v>0</v>
      </c>
      <c r="KM65" s="10">
        <f t="shared" si="303"/>
        <v>0</v>
      </c>
      <c r="KN65" s="10">
        <f t="shared" si="304"/>
        <v>0</v>
      </c>
      <c r="KO65" s="10">
        <f t="shared" si="305"/>
        <v>0</v>
      </c>
      <c r="KP65" s="10">
        <f t="shared" si="306"/>
        <v>0</v>
      </c>
      <c r="KQ65" s="11">
        <v>280</v>
      </c>
      <c r="KR65" s="16"/>
      <c r="KS65" s="12">
        <v>6396.4397223414981</v>
      </c>
      <c r="KT65" s="26">
        <v>88</v>
      </c>
      <c r="KU65" s="26">
        <v>0.97727272727272729</v>
      </c>
      <c r="KV65" s="26">
        <v>1</v>
      </c>
      <c r="KW65" s="26">
        <v>-16.32</v>
      </c>
      <c r="KX65" s="26">
        <v>11.53</v>
      </c>
      <c r="KY65" s="27">
        <v>2.9310167039930395</v>
      </c>
      <c r="KZ65" s="27">
        <v>3.4191127412941285</v>
      </c>
      <c r="LA65" s="17"/>
      <c r="LB65" s="2">
        <v>134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9</v>
      </c>
      <c r="LM65" s="1">
        <v>2</v>
      </c>
      <c r="LN65" s="1">
        <v>0</v>
      </c>
      <c r="LO65" s="1">
        <v>0</v>
      </c>
      <c r="LP65" s="1">
        <v>1</v>
      </c>
      <c r="LQ65" s="1">
        <v>0</v>
      </c>
      <c r="LR65" s="1">
        <v>0</v>
      </c>
      <c r="LS65" s="1">
        <v>0</v>
      </c>
      <c r="LT65" s="1">
        <v>8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1</v>
      </c>
      <c r="MA65" s="1">
        <v>0</v>
      </c>
      <c r="MB65" s="1">
        <v>0</v>
      </c>
      <c r="MC65" s="1">
        <v>0</v>
      </c>
      <c r="MD65" s="1">
        <v>113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28"/>
      <c r="ML65" t="s">
        <v>881</v>
      </c>
      <c r="MM65" t="s">
        <v>427</v>
      </c>
      <c r="MN65" t="s">
        <v>320</v>
      </c>
      <c r="MO65" t="s">
        <v>321</v>
      </c>
      <c r="MP65" t="s">
        <v>322</v>
      </c>
      <c r="MQ65" t="s">
        <v>323</v>
      </c>
      <c r="MR65">
        <v>0.1</v>
      </c>
      <c r="MS65" t="s">
        <v>293</v>
      </c>
      <c r="MT65" t="s">
        <v>294</v>
      </c>
      <c r="MU65" t="s">
        <v>295</v>
      </c>
      <c r="MV65">
        <v>1400</v>
      </c>
      <c r="MW65" s="13">
        <v>418</v>
      </c>
      <c r="MX65" s="13" t="s">
        <v>296</v>
      </c>
      <c r="MY65" t="s">
        <v>240</v>
      </c>
      <c r="MZ65" t="s">
        <v>241</v>
      </c>
      <c r="NA65" t="s">
        <v>242</v>
      </c>
      <c r="NB65" t="s">
        <v>297</v>
      </c>
      <c r="ND65" s="18">
        <v>43277</v>
      </c>
      <c r="NE65" s="19">
        <v>0.16041666666666668</v>
      </c>
      <c r="NF65" t="s">
        <v>298</v>
      </c>
      <c r="NG65" t="s">
        <v>136</v>
      </c>
      <c r="NH65" t="s">
        <v>246</v>
      </c>
      <c r="NI65">
        <v>94.9</v>
      </c>
      <c r="NJ65" t="s">
        <v>244</v>
      </c>
      <c r="NK65">
        <v>4</v>
      </c>
      <c r="NL65" t="s">
        <v>248</v>
      </c>
      <c r="NM65">
        <v>29.631599999999999</v>
      </c>
      <c r="NN65">
        <v>-84.922849999999997</v>
      </c>
      <c r="NO65" t="s">
        <v>248</v>
      </c>
      <c r="NP65" t="s">
        <v>266</v>
      </c>
      <c r="NQ65">
        <v>12</v>
      </c>
      <c r="NR65" t="s">
        <v>247</v>
      </c>
      <c r="NS65">
        <v>982000410608656</v>
      </c>
      <c r="NT65" t="s">
        <v>244</v>
      </c>
      <c r="NU65" t="s">
        <v>244</v>
      </c>
      <c r="NV65" t="s">
        <v>248</v>
      </c>
      <c r="NW65" t="s">
        <v>294</v>
      </c>
      <c r="NX65" t="s">
        <v>295</v>
      </c>
      <c r="NY65">
        <v>94.7</v>
      </c>
      <c r="NZ65">
        <v>94</v>
      </c>
      <c r="OA65">
        <v>86</v>
      </c>
      <c r="OB65" s="14">
        <v>6396.4397223414981</v>
      </c>
      <c r="OC65" t="s">
        <v>248</v>
      </c>
      <c r="OD65" t="s">
        <v>247</v>
      </c>
      <c r="OE65" t="s">
        <v>248</v>
      </c>
      <c r="OF65" t="s">
        <v>299</v>
      </c>
      <c r="OG65" t="s">
        <v>247</v>
      </c>
      <c r="OH65">
        <v>56</v>
      </c>
      <c r="OI65" t="s">
        <v>294</v>
      </c>
      <c r="OJ65" t="s">
        <v>300</v>
      </c>
      <c r="OK65">
        <v>88</v>
      </c>
      <c r="OL65">
        <v>0.97727272727272729</v>
      </c>
      <c r="OM65">
        <v>1</v>
      </c>
      <c r="ON65">
        <v>-16.32</v>
      </c>
      <c r="OO65">
        <v>11.53</v>
      </c>
      <c r="OP65" s="25">
        <v>2.9310167039930395</v>
      </c>
      <c r="OQ65" s="25">
        <v>3.4191127412941285</v>
      </c>
      <c r="OR65" t="s">
        <v>911</v>
      </c>
      <c r="OS65" t="s">
        <v>911</v>
      </c>
    </row>
    <row r="66" spans="1:409" x14ac:dyDescent="0.25">
      <c r="A66">
        <v>65</v>
      </c>
      <c r="B66" s="1">
        <v>131</v>
      </c>
      <c r="C66" s="1">
        <v>0</v>
      </c>
      <c r="D66" s="1">
        <v>72</v>
      </c>
      <c r="E66" s="1">
        <v>0</v>
      </c>
      <c r="F66" s="1">
        <v>17</v>
      </c>
      <c r="G66" s="1">
        <v>31</v>
      </c>
      <c r="H66" s="1">
        <v>0</v>
      </c>
      <c r="I66" s="1">
        <v>0</v>
      </c>
      <c r="J66" s="1">
        <v>102</v>
      </c>
      <c r="K66" s="1">
        <v>0</v>
      </c>
      <c r="L66" s="1">
        <v>0</v>
      </c>
      <c r="M66" s="1">
        <v>0</v>
      </c>
      <c r="N66" s="1">
        <v>10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2">
        <v>363</v>
      </c>
      <c r="Y66" s="3"/>
      <c r="Z66" s="15">
        <f t="shared" ref="Z66:Z90" si="307">AX66/$OB66*10</f>
        <v>3.4133571613398974</v>
      </c>
      <c r="AA66" s="15">
        <f t="shared" ref="AA66:AA90" si="308">AY66/$OB66*10</f>
        <v>0</v>
      </c>
      <c r="AB66" s="15">
        <f t="shared" ref="AB66:AB90" si="309">AZ66/$OB66*10</f>
        <v>1.8760436306600958</v>
      </c>
      <c r="AC66" s="15">
        <f t="shared" ref="AC66:AC90" si="310">BA66/$OB66*10</f>
        <v>0</v>
      </c>
      <c r="AD66" s="15">
        <f t="shared" ref="AD66:AD90" si="311">BB66/$OB66*10</f>
        <v>0.44295474612807828</v>
      </c>
      <c r="AE66" s="15">
        <f t="shared" ref="AE66:AE90" si="312">BC66/$OB66*10</f>
        <v>0.80774100764531931</v>
      </c>
      <c r="AF66" s="15">
        <f t="shared" ref="AF66:AF90" si="313">BD66/$OB66*10</f>
        <v>0</v>
      </c>
      <c r="AG66" s="15">
        <f t="shared" ref="AG66:AG90" si="314">BE66/$OB66*10</f>
        <v>0</v>
      </c>
      <c r="AH66" s="15">
        <f t="shared" ref="AH66:AH90" si="315">BF66/$OB66*10</f>
        <v>2.6577284767684697</v>
      </c>
      <c r="AI66" s="15">
        <f t="shared" ref="AI66:AI90" si="316">BG66/$OB66*10</f>
        <v>0</v>
      </c>
      <c r="AJ66" s="15">
        <f t="shared" ref="AJ66:AJ90" si="317">BH66/$OB66*10</f>
        <v>0</v>
      </c>
      <c r="AK66" s="15">
        <f t="shared" ref="AK66:AK90" si="318">BI66/$OB66*10</f>
        <v>0</v>
      </c>
      <c r="AL66" s="15">
        <f t="shared" ref="AL66:AL90" si="319">BJ66/$OB66*10</f>
        <v>0.26056161536945782</v>
      </c>
      <c r="AM66" s="15">
        <f t="shared" ref="AM66:AM90" si="320">BK66/$OB66*10</f>
        <v>0</v>
      </c>
      <c r="AN66" s="15">
        <f t="shared" ref="AN66:AN90" si="321">BL66/$OB66*10</f>
        <v>0</v>
      </c>
      <c r="AO66" s="15">
        <f t="shared" ref="AO66:AO90" si="322">BM66/$OB66*10</f>
        <v>0</v>
      </c>
      <c r="AP66" s="15">
        <f t="shared" ref="AP66:AP90" si="323">BN66/$OB66*10</f>
        <v>0</v>
      </c>
      <c r="AQ66" s="15">
        <f t="shared" ref="AQ66:AQ90" si="324">BO66/$OB66*10</f>
        <v>0</v>
      </c>
      <c r="AR66" s="15">
        <f t="shared" ref="AR66:AR90" si="325">BP66/$OB66*10</f>
        <v>0</v>
      </c>
      <c r="AS66" s="15">
        <f t="shared" ref="AS66:AS90" si="326">BQ66/$OB66*10</f>
        <v>0</v>
      </c>
      <c r="AT66" s="15">
        <f t="shared" ref="AT66:AT90" si="327">BR66/$OB66*10</f>
        <v>0</v>
      </c>
      <c r="AU66" s="15">
        <f t="shared" ref="AU66:AU90" si="328">BS66/$OB66*10</f>
        <v>0</v>
      </c>
      <c r="AV66" s="5">
        <f t="shared" ref="AV66:AV90" si="329">BT66/$OB66*10</f>
        <v>9.4583866379113175</v>
      </c>
      <c r="AW66" s="16"/>
      <c r="AX66" s="6">
        <v>2183.3333333333335</v>
      </c>
      <c r="AY66" s="6">
        <v>0</v>
      </c>
      <c r="AZ66" s="6">
        <v>1200</v>
      </c>
      <c r="BA66" s="6">
        <v>0</v>
      </c>
      <c r="BB66" s="6">
        <v>283.33333333333337</v>
      </c>
      <c r="BC66" s="6">
        <v>516.66666666666674</v>
      </c>
      <c r="BD66" s="6">
        <v>0</v>
      </c>
      <c r="BE66" s="6">
        <v>0</v>
      </c>
      <c r="BF66" s="6">
        <v>1700</v>
      </c>
      <c r="BG66" s="6">
        <v>0</v>
      </c>
      <c r="BH66" s="6">
        <v>0</v>
      </c>
      <c r="BI66" s="6">
        <v>0</v>
      </c>
      <c r="BJ66" s="6">
        <v>166.66666666666669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7">
        <v>6050.0000000000009</v>
      </c>
      <c r="BU66" s="16"/>
      <c r="BV66" s="8">
        <v>0</v>
      </c>
      <c r="BW66" s="8">
        <v>9</v>
      </c>
      <c r="BX66" s="8">
        <v>0</v>
      </c>
      <c r="BY66" s="8">
        <v>0.99999999999999989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25</v>
      </c>
      <c r="CO66" s="8">
        <v>0</v>
      </c>
      <c r="CP66" s="8">
        <v>0</v>
      </c>
      <c r="CQ66" s="8">
        <v>0</v>
      </c>
      <c r="CR66" s="8">
        <v>35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0.99999999999999989</v>
      </c>
      <c r="DJ66" s="8">
        <v>0.99999999999999989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0.99999999999999989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17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0.99999999999999989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</v>
      </c>
      <c r="FL66" s="8">
        <v>0</v>
      </c>
      <c r="FM66" s="8">
        <v>6.9999999999999991</v>
      </c>
      <c r="FN66" s="8">
        <v>0</v>
      </c>
      <c r="FO66" s="8">
        <v>0</v>
      </c>
      <c r="FP66" s="8">
        <v>0</v>
      </c>
      <c r="FQ66" s="8">
        <v>0</v>
      </c>
      <c r="FR66" s="8">
        <v>0</v>
      </c>
      <c r="FS66" s="8">
        <v>0</v>
      </c>
      <c r="FT66" s="8">
        <v>0</v>
      </c>
      <c r="FU66" s="8">
        <v>9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9">
        <v>107</v>
      </c>
      <c r="GG66" s="3"/>
      <c r="GH66" s="10">
        <f t="shared" si="195"/>
        <v>0</v>
      </c>
      <c r="GI66" s="10">
        <f t="shared" si="196"/>
        <v>183.64485981308411</v>
      </c>
      <c r="GJ66" s="10">
        <f t="shared" si="197"/>
        <v>0</v>
      </c>
      <c r="GK66" s="10">
        <f t="shared" si="198"/>
        <v>20.404984423676012</v>
      </c>
      <c r="GL66" s="10">
        <f t="shared" si="199"/>
        <v>0</v>
      </c>
      <c r="GM66" s="10">
        <f t="shared" si="200"/>
        <v>0</v>
      </c>
      <c r="GN66" s="10">
        <f t="shared" si="201"/>
        <v>0</v>
      </c>
      <c r="GO66" s="10">
        <f t="shared" si="202"/>
        <v>0</v>
      </c>
      <c r="GP66" s="10">
        <f t="shared" si="203"/>
        <v>0</v>
      </c>
      <c r="GQ66" s="10">
        <f t="shared" si="204"/>
        <v>0</v>
      </c>
      <c r="GR66" s="10">
        <f t="shared" si="205"/>
        <v>0</v>
      </c>
      <c r="GS66" s="10">
        <f t="shared" si="206"/>
        <v>0</v>
      </c>
      <c r="GT66" s="10">
        <f t="shared" si="207"/>
        <v>0</v>
      </c>
      <c r="GU66" s="10">
        <f t="shared" si="208"/>
        <v>0</v>
      </c>
      <c r="GV66" s="10">
        <f t="shared" si="209"/>
        <v>0</v>
      </c>
      <c r="GW66" s="10">
        <f t="shared" si="210"/>
        <v>0</v>
      </c>
      <c r="GX66" s="10">
        <f t="shared" si="211"/>
        <v>0</v>
      </c>
      <c r="GY66" s="10">
        <f t="shared" si="212"/>
        <v>0</v>
      </c>
      <c r="GZ66" s="10">
        <f t="shared" si="213"/>
        <v>510.12461059190036</v>
      </c>
      <c r="HA66" s="10">
        <f t="shared" si="214"/>
        <v>0</v>
      </c>
      <c r="HB66" s="10">
        <f t="shared" si="215"/>
        <v>0</v>
      </c>
      <c r="HC66" s="10">
        <f t="shared" si="216"/>
        <v>0</v>
      </c>
      <c r="HD66" s="10">
        <f t="shared" si="217"/>
        <v>714.17445482866049</v>
      </c>
      <c r="HE66" s="10">
        <f t="shared" si="218"/>
        <v>0</v>
      </c>
      <c r="HF66" s="10">
        <f t="shared" si="219"/>
        <v>0</v>
      </c>
      <c r="HG66" s="10">
        <f t="shared" si="220"/>
        <v>0</v>
      </c>
      <c r="HH66" s="10">
        <f t="shared" si="221"/>
        <v>0</v>
      </c>
      <c r="HI66" s="10">
        <f t="shared" si="222"/>
        <v>0</v>
      </c>
      <c r="HJ66" s="10">
        <f t="shared" si="223"/>
        <v>0</v>
      </c>
      <c r="HK66" s="10">
        <f t="shared" si="224"/>
        <v>0</v>
      </c>
      <c r="HL66" s="10">
        <f t="shared" si="225"/>
        <v>0</v>
      </c>
      <c r="HM66" s="10">
        <f t="shared" si="226"/>
        <v>0</v>
      </c>
      <c r="HN66" s="10">
        <f t="shared" si="227"/>
        <v>0</v>
      </c>
      <c r="HO66" s="10">
        <f t="shared" si="228"/>
        <v>0</v>
      </c>
      <c r="HP66" s="10">
        <f t="shared" si="229"/>
        <v>0</v>
      </c>
      <c r="HQ66" s="10">
        <f t="shared" si="230"/>
        <v>0</v>
      </c>
      <c r="HR66" s="10">
        <f t="shared" si="231"/>
        <v>0</v>
      </c>
      <c r="HS66" s="10">
        <f t="shared" si="232"/>
        <v>0</v>
      </c>
      <c r="HT66" s="10">
        <f t="shared" si="233"/>
        <v>0</v>
      </c>
      <c r="HU66" s="10">
        <f t="shared" si="234"/>
        <v>20.404984423676012</v>
      </c>
      <c r="HV66" s="10">
        <f t="shared" si="235"/>
        <v>20.404984423676012</v>
      </c>
      <c r="HW66" s="10">
        <f t="shared" si="236"/>
        <v>0</v>
      </c>
      <c r="HX66" s="10">
        <f t="shared" si="237"/>
        <v>0</v>
      </c>
      <c r="HY66" s="10">
        <f t="shared" si="238"/>
        <v>0</v>
      </c>
      <c r="HZ66" s="10">
        <f t="shared" si="239"/>
        <v>0</v>
      </c>
      <c r="IA66" s="10">
        <f t="shared" si="240"/>
        <v>0</v>
      </c>
      <c r="IB66" s="10">
        <f t="shared" si="241"/>
        <v>0</v>
      </c>
      <c r="IC66" s="10">
        <f t="shared" si="242"/>
        <v>0</v>
      </c>
      <c r="ID66" s="10">
        <f t="shared" si="243"/>
        <v>0</v>
      </c>
      <c r="IE66" s="10">
        <f t="shared" si="244"/>
        <v>20.404984423676012</v>
      </c>
      <c r="IF66" s="10">
        <f t="shared" si="245"/>
        <v>0</v>
      </c>
      <c r="IG66" s="10">
        <f t="shared" si="246"/>
        <v>0</v>
      </c>
      <c r="IH66" s="10">
        <f t="shared" si="247"/>
        <v>0</v>
      </c>
      <c r="II66" s="10">
        <f t="shared" si="248"/>
        <v>0</v>
      </c>
      <c r="IJ66" s="10">
        <f t="shared" si="249"/>
        <v>0</v>
      </c>
      <c r="IK66" s="10">
        <f t="shared" si="250"/>
        <v>0</v>
      </c>
      <c r="IL66" s="10">
        <f t="shared" si="251"/>
        <v>0</v>
      </c>
      <c r="IM66" s="10">
        <f t="shared" si="252"/>
        <v>0</v>
      </c>
      <c r="IN66" s="10">
        <f t="shared" si="253"/>
        <v>0</v>
      </c>
      <c r="IO66" s="10">
        <f t="shared" si="254"/>
        <v>0</v>
      </c>
      <c r="IP66" s="10">
        <f t="shared" si="255"/>
        <v>0</v>
      </c>
      <c r="IQ66" s="10">
        <f t="shared" si="256"/>
        <v>0</v>
      </c>
      <c r="IR66" s="10">
        <f t="shared" si="257"/>
        <v>0</v>
      </c>
      <c r="IS66" s="10">
        <f t="shared" si="258"/>
        <v>0</v>
      </c>
      <c r="IT66" s="10">
        <f t="shared" si="259"/>
        <v>0</v>
      </c>
      <c r="IU66" s="10">
        <f t="shared" si="260"/>
        <v>0</v>
      </c>
      <c r="IV66" s="10">
        <f t="shared" si="261"/>
        <v>0</v>
      </c>
      <c r="IW66" s="10">
        <f t="shared" si="262"/>
        <v>346.88473520249221</v>
      </c>
      <c r="IX66" s="10">
        <f t="shared" si="263"/>
        <v>0</v>
      </c>
      <c r="IY66" s="10">
        <f t="shared" si="264"/>
        <v>0</v>
      </c>
      <c r="IZ66" s="10">
        <f t="shared" si="265"/>
        <v>0</v>
      </c>
      <c r="JA66" s="10">
        <f t="shared" si="266"/>
        <v>0</v>
      </c>
      <c r="JB66" s="10">
        <f t="shared" si="267"/>
        <v>0</v>
      </c>
      <c r="JC66" s="10">
        <f t="shared" si="268"/>
        <v>0</v>
      </c>
      <c r="JD66" s="10">
        <f t="shared" si="269"/>
        <v>0</v>
      </c>
      <c r="JE66" s="10">
        <f t="shared" si="270"/>
        <v>0</v>
      </c>
      <c r="JF66" s="10">
        <f t="shared" si="271"/>
        <v>0</v>
      </c>
      <c r="JG66" s="10">
        <v>0</v>
      </c>
      <c r="JH66" s="10">
        <f t="shared" si="272"/>
        <v>0</v>
      </c>
      <c r="JI66" s="10">
        <f t="shared" si="273"/>
        <v>0</v>
      </c>
      <c r="JJ66" s="10">
        <f t="shared" si="274"/>
        <v>20.404984423676012</v>
      </c>
      <c r="JK66" s="10">
        <f t="shared" si="275"/>
        <v>0</v>
      </c>
      <c r="JL66" s="10">
        <f t="shared" si="276"/>
        <v>0</v>
      </c>
      <c r="JM66" s="10">
        <f t="shared" si="277"/>
        <v>0</v>
      </c>
      <c r="JN66" s="10">
        <f t="shared" si="278"/>
        <v>0</v>
      </c>
      <c r="JO66" s="10">
        <f t="shared" si="279"/>
        <v>0</v>
      </c>
      <c r="JP66" s="10">
        <f t="shared" si="280"/>
        <v>0</v>
      </c>
      <c r="JQ66" s="10">
        <f t="shared" si="281"/>
        <v>0</v>
      </c>
      <c r="JR66" s="10">
        <f t="shared" si="282"/>
        <v>0</v>
      </c>
      <c r="JS66" s="10">
        <f t="shared" si="283"/>
        <v>0</v>
      </c>
      <c r="JT66" s="10">
        <f t="shared" si="284"/>
        <v>0</v>
      </c>
      <c r="JU66" s="10">
        <f t="shared" si="285"/>
        <v>0</v>
      </c>
      <c r="JV66" s="10">
        <f t="shared" si="286"/>
        <v>0</v>
      </c>
      <c r="JW66" s="10">
        <f t="shared" si="287"/>
        <v>0</v>
      </c>
      <c r="JX66" s="10">
        <f t="shared" si="288"/>
        <v>142.83489096573209</v>
      </c>
      <c r="JY66" s="10">
        <f t="shared" si="289"/>
        <v>0</v>
      </c>
      <c r="JZ66" s="10">
        <f t="shared" si="290"/>
        <v>0</v>
      </c>
      <c r="KA66" s="10">
        <f t="shared" si="291"/>
        <v>0</v>
      </c>
      <c r="KB66" s="10">
        <f t="shared" si="292"/>
        <v>0</v>
      </c>
      <c r="KC66" s="10">
        <f t="shared" si="293"/>
        <v>0</v>
      </c>
      <c r="KD66" s="10">
        <f t="shared" si="294"/>
        <v>0</v>
      </c>
      <c r="KE66" s="10">
        <f t="shared" si="295"/>
        <v>0</v>
      </c>
      <c r="KF66" s="10">
        <f t="shared" si="296"/>
        <v>183.64485981308411</v>
      </c>
      <c r="KG66" s="10">
        <f t="shared" si="297"/>
        <v>0</v>
      </c>
      <c r="KH66" s="10">
        <f t="shared" si="298"/>
        <v>0</v>
      </c>
      <c r="KI66" s="10">
        <f t="shared" si="299"/>
        <v>0</v>
      </c>
      <c r="KJ66" s="10">
        <f t="shared" si="300"/>
        <v>0</v>
      </c>
      <c r="KK66" s="10">
        <f t="shared" si="301"/>
        <v>0</v>
      </c>
      <c r="KL66" s="10">
        <f t="shared" si="302"/>
        <v>0</v>
      </c>
      <c r="KM66" s="10">
        <f t="shared" si="303"/>
        <v>0</v>
      </c>
      <c r="KN66" s="10">
        <f t="shared" si="304"/>
        <v>0</v>
      </c>
      <c r="KO66" s="10">
        <f t="shared" si="305"/>
        <v>0</v>
      </c>
      <c r="KP66" s="10">
        <f t="shared" si="306"/>
        <v>0</v>
      </c>
      <c r="KQ66" s="11">
        <v>2183.3333333333335</v>
      </c>
      <c r="KR66" s="16"/>
      <c r="KS66" s="12">
        <v>6396.4397223414981</v>
      </c>
      <c r="KT66" s="26">
        <v>88</v>
      </c>
      <c r="KU66" s="26">
        <v>0.97727272727272729</v>
      </c>
      <c r="KV66" s="26">
        <v>1</v>
      </c>
      <c r="KW66" s="26">
        <v>-16.32</v>
      </c>
      <c r="KX66" s="26">
        <v>11.53</v>
      </c>
      <c r="KY66" s="27">
        <v>2.9310167039930395</v>
      </c>
      <c r="KZ66" s="27">
        <v>3.4191127412941285</v>
      </c>
      <c r="LA66" s="17"/>
      <c r="LB66" s="2">
        <v>266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6</v>
      </c>
      <c r="LM66" s="1">
        <v>2</v>
      </c>
      <c r="LN66" s="1">
        <v>212</v>
      </c>
      <c r="LO66" s="1">
        <v>0</v>
      </c>
      <c r="LP66" s="1">
        <v>6</v>
      </c>
      <c r="LQ66" s="1">
        <v>0</v>
      </c>
      <c r="LR66" s="1">
        <v>0</v>
      </c>
      <c r="LS66" s="1">
        <v>0</v>
      </c>
      <c r="LT66" s="1">
        <v>16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24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28"/>
      <c r="ML66" t="s">
        <v>882</v>
      </c>
      <c r="MM66" t="s">
        <v>301</v>
      </c>
      <c r="MN66" t="s">
        <v>320</v>
      </c>
      <c r="MO66" t="s">
        <v>334</v>
      </c>
      <c r="MP66" t="s">
        <v>335</v>
      </c>
      <c r="MQ66" t="s">
        <v>336</v>
      </c>
      <c r="MR66">
        <v>0.06</v>
      </c>
      <c r="MS66" t="s">
        <v>293</v>
      </c>
      <c r="MT66" t="s">
        <v>294</v>
      </c>
      <c r="MU66" t="s">
        <v>295</v>
      </c>
      <c r="MV66">
        <v>6050</v>
      </c>
      <c r="MW66" s="13">
        <v>418</v>
      </c>
      <c r="MX66" s="13" t="s">
        <v>296</v>
      </c>
      <c r="MY66" t="s">
        <v>240</v>
      </c>
      <c r="MZ66" t="s">
        <v>241</v>
      </c>
      <c r="NA66" t="s">
        <v>242</v>
      </c>
      <c r="NB66" t="s">
        <v>297</v>
      </c>
      <c r="ND66" s="18">
        <v>43277</v>
      </c>
      <c r="NE66" s="19">
        <v>0.16041666666666668</v>
      </c>
      <c r="NF66" t="s">
        <v>298</v>
      </c>
      <c r="NG66" t="s">
        <v>136</v>
      </c>
      <c r="NH66" t="s">
        <v>246</v>
      </c>
      <c r="NI66">
        <v>94.9</v>
      </c>
      <c r="NJ66" t="s">
        <v>244</v>
      </c>
      <c r="NK66">
        <v>4</v>
      </c>
      <c r="NL66" t="s">
        <v>248</v>
      </c>
      <c r="NM66">
        <v>29.631599999999999</v>
      </c>
      <c r="NN66">
        <v>-84.922849999999997</v>
      </c>
      <c r="NO66" t="s">
        <v>248</v>
      </c>
      <c r="NP66" t="s">
        <v>266</v>
      </c>
      <c r="NQ66">
        <v>12</v>
      </c>
      <c r="NR66" t="s">
        <v>247</v>
      </c>
      <c r="NS66">
        <v>982000410608656</v>
      </c>
      <c r="NT66" t="s">
        <v>244</v>
      </c>
      <c r="NU66" t="s">
        <v>244</v>
      </c>
      <c r="NV66" t="s">
        <v>248</v>
      </c>
      <c r="NW66" t="s">
        <v>294</v>
      </c>
      <c r="NX66" t="s">
        <v>295</v>
      </c>
      <c r="NY66">
        <v>94.7</v>
      </c>
      <c r="NZ66">
        <v>94</v>
      </c>
      <c r="OA66">
        <v>86</v>
      </c>
      <c r="OB66" s="14">
        <v>6396.4397223414981</v>
      </c>
      <c r="OC66" t="s">
        <v>248</v>
      </c>
      <c r="OD66" t="s">
        <v>247</v>
      </c>
      <c r="OE66" t="s">
        <v>248</v>
      </c>
      <c r="OF66" t="s">
        <v>299</v>
      </c>
      <c r="OG66" t="s">
        <v>247</v>
      </c>
      <c r="OH66">
        <v>55</v>
      </c>
      <c r="OI66" t="s">
        <v>294</v>
      </c>
      <c r="OJ66" t="s">
        <v>300</v>
      </c>
      <c r="OK66">
        <v>88</v>
      </c>
      <c r="OL66">
        <v>0.97727272727272729</v>
      </c>
      <c r="OM66">
        <v>1</v>
      </c>
      <c r="ON66">
        <v>-16.32</v>
      </c>
      <c r="OO66">
        <v>11.53</v>
      </c>
      <c r="OP66" s="25">
        <v>2.9310167039930395</v>
      </c>
      <c r="OQ66" s="25">
        <v>3.4191127412941285</v>
      </c>
      <c r="OR66" t="s">
        <v>911</v>
      </c>
      <c r="OS66" t="s">
        <v>911</v>
      </c>
    </row>
    <row r="67" spans="1:409" x14ac:dyDescent="0.25">
      <c r="A67">
        <v>66</v>
      </c>
      <c r="B67" s="1">
        <v>137</v>
      </c>
      <c r="C67" s="1">
        <v>46</v>
      </c>
      <c r="D67" s="1">
        <v>6</v>
      </c>
      <c r="E67" s="1">
        <v>0</v>
      </c>
      <c r="F67" s="1">
        <v>47</v>
      </c>
      <c r="G67" s="1">
        <v>41</v>
      </c>
      <c r="H67" s="1">
        <v>0</v>
      </c>
      <c r="I67" s="1">
        <v>0</v>
      </c>
      <c r="J67" s="1">
        <v>121</v>
      </c>
      <c r="K67" s="1">
        <v>0</v>
      </c>
      <c r="L67" s="1">
        <v>0</v>
      </c>
      <c r="M67" s="1">
        <v>0</v>
      </c>
      <c r="N67" s="1">
        <v>6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2">
        <v>404</v>
      </c>
      <c r="Y67" s="3"/>
      <c r="Z67" s="15">
        <f t="shared" si="307"/>
        <v>5.3545411958423568</v>
      </c>
      <c r="AA67" s="15">
        <f t="shared" si="308"/>
        <v>1.7978751460492588</v>
      </c>
      <c r="AB67" s="15">
        <f t="shared" si="309"/>
        <v>0.23450545383251198</v>
      </c>
      <c r="AC67" s="15">
        <f t="shared" si="310"/>
        <v>0</v>
      </c>
      <c r="AD67" s="15">
        <f t="shared" si="311"/>
        <v>1.8369593883546773</v>
      </c>
      <c r="AE67" s="15">
        <f t="shared" si="312"/>
        <v>1.6024539345221653</v>
      </c>
      <c r="AF67" s="15">
        <f t="shared" si="313"/>
        <v>0</v>
      </c>
      <c r="AG67" s="15">
        <f t="shared" si="314"/>
        <v>0</v>
      </c>
      <c r="AH67" s="15">
        <f t="shared" si="315"/>
        <v>4.7291933189556588</v>
      </c>
      <c r="AI67" s="15">
        <f t="shared" si="316"/>
        <v>0</v>
      </c>
      <c r="AJ67" s="15">
        <f t="shared" si="317"/>
        <v>0</v>
      </c>
      <c r="AK67" s="15">
        <f t="shared" si="318"/>
        <v>0</v>
      </c>
      <c r="AL67" s="15">
        <f t="shared" si="319"/>
        <v>0.23450545383251198</v>
      </c>
      <c r="AM67" s="15">
        <f t="shared" si="320"/>
        <v>0</v>
      </c>
      <c r="AN67" s="15">
        <f t="shared" si="321"/>
        <v>0</v>
      </c>
      <c r="AO67" s="15">
        <f t="shared" si="322"/>
        <v>0</v>
      </c>
      <c r="AP67" s="15">
        <f t="shared" si="323"/>
        <v>0</v>
      </c>
      <c r="AQ67" s="15">
        <f t="shared" si="324"/>
        <v>0</v>
      </c>
      <c r="AR67" s="15">
        <f t="shared" si="325"/>
        <v>0</v>
      </c>
      <c r="AS67" s="15">
        <f t="shared" si="326"/>
        <v>0</v>
      </c>
      <c r="AT67" s="15">
        <f t="shared" si="327"/>
        <v>0</v>
      </c>
      <c r="AU67" s="15">
        <f t="shared" si="328"/>
        <v>0</v>
      </c>
      <c r="AV67" s="5">
        <f t="shared" si="329"/>
        <v>15.790033891389141</v>
      </c>
      <c r="AW67" s="16"/>
      <c r="AX67" s="6">
        <v>3425</v>
      </c>
      <c r="AY67" s="6">
        <v>1150</v>
      </c>
      <c r="AZ67" s="6">
        <v>150</v>
      </c>
      <c r="BA67" s="6">
        <v>0</v>
      </c>
      <c r="BB67" s="6">
        <v>1175</v>
      </c>
      <c r="BC67" s="6">
        <v>1025</v>
      </c>
      <c r="BD67" s="6">
        <v>0</v>
      </c>
      <c r="BE67" s="6">
        <v>0</v>
      </c>
      <c r="BF67" s="6">
        <v>3025</v>
      </c>
      <c r="BG67" s="6">
        <v>0</v>
      </c>
      <c r="BH67" s="6">
        <v>0</v>
      </c>
      <c r="BI67" s="6">
        <v>0</v>
      </c>
      <c r="BJ67" s="6">
        <v>150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7">
        <v>10100</v>
      </c>
      <c r="BU67" s="16"/>
      <c r="BV67" s="8">
        <v>0</v>
      </c>
      <c r="BW67" s="8">
        <v>7.0000000000000009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23</v>
      </c>
      <c r="CO67" s="8">
        <v>0</v>
      </c>
      <c r="CP67" s="8">
        <v>0</v>
      </c>
      <c r="CQ67" s="8">
        <v>0</v>
      </c>
      <c r="CR67" s="8">
        <v>37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0.99999999999999989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8">
        <v>0</v>
      </c>
      <c r="EA67" s="8">
        <v>0.99999999999999989</v>
      </c>
      <c r="EB67" s="8">
        <v>0</v>
      </c>
      <c r="EC67" s="8">
        <v>0</v>
      </c>
      <c r="ED67" s="8">
        <v>0</v>
      </c>
      <c r="EE67" s="8">
        <v>0.99999999999999989</v>
      </c>
      <c r="EF67" s="8">
        <v>0.99999999999999989</v>
      </c>
      <c r="EG67" s="8">
        <v>0</v>
      </c>
      <c r="EH67" s="8">
        <v>0</v>
      </c>
      <c r="EI67" s="8">
        <v>0</v>
      </c>
      <c r="EJ67" s="8">
        <v>0</v>
      </c>
      <c r="EK67" s="8">
        <v>11</v>
      </c>
      <c r="EL67" s="8">
        <v>0</v>
      </c>
      <c r="EM67" s="8">
        <v>0</v>
      </c>
      <c r="EN67" s="8">
        <v>0.99999999999999989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1.9999999999999998</v>
      </c>
      <c r="FH67" s="8">
        <v>0</v>
      </c>
      <c r="FI67" s="8">
        <v>0</v>
      </c>
      <c r="FJ67" s="8">
        <v>0</v>
      </c>
      <c r="FK67" s="8">
        <v>0</v>
      </c>
      <c r="FL67" s="8">
        <v>0</v>
      </c>
      <c r="FM67" s="8">
        <v>10</v>
      </c>
      <c r="FN67" s="8">
        <v>0</v>
      </c>
      <c r="FO67" s="8">
        <v>0</v>
      </c>
      <c r="FP67" s="8">
        <v>0</v>
      </c>
      <c r="FQ67" s="8">
        <v>0</v>
      </c>
      <c r="FR67" s="8">
        <v>0</v>
      </c>
      <c r="FS67" s="8">
        <v>0.99999999999999989</v>
      </c>
      <c r="FT67" s="8">
        <v>0</v>
      </c>
      <c r="FU67" s="8">
        <v>3.9999999999999996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0.99999999999999989</v>
      </c>
      <c r="GB67" s="8">
        <v>0</v>
      </c>
      <c r="GC67" s="8">
        <v>0</v>
      </c>
      <c r="GD67" s="8">
        <v>0</v>
      </c>
      <c r="GE67" s="8">
        <v>0</v>
      </c>
      <c r="GF67" s="9">
        <v>101</v>
      </c>
      <c r="GG67" s="3"/>
      <c r="GH67" s="10">
        <f t="shared" si="195"/>
        <v>0</v>
      </c>
      <c r="GI67" s="10">
        <f t="shared" si="196"/>
        <v>237.37623762376239</v>
      </c>
      <c r="GJ67" s="10">
        <f t="shared" si="197"/>
        <v>0</v>
      </c>
      <c r="GK67" s="10">
        <f t="shared" si="198"/>
        <v>0</v>
      </c>
      <c r="GL67" s="10">
        <f t="shared" si="199"/>
        <v>0</v>
      </c>
      <c r="GM67" s="10">
        <f t="shared" si="200"/>
        <v>0</v>
      </c>
      <c r="GN67" s="10">
        <f t="shared" si="201"/>
        <v>0</v>
      </c>
      <c r="GO67" s="10">
        <f t="shared" si="202"/>
        <v>0</v>
      </c>
      <c r="GP67" s="10">
        <f t="shared" si="203"/>
        <v>0</v>
      </c>
      <c r="GQ67" s="10">
        <f t="shared" si="204"/>
        <v>0</v>
      </c>
      <c r="GR67" s="10">
        <f t="shared" si="205"/>
        <v>0</v>
      </c>
      <c r="GS67" s="10">
        <f t="shared" si="206"/>
        <v>0</v>
      </c>
      <c r="GT67" s="10">
        <f t="shared" si="207"/>
        <v>0</v>
      </c>
      <c r="GU67" s="10">
        <f t="shared" si="208"/>
        <v>0</v>
      </c>
      <c r="GV67" s="10">
        <f t="shared" si="209"/>
        <v>0</v>
      </c>
      <c r="GW67" s="10">
        <f t="shared" si="210"/>
        <v>0</v>
      </c>
      <c r="GX67" s="10">
        <f t="shared" si="211"/>
        <v>0</v>
      </c>
      <c r="GY67" s="10">
        <f t="shared" si="212"/>
        <v>0</v>
      </c>
      <c r="GZ67" s="10">
        <f t="shared" si="213"/>
        <v>779.95049504950498</v>
      </c>
      <c r="HA67" s="10">
        <f t="shared" si="214"/>
        <v>0</v>
      </c>
      <c r="HB67" s="10">
        <f t="shared" si="215"/>
        <v>0</v>
      </c>
      <c r="HC67" s="10">
        <f t="shared" si="216"/>
        <v>0</v>
      </c>
      <c r="HD67" s="10">
        <f t="shared" si="217"/>
        <v>1254.7029702970297</v>
      </c>
      <c r="HE67" s="10">
        <f t="shared" si="218"/>
        <v>0</v>
      </c>
      <c r="HF67" s="10">
        <f t="shared" si="219"/>
        <v>0</v>
      </c>
      <c r="HG67" s="10">
        <f t="shared" si="220"/>
        <v>0</v>
      </c>
      <c r="HH67" s="10">
        <f t="shared" si="221"/>
        <v>0</v>
      </c>
      <c r="HI67" s="10">
        <f t="shared" si="222"/>
        <v>0</v>
      </c>
      <c r="HJ67" s="10">
        <f t="shared" si="223"/>
        <v>0</v>
      </c>
      <c r="HK67" s="10">
        <f t="shared" si="224"/>
        <v>0</v>
      </c>
      <c r="HL67" s="10">
        <f t="shared" si="225"/>
        <v>0</v>
      </c>
      <c r="HM67" s="10">
        <f t="shared" si="226"/>
        <v>0</v>
      </c>
      <c r="HN67" s="10">
        <f t="shared" si="227"/>
        <v>0</v>
      </c>
      <c r="HO67" s="10">
        <f t="shared" si="228"/>
        <v>33.910891089108908</v>
      </c>
      <c r="HP67" s="10">
        <f t="shared" si="229"/>
        <v>0</v>
      </c>
      <c r="HQ67" s="10">
        <f t="shared" si="230"/>
        <v>0</v>
      </c>
      <c r="HR67" s="10">
        <f t="shared" si="231"/>
        <v>0</v>
      </c>
      <c r="HS67" s="10">
        <f t="shared" si="232"/>
        <v>0</v>
      </c>
      <c r="HT67" s="10">
        <f t="shared" si="233"/>
        <v>0</v>
      </c>
      <c r="HU67" s="10">
        <f t="shared" si="234"/>
        <v>0</v>
      </c>
      <c r="HV67" s="10">
        <f t="shared" si="235"/>
        <v>0</v>
      </c>
      <c r="HW67" s="10">
        <f t="shared" si="236"/>
        <v>0</v>
      </c>
      <c r="HX67" s="10">
        <f t="shared" si="237"/>
        <v>0</v>
      </c>
      <c r="HY67" s="10">
        <f t="shared" si="238"/>
        <v>0</v>
      </c>
      <c r="HZ67" s="10">
        <f t="shared" si="239"/>
        <v>0</v>
      </c>
      <c r="IA67" s="10">
        <f t="shared" si="240"/>
        <v>0</v>
      </c>
      <c r="IB67" s="10">
        <f t="shared" si="241"/>
        <v>0</v>
      </c>
      <c r="IC67" s="10">
        <f t="shared" si="242"/>
        <v>0</v>
      </c>
      <c r="ID67" s="10">
        <f t="shared" si="243"/>
        <v>0</v>
      </c>
      <c r="IE67" s="10">
        <f t="shared" si="244"/>
        <v>0</v>
      </c>
      <c r="IF67" s="10">
        <f t="shared" si="245"/>
        <v>0</v>
      </c>
      <c r="IG67" s="10">
        <f t="shared" si="246"/>
        <v>0</v>
      </c>
      <c r="IH67" s="10">
        <f t="shared" si="247"/>
        <v>0</v>
      </c>
      <c r="II67" s="10">
        <f t="shared" si="248"/>
        <v>0</v>
      </c>
      <c r="IJ67" s="10">
        <f t="shared" si="249"/>
        <v>0</v>
      </c>
      <c r="IK67" s="10">
        <f t="shared" si="250"/>
        <v>0</v>
      </c>
      <c r="IL67" s="10">
        <f t="shared" si="251"/>
        <v>0</v>
      </c>
      <c r="IM67" s="10">
        <f t="shared" si="252"/>
        <v>33.910891089108908</v>
      </c>
      <c r="IN67" s="10">
        <f t="shared" si="253"/>
        <v>0</v>
      </c>
      <c r="IO67" s="10">
        <f t="shared" si="254"/>
        <v>0</v>
      </c>
      <c r="IP67" s="10">
        <f t="shared" si="255"/>
        <v>0</v>
      </c>
      <c r="IQ67" s="10">
        <f t="shared" si="256"/>
        <v>33.910891089108908</v>
      </c>
      <c r="IR67" s="10">
        <f t="shared" si="257"/>
        <v>33.910891089108908</v>
      </c>
      <c r="IS67" s="10">
        <f t="shared" si="258"/>
        <v>0</v>
      </c>
      <c r="IT67" s="10">
        <f t="shared" si="259"/>
        <v>0</v>
      </c>
      <c r="IU67" s="10">
        <f t="shared" si="260"/>
        <v>0</v>
      </c>
      <c r="IV67" s="10">
        <f t="shared" si="261"/>
        <v>0</v>
      </c>
      <c r="IW67" s="10">
        <f t="shared" si="262"/>
        <v>373.019801980198</v>
      </c>
      <c r="IX67" s="10">
        <f t="shared" si="263"/>
        <v>0</v>
      </c>
      <c r="IY67" s="10">
        <f t="shared" si="264"/>
        <v>0</v>
      </c>
      <c r="IZ67" s="10">
        <f t="shared" si="265"/>
        <v>33.910891089108908</v>
      </c>
      <c r="JA67" s="10">
        <f t="shared" si="266"/>
        <v>0</v>
      </c>
      <c r="JB67" s="10">
        <f t="shared" si="267"/>
        <v>0</v>
      </c>
      <c r="JC67" s="10">
        <f t="shared" si="268"/>
        <v>0</v>
      </c>
      <c r="JD67" s="10">
        <f t="shared" si="269"/>
        <v>0</v>
      </c>
      <c r="JE67" s="10">
        <f t="shared" si="270"/>
        <v>0</v>
      </c>
      <c r="JF67" s="10">
        <f t="shared" si="271"/>
        <v>0</v>
      </c>
      <c r="JG67" s="10">
        <v>0</v>
      </c>
      <c r="JH67" s="10">
        <f t="shared" si="272"/>
        <v>0</v>
      </c>
      <c r="JI67" s="10">
        <f t="shared" si="273"/>
        <v>0</v>
      </c>
      <c r="JJ67" s="10">
        <f t="shared" si="274"/>
        <v>0</v>
      </c>
      <c r="JK67" s="10">
        <f t="shared" si="275"/>
        <v>0</v>
      </c>
      <c r="JL67" s="10">
        <f t="shared" si="276"/>
        <v>0</v>
      </c>
      <c r="JM67" s="10">
        <f t="shared" si="277"/>
        <v>0</v>
      </c>
      <c r="JN67" s="10">
        <f t="shared" si="278"/>
        <v>0</v>
      </c>
      <c r="JO67" s="10">
        <f t="shared" si="279"/>
        <v>0</v>
      </c>
      <c r="JP67" s="10">
        <f t="shared" si="280"/>
        <v>0</v>
      </c>
      <c r="JQ67" s="10">
        <f t="shared" si="281"/>
        <v>0</v>
      </c>
      <c r="JR67" s="10">
        <f t="shared" si="282"/>
        <v>67.821782178217816</v>
      </c>
      <c r="JS67" s="10">
        <f t="shared" si="283"/>
        <v>0</v>
      </c>
      <c r="JT67" s="10">
        <f t="shared" si="284"/>
        <v>0</v>
      </c>
      <c r="JU67" s="10">
        <f t="shared" si="285"/>
        <v>0</v>
      </c>
      <c r="JV67" s="10">
        <f t="shared" si="286"/>
        <v>0</v>
      </c>
      <c r="JW67" s="10">
        <f t="shared" si="287"/>
        <v>0</v>
      </c>
      <c r="JX67" s="10">
        <f t="shared" si="288"/>
        <v>339.10891089108912</v>
      </c>
      <c r="JY67" s="10">
        <f t="shared" si="289"/>
        <v>0</v>
      </c>
      <c r="JZ67" s="10">
        <f t="shared" si="290"/>
        <v>0</v>
      </c>
      <c r="KA67" s="10">
        <f t="shared" si="291"/>
        <v>0</v>
      </c>
      <c r="KB67" s="10">
        <f t="shared" si="292"/>
        <v>0</v>
      </c>
      <c r="KC67" s="10">
        <f t="shared" si="293"/>
        <v>0</v>
      </c>
      <c r="KD67" s="10">
        <f t="shared" si="294"/>
        <v>33.910891089108908</v>
      </c>
      <c r="KE67" s="10">
        <f t="shared" si="295"/>
        <v>0</v>
      </c>
      <c r="KF67" s="10">
        <f t="shared" si="296"/>
        <v>135.64356435643563</v>
      </c>
      <c r="KG67" s="10">
        <f t="shared" si="297"/>
        <v>0</v>
      </c>
      <c r="KH67" s="10">
        <f t="shared" si="298"/>
        <v>0</v>
      </c>
      <c r="KI67" s="10">
        <f t="shared" si="299"/>
        <v>0</v>
      </c>
      <c r="KJ67" s="10">
        <f t="shared" si="300"/>
        <v>0</v>
      </c>
      <c r="KK67" s="10">
        <f t="shared" si="301"/>
        <v>0</v>
      </c>
      <c r="KL67" s="10">
        <f t="shared" si="302"/>
        <v>33.910891089108908</v>
      </c>
      <c r="KM67" s="10">
        <f t="shared" si="303"/>
        <v>0</v>
      </c>
      <c r="KN67" s="10">
        <f t="shared" si="304"/>
        <v>0</v>
      </c>
      <c r="KO67" s="10">
        <f t="shared" si="305"/>
        <v>0</v>
      </c>
      <c r="KP67" s="10">
        <f t="shared" si="306"/>
        <v>0</v>
      </c>
      <c r="KQ67" s="11">
        <v>3425.0000000000009</v>
      </c>
      <c r="KR67" s="16"/>
      <c r="KS67" s="12">
        <v>6396.4397223414981</v>
      </c>
      <c r="KT67" s="26">
        <v>88</v>
      </c>
      <c r="KU67" s="26">
        <v>0.97727272727272729</v>
      </c>
      <c r="KV67" s="26">
        <v>1</v>
      </c>
      <c r="KW67" s="26">
        <v>-16.32</v>
      </c>
      <c r="KX67" s="26">
        <v>11.53</v>
      </c>
      <c r="KY67" s="27">
        <v>2.9310167039930395</v>
      </c>
      <c r="KZ67" s="27">
        <v>3.4191127412941285</v>
      </c>
      <c r="LA67" s="17"/>
      <c r="LB67" s="2">
        <v>1808</v>
      </c>
      <c r="LC67" s="1">
        <v>0</v>
      </c>
      <c r="LD67" s="1">
        <v>0</v>
      </c>
      <c r="LE67" s="1">
        <v>0</v>
      </c>
      <c r="LF67" s="1">
        <v>4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216</v>
      </c>
      <c r="LM67" s="1">
        <v>0</v>
      </c>
      <c r="LN67" s="1">
        <v>136</v>
      </c>
      <c r="LO67" s="1">
        <v>0</v>
      </c>
      <c r="LP67" s="1">
        <v>4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4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1444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</v>
      </c>
      <c r="MK67" s="28"/>
      <c r="ML67" t="s">
        <v>883</v>
      </c>
      <c r="MM67" t="s">
        <v>301</v>
      </c>
      <c r="MN67" t="s">
        <v>320</v>
      </c>
      <c r="MO67" t="s">
        <v>337</v>
      </c>
      <c r="MP67" t="s">
        <v>338</v>
      </c>
      <c r="MQ67" t="s">
        <v>339</v>
      </c>
      <c r="MR67">
        <v>0.04</v>
      </c>
      <c r="MS67" t="s">
        <v>293</v>
      </c>
      <c r="MT67" t="s">
        <v>294</v>
      </c>
      <c r="MU67" t="s">
        <v>295</v>
      </c>
      <c r="MV67">
        <v>10100</v>
      </c>
      <c r="MW67" s="13">
        <v>418</v>
      </c>
      <c r="MX67" s="13" t="s">
        <v>296</v>
      </c>
      <c r="MY67" t="s">
        <v>240</v>
      </c>
      <c r="MZ67" t="s">
        <v>241</v>
      </c>
      <c r="NA67" t="s">
        <v>242</v>
      </c>
      <c r="NB67" t="s">
        <v>297</v>
      </c>
      <c r="ND67" s="18">
        <v>43277</v>
      </c>
      <c r="NE67" s="19">
        <v>0.16041666666666668</v>
      </c>
      <c r="NF67" t="s">
        <v>298</v>
      </c>
      <c r="NG67" t="s">
        <v>136</v>
      </c>
      <c r="NH67" t="s">
        <v>246</v>
      </c>
      <c r="NI67">
        <v>94.9</v>
      </c>
      <c r="NJ67" t="s">
        <v>244</v>
      </c>
      <c r="NK67">
        <v>4</v>
      </c>
      <c r="NL67" t="s">
        <v>248</v>
      </c>
      <c r="NM67">
        <v>29.631599999999999</v>
      </c>
      <c r="NN67">
        <v>-84.922849999999997</v>
      </c>
      <c r="NO67" t="s">
        <v>248</v>
      </c>
      <c r="NP67" t="s">
        <v>266</v>
      </c>
      <c r="NQ67">
        <v>12</v>
      </c>
      <c r="NR67" t="s">
        <v>247</v>
      </c>
      <c r="NS67">
        <v>982000410608656</v>
      </c>
      <c r="NT67" t="s">
        <v>244</v>
      </c>
      <c r="NU67" t="s">
        <v>244</v>
      </c>
      <c r="NV67" t="s">
        <v>248</v>
      </c>
      <c r="NW67" t="s">
        <v>294</v>
      </c>
      <c r="NX67" t="s">
        <v>295</v>
      </c>
      <c r="NY67">
        <v>94.7</v>
      </c>
      <c r="NZ67">
        <v>94</v>
      </c>
      <c r="OA67">
        <v>86</v>
      </c>
      <c r="OB67" s="14">
        <v>6396.4397223414981</v>
      </c>
      <c r="OC67" t="s">
        <v>248</v>
      </c>
      <c r="OD67" t="s">
        <v>247</v>
      </c>
      <c r="OE67" t="s">
        <v>248</v>
      </c>
      <c r="OF67" t="s">
        <v>299</v>
      </c>
      <c r="OG67" t="s">
        <v>247</v>
      </c>
      <c r="OH67">
        <v>54</v>
      </c>
      <c r="OI67" t="s">
        <v>294</v>
      </c>
      <c r="OJ67" t="s">
        <v>300</v>
      </c>
      <c r="OK67">
        <v>88</v>
      </c>
      <c r="OL67">
        <v>0.97727272727272729</v>
      </c>
      <c r="OM67">
        <v>1</v>
      </c>
      <c r="ON67">
        <v>-16.32</v>
      </c>
      <c r="OO67">
        <v>11.53</v>
      </c>
      <c r="OP67" s="25">
        <v>2.9310167039930395</v>
      </c>
      <c r="OQ67" s="25">
        <v>3.4191127412941285</v>
      </c>
      <c r="OR67" t="s">
        <v>909</v>
      </c>
      <c r="OS67" t="s">
        <v>909</v>
      </c>
    </row>
    <row r="68" spans="1:409" x14ac:dyDescent="0.25">
      <c r="A68">
        <v>67</v>
      </c>
      <c r="B68" s="1">
        <v>64</v>
      </c>
      <c r="C68" s="1">
        <v>54</v>
      </c>
      <c r="D68" s="1">
        <v>21</v>
      </c>
      <c r="E68" s="1">
        <v>0</v>
      </c>
      <c r="F68" s="1">
        <v>54</v>
      </c>
      <c r="G68" s="1">
        <v>2</v>
      </c>
      <c r="H68" s="1">
        <v>0</v>
      </c>
      <c r="I68" s="1">
        <v>12</v>
      </c>
      <c r="J68" s="1">
        <v>74</v>
      </c>
      <c r="K68" s="1">
        <v>7</v>
      </c>
      <c r="L68" s="1">
        <v>41</v>
      </c>
      <c r="M68" s="1">
        <v>0</v>
      </c>
      <c r="N68" s="1">
        <v>24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2">
        <v>354</v>
      </c>
      <c r="Y68" s="3"/>
      <c r="Z68" s="15">
        <f t="shared" si="307"/>
        <v>0.7495000412799625</v>
      </c>
      <c r="AA68" s="15">
        <f t="shared" si="308"/>
        <v>0.63239065982996834</v>
      </c>
      <c r="AB68" s="15">
        <f t="shared" si="309"/>
        <v>0.24592970104498768</v>
      </c>
      <c r="AC68" s="15">
        <f t="shared" si="310"/>
        <v>0</v>
      </c>
      <c r="AD68" s="15">
        <f t="shared" si="311"/>
        <v>0.63239065982996834</v>
      </c>
      <c r="AE68" s="15">
        <f t="shared" si="312"/>
        <v>2.3421876289998828E-2</v>
      </c>
      <c r="AF68" s="15">
        <f t="shared" si="313"/>
        <v>0</v>
      </c>
      <c r="AG68" s="15">
        <f t="shared" si="314"/>
        <v>0.14053125773999298</v>
      </c>
      <c r="AH68" s="15">
        <f t="shared" si="315"/>
        <v>0.86660942272995678</v>
      </c>
      <c r="AI68" s="15">
        <f t="shared" si="316"/>
        <v>8.1976567014995907E-2</v>
      </c>
      <c r="AJ68" s="15">
        <f t="shared" si="317"/>
        <v>0.48014846394497607</v>
      </c>
      <c r="AK68" s="15">
        <f t="shared" si="318"/>
        <v>0</v>
      </c>
      <c r="AL68" s="15">
        <f t="shared" si="319"/>
        <v>0.28106251547998595</v>
      </c>
      <c r="AM68" s="15">
        <f t="shared" si="320"/>
        <v>0</v>
      </c>
      <c r="AN68" s="15">
        <f t="shared" si="321"/>
        <v>0</v>
      </c>
      <c r="AO68" s="15">
        <f t="shared" si="322"/>
        <v>1.1710938144999414E-2</v>
      </c>
      <c r="AP68" s="15">
        <f t="shared" si="323"/>
        <v>0</v>
      </c>
      <c r="AQ68" s="15">
        <f t="shared" si="324"/>
        <v>0</v>
      </c>
      <c r="AR68" s="15">
        <f t="shared" si="325"/>
        <v>0</v>
      </c>
      <c r="AS68" s="15">
        <f t="shared" si="326"/>
        <v>0</v>
      </c>
      <c r="AT68" s="15">
        <f t="shared" si="327"/>
        <v>0</v>
      </c>
      <c r="AU68" s="15">
        <f t="shared" si="328"/>
        <v>0</v>
      </c>
      <c r="AV68" s="5">
        <f t="shared" si="329"/>
        <v>4.145672103329793</v>
      </c>
      <c r="AW68" s="16"/>
      <c r="AX68" s="6">
        <v>426.66666666666669</v>
      </c>
      <c r="AY68" s="6">
        <v>360</v>
      </c>
      <c r="AZ68" s="6">
        <v>140</v>
      </c>
      <c r="BA68" s="6">
        <v>0</v>
      </c>
      <c r="BB68" s="6">
        <v>360</v>
      </c>
      <c r="BC68" s="6">
        <v>13.333333333333334</v>
      </c>
      <c r="BD68" s="6">
        <v>0</v>
      </c>
      <c r="BE68" s="6">
        <v>80</v>
      </c>
      <c r="BF68" s="6">
        <v>493.33333333333337</v>
      </c>
      <c r="BG68" s="6">
        <v>46.666666666666671</v>
      </c>
      <c r="BH68" s="6">
        <v>273.33333333333337</v>
      </c>
      <c r="BI68" s="6">
        <v>0</v>
      </c>
      <c r="BJ68" s="6">
        <v>160</v>
      </c>
      <c r="BK68" s="6">
        <v>0</v>
      </c>
      <c r="BL68" s="6">
        <v>0</v>
      </c>
      <c r="BM68" s="6">
        <v>6.666666666666667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7">
        <v>2360</v>
      </c>
      <c r="BU68" s="16"/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2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32</v>
      </c>
      <c r="CO68" s="8">
        <v>0</v>
      </c>
      <c r="CP68" s="8">
        <v>0</v>
      </c>
      <c r="CQ68" s="8">
        <v>0</v>
      </c>
      <c r="CR68" s="8">
        <v>8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1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2</v>
      </c>
      <c r="DG68" s="8">
        <v>0</v>
      </c>
      <c r="DH68" s="8">
        <v>0</v>
      </c>
      <c r="DI68" s="8">
        <v>2</v>
      </c>
      <c r="DJ68" s="8">
        <v>2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2</v>
      </c>
      <c r="DT68" s="8">
        <v>1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1</v>
      </c>
      <c r="EC68" s="8">
        <v>0</v>
      </c>
      <c r="ED68" s="8">
        <v>0</v>
      </c>
      <c r="EE68" s="8">
        <v>1</v>
      </c>
      <c r="EF68" s="8">
        <v>0</v>
      </c>
      <c r="EG68" s="8">
        <v>0</v>
      </c>
      <c r="EH68" s="8">
        <v>0</v>
      </c>
      <c r="EI68" s="8">
        <v>1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</v>
      </c>
      <c r="FC68" s="8">
        <v>0</v>
      </c>
      <c r="FD68" s="8">
        <v>1</v>
      </c>
      <c r="FE68" s="8">
        <v>0</v>
      </c>
      <c r="FF68" s="8">
        <v>0</v>
      </c>
      <c r="FG68" s="8">
        <v>1</v>
      </c>
      <c r="FH68" s="8">
        <v>0</v>
      </c>
      <c r="FI68" s="8">
        <v>0</v>
      </c>
      <c r="FJ68" s="8">
        <v>1</v>
      </c>
      <c r="FK68" s="8">
        <v>0</v>
      </c>
      <c r="FL68" s="8">
        <v>0</v>
      </c>
      <c r="FM68" s="8">
        <v>0</v>
      </c>
      <c r="FN68" s="8">
        <v>0</v>
      </c>
      <c r="FO68" s="8">
        <v>0</v>
      </c>
      <c r="FP68" s="8">
        <v>0</v>
      </c>
      <c r="FQ68" s="8">
        <v>1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9">
        <v>59</v>
      </c>
      <c r="GG68" s="3"/>
      <c r="GH68" s="10">
        <f t="shared" si="195"/>
        <v>0</v>
      </c>
      <c r="GI68" s="10">
        <f t="shared" si="196"/>
        <v>0</v>
      </c>
      <c r="GJ68" s="10">
        <f t="shared" si="197"/>
        <v>0</v>
      </c>
      <c r="GK68" s="10">
        <f t="shared" si="198"/>
        <v>0</v>
      </c>
      <c r="GL68" s="10">
        <f t="shared" si="199"/>
        <v>0</v>
      </c>
      <c r="GM68" s="10">
        <f t="shared" si="200"/>
        <v>0</v>
      </c>
      <c r="GN68" s="10">
        <f t="shared" si="201"/>
        <v>0</v>
      </c>
      <c r="GO68" s="10">
        <f t="shared" si="202"/>
        <v>0</v>
      </c>
      <c r="GP68" s="10">
        <f t="shared" si="203"/>
        <v>0</v>
      </c>
      <c r="GQ68" s="10">
        <f t="shared" si="204"/>
        <v>0</v>
      </c>
      <c r="GR68" s="10">
        <f t="shared" si="205"/>
        <v>14.463276836158192</v>
      </c>
      <c r="GS68" s="10">
        <f t="shared" si="206"/>
        <v>0</v>
      </c>
      <c r="GT68" s="10">
        <f t="shared" si="207"/>
        <v>0</v>
      </c>
      <c r="GU68" s="10">
        <f t="shared" si="208"/>
        <v>0</v>
      </c>
      <c r="GV68" s="10">
        <f t="shared" si="209"/>
        <v>0</v>
      </c>
      <c r="GW68" s="10">
        <f t="shared" si="210"/>
        <v>0</v>
      </c>
      <c r="GX68" s="10">
        <f t="shared" si="211"/>
        <v>0</v>
      </c>
      <c r="GY68" s="10">
        <f t="shared" si="212"/>
        <v>0</v>
      </c>
      <c r="GZ68" s="10">
        <f t="shared" si="213"/>
        <v>231.41242937853107</v>
      </c>
      <c r="HA68" s="10">
        <f t="shared" si="214"/>
        <v>0</v>
      </c>
      <c r="HB68" s="10">
        <f t="shared" si="215"/>
        <v>0</v>
      </c>
      <c r="HC68" s="10">
        <f t="shared" si="216"/>
        <v>0</v>
      </c>
      <c r="HD68" s="10">
        <f t="shared" si="217"/>
        <v>57.853107344632768</v>
      </c>
      <c r="HE68" s="10">
        <f t="shared" si="218"/>
        <v>0</v>
      </c>
      <c r="HF68" s="10">
        <f t="shared" si="219"/>
        <v>0</v>
      </c>
      <c r="HG68" s="10">
        <f t="shared" si="220"/>
        <v>0</v>
      </c>
      <c r="HH68" s="10">
        <f t="shared" si="221"/>
        <v>0</v>
      </c>
      <c r="HI68" s="10">
        <f t="shared" si="222"/>
        <v>0</v>
      </c>
      <c r="HJ68" s="10">
        <f t="shared" si="223"/>
        <v>7.231638418079096</v>
      </c>
      <c r="HK68" s="10">
        <f t="shared" si="224"/>
        <v>0</v>
      </c>
      <c r="HL68" s="10">
        <f t="shared" si="225"/>
        <v>0</v>
      </c>
      <c r="HM68" s="10">
        <f t="shared" si="226"/>
        <v>0</v>
      </c>
      <c r="HN68" s="10">
        <f t="shared" si="227"/>
        <v>0</v>
      </c>
      <c r="HO68" s="10">
        <f t="shared" si="228"/>
        <v>0</v>
      </c>
      <c r="HP68" s="10">
        <f t="shared" si="229"/>
        <v>0</v>
      </c>
      <c r="HQ68" s="10">
        <f t="shared" si="230"/>
        <v>0</v>
      </c>
      <c r="HR68" s="10">
        <f t="shared" si="231"/>
        <v>14.463276836158192</v>
      </c>
      <c r="HS68" s="10">
        <f t="shared" si="232"/>
        <v>0</v>
      </c>
      <c r="HT68" s="10">
        <f t="shared" si="233"/>
        <v>0</v>
      </c>
      <c r="HU68" s="10">
        <f t="shared" si="234"/>
        <v>14.463276836158192</v>
      </c>
      <c r="HV68" s="10">
        <f t="shared" si="235"/>
        <v>14.463276836158192</v>
      </c>
      <c r="HW68" s="10">
        <f t="shared" si="236"/>
        <v>0</v>
      </c>
      <c r="HX68" s="10">
        <f t="shared" si="237"/>
        <v>0</v>
      </c>
      <c r="HY68" s="10">
        <f t="shared" si="238"/>
        <v>0</v>
      </c>
      <c r="HZ68" s="10">
        <f t="shared" si="239"/>
        <v>0</v>
      </c>
      <c r="IA68" s="10">
        <f t="shared" si="240"/>
        <v>0</v>
      </c>
      <c r="IB68" s="10">
        <f t="shared" si="241"/>
        <v>0</v>
      </c>
      <c r="IC68" s="10">
        <f t="shared" si="242"/>
        <v>0</v>
      </c>
      <c r="ID68" s="10">
        <f t="shared" si="243"/>
        <v>0</v>
      </c>
      <c r="IE68" s="10">
        <f t="shared" si="244"/>
        <v>14.463276836158192</v>
      </c>
      <c r="IF68" s="10">
        <f t="shared" si="245"/>
        <v>7.231638418079096</v>
      </c>
      <c r="IG68" s="10">
        <f t="shared" si="246"/>
        <v>0</v>
      </c>
      <c r="IH68" s="10">
        <f t="shared" si="247"/>
        <v>0</v>
      </c>
      <c r="II68" s="10">
        <f t="shared" si="248"/>
        <v>0</v>
      </c>
      <c r="IJ68" s="10">
        <f t="shared" si="249"/>
        <v>0</v>
      </c>
      <c r="IK68" s="10">
        <f t="shared" si="250"/>
        <v>0</v>
      </c>
      <c r="IL68" s="10">
        <f t="shared" si="251"/>
        <v>0</v>
      </c>
      <c r="IM68" s="10">
        <f t="shared" si="252"/>
        <v>0</v>
      </c>
      <c r="IN68" s="10">
        <f t="shared" si="253"/>
        <v>7.231638418079096</v>
      </c>
      <c r="IO68" s="10">
        <f t="shared" si="254"/>
        <v>0</v>
      </c>
      <c r="IP68" s="10">
        <f t="shared" si="255"/>
        <v>0</v>
      </c>
      <c r="IQ68" s="10">
        <f t="shared" si="256"/>
        <v>7.231638418079096</v>
      </c>
      <c r="IR68" s="10">
        <f t="shared" si="257"/>
        <v>0</v>
      </c>
      <c r="IS68" s="10">
        <f t="shared" si="258"/>
        <v>0</v>
      </c>
      <c r="IT68" s="10">
        <f t="shared" si="259"/>
        <v>0</v>
      </c>
      <c r="IU68" s="10">
        <f t="shared" si="260"/>
        <v>7.231638418079096</v>
      </c>
      <c r="IV68" s="10">
        <f t="shared" si="261"/>
        <v>0</v>
      </c>
      <c r="IW68" s="10">
        <f t="shared" si="262"/>
        <v>0</v>
      </c>
      <c r="IX68" s="10">
        <f t="shared" si="263"/>
        <v>0</v>
      </c>
      <c r="IY68" s="10">
        <f t="shared" si="264"/>
        <v>0</v>
      </c>
      <c r="IZ68" s="10">
        <f t="shared" si="265"/>
        <v>0</v>
      </c>
      <c r="JA68" s="10">
        <f t="shared" si="266"/>
        <v>0</v>
      </c>
      <c r="JB68" s="10">
        <f t="shared" si="267"/>
        <v>0</v>
      </c>
      <c r="JC68" s="10">
        <f t="shared" si="268"/>
        <v>0</v>
      </c>
      <c r="JD68" s="10">
        <f t="shared" si="269"/>
        <v>0</v>
      </c>
      <c r="JE68" s="10">
        <f t="shared" si="270"/>
        <v>0</v>
      </c>
      <c r="JF68" s="10">
        <f t="shared" si="271"/>
        <v>0</v>
      </c>
      <c r="JG68" s="10">
        <v>0</v>
      </c>
      <c r="JH68" s="10">
        <f t="shared" si="272"/>
        <v>0</v>
      </c>
      <c r="JI68" s="10">
        <f t="shared" si="273"/>
        <v>0</v>
      </c>
      <c r="JJ68" s="10">
        <f t="shared" si="274"/>
        <v>0</v>
      </c>
      <c r="JK68" s="10">
        <f t="shared" si="275"/>
        <v>0</v>
      </c>
      <c r="JL68" s="10">
        <f t="shared" si="276"/>
        <v>0</v>
      </c>
      <c r="JM68" s="10">
        <f t="shared" si="277"/>
        <v>0</v>
      </c>
      <c r="JN68" s="10">
        <f t="shared" si="278"/>
        <v>0</v>
      </c>
      <c r="JO68" s="10">
        <f t="shared" si="279"/>
        <v>7.231638418079096</v>
      </c>
      <c r="JP68" s="10">
        <f t="shared" si="280"/>
        <v>0</v>
      </c>
      <c r="JQ68" s="10">
        <f t="shared" si="281"/>
        <v>0</v>
      </c>
      <c r="JR68" s="10">
        <f t="shared" si="282"/>
        <v>7.231638418079096</v>
      </c>
      <c r="JS68" s="10">
        <f t="shared" si="283"/>
        <v>0</v>
      </c>
      <c r="JT68" s="10">
        <f t="shared" si="284"/>
        <v>0</v>
      </c>
      <c r="JU68" s="10">
        <f t="shared" si="285"/>
        <v>7.231638418079096</v>
      </c>
      <c r="JV68" s="10">
        <f t="shared" si="286"/>
        <v>0</v>
      </c>
      <c r="JW68" s="10">
        <f t="shared" si="287"/>
        <v>0</v>
      </c>
      <c r="JX68" s="10">
        <f t="shared" si="288"/>
        <v>0</v>
      </c>
      <c r="JY68" s="10">
        <f t="shared" si="289"/>
        <v>0</v>
      </c>
      <c r="JZ68" s="10">
        <f t="shared" si="290"/>
        <v>0</v>
      </c>
      <c r="KA68" s="10">
        <f t="shared" si="291"/>
        <v>0</v>
      </c>
      <c r="KB68" s="10">
        <f t="shared" si="292"/>
        <v>7.231638418079096</v>
      </c>
      <c r="KC68" s="10">
        <f t="shared" si="293"/>
        <v>0</v>
      </c>
      <c r="KD68" s="10">
        <f t="shared" si="294"/>
        <v>0</v>
      </c>
      <c r="KE68" s="10">
        <f t="shared" si="295"/>
        <v>0</v>
      </c>
      <c r="KF68" s="10">
        <f t="shared" si="296"/>
        <v>0</v>
      </c>
      <c r="KG68" s="10">
        <f t="shared" si="297"/>
        <v>0</v>
      </c>
      <c r="KH68" s="10">
        <f t="shared" si="298"/>
        <v>0</v>
      </c>
      <c r="KI68" s="10">
        <f t="shared" si="299"/>
        <v>0</v>
      </c>
      <c r="KJ68" s="10">
        <f t="shared" si="300"/>
        <v>0</v>
      </c>
      <c r="KK68" s="10">
        <f t="shared" si="301"/>
        <v>0</v>
      </c>
      <c r="KL68" s="10">
        <f t="shared" si="302"/>
        <v>0</v>
      </c>
      <c r="KM68" s="10">
        <f t="shared" si="303"/>
        <v>0</v>
      </c>
      <c r="KN68" s="10">
        <f t="shared" si="304"/>
        <v>0</v>
      </c>
      <c r="KO68" s="10">
        <f t="shared" si="305"/>
        <v>0</v>
      </c>
      <c r="KP68" s="10">
        <f t="shared" si="306"/>
        <v>0</v>
      </c>
      <c r="KQ68" s="11">
        <v>426.66666666666674</v>
      </c>
      <c r="KR68" s="16"/>
      <c r="KS68" s="12">
        <v>5692.6836980292155</v>
      </c>
      <c r="KT68" s="26">
        <v>87</v>
      </c>
      <c r="KU68" s="26">
        <v>0.95402298850574707</v>
      </c>
      <c r="KV68" s="26">
        <v>1</v>
      </c>
      <c r="KW68" s="26">
        <v>-16.2</v>
      </c>
      <c r="KX68" s="26">
        <v>10.96</v>
      </c>
      <c r="KY68" s="27">
        <v>3.051988391508901</v>
      </c>
      <c r="KZ68" s="27">
        <v>3.5602295890957292</v>
      </c>
      <c r="LA68" s="17"/>
      <c r="LB68" s="2">
        <v>789</v>
      </c>
      <c r="LC68" s="1">
        <v>0</v>
      </c>
      <c r="LD68" s="1">
        <v>2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297</v>
      </c>
      <c r="LM68" s="1">
        <v>18</v>
      </c>
      <c r="LN68" s="1">
        <v>1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90</v>
      </c>
      <c r="LU68" s="1">
        <v>0</v>
      </c>
      <c r="LV68" s="1">
        <v>0</v>
      </c>
      <c r="LW68" s="1">
        <v>4</v>
      </c>
      <c r="LX68" s="1">
        <v>0</v>
      </c>
      <c r="LY68" s="1">
        <v>0</v>
      </c>
      <c r="LZ68" s="1">
        <v>0</v>
      </c>
      <c r="MA68" s="1">
        <v>3</v>
      </c>
      <c r="MB68" s="1">
        <v>0</v>
      </c>
      <c r="MC68" s="1">
        <v>0</v>
      </c>
      <c r="MD68" s="1">
        <v>374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>
        <v>0</v>
      </c>
      <c r="MK68" s="28"/>
      <c r="ML68" t="s">
        <v>884</v>
      </c>
      <c r="MM68" t="s">
        <v>428</v>
      </c>
      <c r="MN68" t="s">
        <v>320</v>
      </c>
      <c r="MO68" t="s">
        <v>321</v>
      </c>
      <c r="MP68" t="s">
        <v>322</v>
      </c>
      <c r="MQ68" t="s">
        <v>323</v>
      </c>
      <c r="MR68">
        <v>0.15</v>
      </c>
      <c r="MS68" t="s">
        <v>302</v>
      </c>
      <c r="MT68" t="s">
        <v>303</v>
      </c>
      <c r="MU68" t="s">
        <v>304</v>
      </c>
      <c r="MV68">
        <v>2360</v>
      </c>
      <c r="MW68" s="13">
        <v>434</v>
      </c>
      <c r="MX68" s="13" t="s">
        <v>305</v>
      </c>
      <c r="MY68" t="s">
        <v>240</v>
      </c>
      <c r="MZ68" t="s">
        <v>241</v>
      </c>
      <c r="NA68" t="s">
        <v>242</v>
      </c>
      <c r="NB68" t="s">
        <v>306</v>
      </c>
      <c r="ND68" s="18">
        <v>43281</v>
      </c>
      <c r="NE68" s="19">
        <v>2.0833333333333332E-2</v>
      </c>
      <c r="NF68" t="s">
        <v>244</v>
      </c>
      <c r="NG68" t="s">
        <v>245</v>
      </c>
      <c r="NH68" t="s">
        <v>246</v>
      </c>
      <c r="NI68">
        <v>90.3</v>
      </c>
      <c r="NJ68" t="s">
        <v>244</v>
      </c>
      <c r="NK68">
        <v>5</v>
      </c>
      <c r="NL68" t="s">
        <v>244</v>
      </c>
      <c r="NM68">
        <v>29.62923</v>
      </c>
      <c r="NN68">
        <v>-84.927000000000007</v>
      </c>
      <c r="NO68" t="s">
        <v>248</v>
      </c>
      <c r="NP68" t="s">
        <v>307</v>
      </c>
      <c r="NQ68">
        <v>12</v>
      </c>
      <c r="NR68" t="s">
        <v>247</v>
      </c>
      <c r="NS68">
        <v>982000410609347</v>
      </c>
      <c r="NT68" t="s">
        <v>244</v>
      </c>
      <c r="NU68" t="s">
        <v>244</v>
      </c>
      <c r="NV68" t="s">
        <v>248</v>
      </c>
      <c r="NW68" t="s">
        <v>303</v>
      </c>
      <c r="NX68" t="s">
        <v>304</v>
      </c>
      <c r="NY68">
        <v>88.5</v>
      </c>
      <c r="NZ68">
        <v>87.8</v>
      </c>
      <c r="OA68">
        <v>81.900000000000006</v>
      </c>
      <c r="OB68" s="14">
        <v>5692.6836980292155</v>
      </c>
      <c r="OC68" t="s">
        <v>248</v>
      </c>
      <c r="OD68" t="s">
        <v>247</v>
      </c>
      <c r="OE68" t="s">
        <v>248</v>
      </c>
      <c r="OF68" t="s">
        <v>308</v>
      </c>
      <c r="OG68" t="s">
        <v>247</v>
      </c>
      <c r="OH68">
        <v>63</v>
      </c>
      <c r="OI68" t="s">
        <v>303</v>
      </c>
      <c r="OJ68" t="s">
        <v>309</v>
      </c>
      <c r="OK68">
        <v>87</v>
      </c>
      <c r="OL68">
        <v>0.95402298850574707</v>
      </c>
      <c r="OM68">
        <v>1</v>
      </c>
      <c r="ON68">
        <v>-16.2</v>
      </c>
      <c r="OO68">
        <v>10.96</v>
      </c>
      <c r="OP68" s="25">
        <v>3.051988391508901</v>
      </c>
      <c r="OQ68" s="25">
        <v>3.5602295890957292</v>
      </c>
      <c r="OR68" t="s">
        <v>909</v>
      </c>
      <c r="OS68" t="s">
        <v>909</v>
      </c>
    </row>
    <row r="69" spans="1:409" x14ac:dyDescent="0.25">
      <c r="A69">
        <v>68</v>
      </c>
      <c r="B69" s="1">
        <v>125</v>
      </c>
      <c r="C69" s="1">
        <v>79</v>
      </c>
      <c r="D69" s="1">
        <v>5</v>
      </c>
      <c r="E69" s="1">
        <v>5</v>
      </c>
      <c r="F69" s="1">
        <v>31</v>
      </c>
      <c r="G69" s="1">
        <v>6</v>
      </c>
      <c r="H69" s="1">
        <v>2</v>
      </c>
      <c r="I69" s="1">
        <v>6</v>
      </c>
      <c r="J69" s="1">
        <v>15</v>
      </c>
      <c r="K69" s="1">
        <v>16</v>
      </c>
      <c r="L69" s="1">
        <v>5</v>
      </c>
      <c r="M69" s="1"/>
      <c r="N69" s="1">
        <v>30</v>
      </c>
      <c r="O69" s="1">
        <v>0</v>
      </c>
      <c r="P69" s="1">
        <v>0</v>
      </c>
      <c r="Q69" s="1">
        <v>38</v>
      </c>
      <c r="R69" s="1">
        <v>0</v>
      </c>
      <c r="S69" s="1">
        <v>0</v>
      </c>
      <c r="T69" s="1">
        <v>3</v>
      </c>
      <c r="U69" s="1">
        <v>0</v>
      </c>
      <c r="V69" s="1">
        <v>3</v>
      </c>
      <c r="W69" s="1">
        <v>0</v>
      </c>
      <c r="X69" s="2">
        <v>369</v>
      </c>
      <c r="Y69" s="3"/>
      <c r="Z69" s="15">
        <f t="shared" si="307"/>
        <v>2.1958009021873899</v>
      </c>
      <c r="AA69" s="15">
        <f t="shared" si="308"/>
        <v>1.3877461701824307</v>
      </c>
      <c r="AB69" s="15">
        <f t="shared" si="309"/>
        <v>8.783203608749561E-2</v>
      </c>
      <c r="AC69" s="15">
        <f t="shared" si="310"/>
        <v>8.783203608749561E-2</v>
      </c>
      <c r="AD69" s="15">
        <f t="shared" si="311"/>
        <v>0.54455862374247277</v>
      </c>
      <c r="AE69" s="15">
        <f t="shared" si="312"/>
        <v>0.10539844330499473</v>
      </c>
      <c r="AF69" s="15">
        <f t="shared" si="313"/>
        <v>3.5132814434998244E-2</v>
      </c>
      <c r="AG69" s="15">
        <f t="shared" si="314"/>
        <v>0.10539844330499473</v>
      </c>
      <c r="AH69" s="15">
        <f t="shared" si="315"/>
        <v>0.26349610826248682</v>
      </c>
      <c r="AI69" s="15">
        <f t="shared" si="316"/>
        <v>0.28106251547998595</v>
      </c>
      <c r="AJ69" s="15">
        <f t="shared" si="317"/>
        <v>8.783203608749561E-2</v>
      </c>
      <c r="AK69" s="15">
        <f t="shared" si="318"/>
        <v>0</v>
      </c>
      <c r="AL69" s="15">
        <f t="shared" si="319"/>
        <v>0.52699221652497363</v>
      </c>
      <c r="AM69" s="15">
        <f t="shared" si="320"/>
        <v>0</v>
      </c>
      <c r="AN69" s="15">
        <f t="shared" si="321"/>
        <v>0</v>
      </c>
      <c r="AO69" s="15">
        <f t="shared" si="322"/>
        <v>0.66752347426496661</v>
      </c>
      <c r="AP69" s="15">
        <f t="shared" si="323"/>
        <v>0</v>
      </c>
      <c r="AQ69" s="15">
        <f t="shared" si="324"/>
        <v>0</v>
      </c>
      <c r="AR69" s="15">
        <f t="shared" si="325"/>
        <v>5.2699221652497366E-2</v>
      </c>
      <c r="AS69" s="15">
        <f t="shared" si="326"/>
        <v>0</v>
      </c>
      <c r="AT69" s="15">
        <f t="shared" si="327"/>
        <v>5.2699221652497366E-2</v>
      </c>
      <c r="AU69" s="15">
        <f t="shared" si="328"/>
        <v>0</v>
      </c>
      <c r="AV69" s="5">
        <f t="shared" si="329"/>
        <v>6.4820042632571759</v>
      </c>
      <c r="AW69" s="16"/>
      <c r="AX69" s="6">
        <v>1250</v>
      </c>
      <c r="AY69" s="6">
        <v>790</v>
      </c>
      <c r="AZ69" s="6">
        <v>50</v>
      </c>
      <c r="BA69" s="6">
        <v>50</v>
      </c>
      <c r="BB69" s="6">
        <v>310</v>
      </c>
      <c r="BC69" s="6">
        <v>60</v>
      </c>
      <c r="BD69" s="6">
        <v>20</v>
      </c>
      <c r="BE69" s="6">
        <v>60</v>
      </c>
      <c r="BF69" s="6">
        <v>150</v>
      </c>
      <c r="BG69" s="6">
        <v>160</v>
      </c>
      <c r="BH69" s="6">
        <v>50</v>
      </c>
      <c r="BI69" s="6">
        <v>0</v>
      </c>
      <c r="BJ69" s="6">
        <v>300</v>
      </c>
      <c r="BK69" s="6">
        <v>0</v>
      </c>
      <c r="BL69" s="6">
        <v>0</v>
      </c>
      <c r="BM69" s="6">
        <v>380</v>
      </c>
      <c r="BN69" s="6">
        <v>0</v>
      </c>
      <c r="BO69" s="6">
        <v>0</v>
      </c>
      <c r="BP69" s="6">
        <v>30</v>
      </c>
      <c r="BQ69" s="6">
        <v>0</v>
      </c>
      <c r="BR69" s="6">
        <v>30</v>
      </c>
      <c r="BS69" s="6">
        <v>0</v>
      </c>
      <c r="BT69" s="7">
        <v>3690</v>
      </c>
      <c r="BU69" s="16"/>
      <c r="BV69" s="8">
        <v>0</v>
      </c>
      <c r="BW69" s="8">
        <v>0</v>
      </c>
      <c r="BX69" s="8">
        <v>0</v>
      </c>
      <c r="BY69" s="8">
        <v>0</v>
      </c>
      <c r="BZ69" s="8">
        <v>1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2</v>
      </c>
      <c r="CG69" s="8">
        <v>0</v>
      </c>
      <c r="CH69" s="8">
        <v>0</v>
      </c>
      <c r="CI69" s="8">
        <v>0</v>
      </c>
      <c r="CJ69" s="8">
        <v>3</v>
      </c>
      <c r="CK69" s="8">
        <v>0</v>
      </c>
      <c r="CL69" s="8">
        <v>0</v>
      </c>
      <c r="CM69" s="8">
        <v>0</v>
      </c>
      <c r="CN69" s="8">
        <v>66</v>
      </c>
      <c r="CO69" s="8">
        <v>0</v>
      </c>
      <c r="CP69" s="8">
        <v>0</v>
      </c>
      <c r="CQ69" s="8">
        <v>0</v>
      </c>
      <c r="CR69" s="8">
        <v>5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2</v>
      </c>
      <c r="CZ69" s="8">
        <v>0</v>
      </c>
      <c r="DA69" s="8">
        <v>0</v>
      </c>
      <c r="DB69" s="8">
        <v>1</v>
      </c>
      <c r="DC69" s="8">
        <v>0</v>
      </c>
      <c r="DD69" s="8">
        <v>0</v>
      </c>
      <c r="DE69" s="8">
        <v>0</v>
      </c>
      <c r="DF69" s="8">
        <v>1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1</v>
      </c>
      <c r="DR69" s="8">
        <v>0</v>
      </c>
      <c r="DS69" s="8">
        <v>3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1</v>
      </c>
      <c r="EC69" s="8">
        <v>0</v>
      </c>
      <c r="ED69" s="8">
        <v>0</v>
      </c>
      <c r="EE69" s="8">
        <v>0</v>
      </c>
      <c r="EF69" s="8">
        <v>2</v>
      </c>
      <c r="EG69" s="8">
        <v>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1</v>
      </c>
      <c r="EV69" s="8">
        <v>0</v>
      </c>
      <c r="EW69" s="8">
        <v>0</v>
      </c>
      <c r="EX69" s="8">
        <v>0</v>
      </c>
      <c r="EY69" s="8">
        <v>0</v>
      </c>
      <c r="EZ69" s="8">
        <v>1</v>
      </c>
      <c r="FA69" s="8">
        <v>0</v>
      </c>
      <c r="FB69" s="8">
        <v>0</v>
      </c>
      <c r="FC69" s="8">
        <v>0</v>
      </c>
      <c r="FD69" s="8">
        <v>1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</v>
      </c>
      <c r="FL69" s="8">
        <v>0</v>
      </c>
      <c r="FM69" s="8">
        <v>1</v>
      </c>
      <c r="FN69" s="8">
        <v>0</v>
      </c>
      <c r="FO69" s="8">
        <v>0</v>
      </c>
      <c r="FP69" s="8">
        <v>0</v>
      </c>
      <c r="FQ69" s="8">
        <v>2</v>
      </c>
      <c r="FR69" s="8">
        <v>0</v>
      </c>
      <c r="FS69" s="8">
        <v>8</v>
      </c>
      <c r="FT69" s="8">
        <v>0</v>
      </c>
      <c r="FU69" s="8">
        <v>12</v>
      </c>
      <c r="FV69" s="8">
        <v>0</v>
      </c>
      <c r="FW69" s="8">
        <v>1</v>
      </c>
      <c r="FX69" s="8">
        <v>0</v>
      </c>
      <c r="FY69" s="8">
        <v>0</v>
      </c>
      <c r="FZ69" s="8">
        <v>0</v>
      </c>
      <c r="GA69" s="8">
        <v>2</v>
      </c>
      <c r="GB69" s="8">
        <v>0</v>
      </c>
      <c r="GC69" s="8">
        <v>3</v>
      </c>
      <c r="GD69" s="8">
        <v>0</v>
      </c>
      <c r="GE69" s="8">
        <v>0</v>
      </c>
      <c r="GF69" s="9">
        <v>120</v>
      </c>
      <c r="GG69" s="3"/>
      <c r="GH69" s="10">
        <f t="shared" si="195"/>
        <v>0</v>
      </c>
      <c r="GI69" s="10">
        <f t="shared" si="196"/>
        <v>0</v>
      </c>
      <c r="GJ69" s="10">
        <f t="shared" si="197"/>
        <v>0</v>
      </c>
      <c r="GK69" s="10">
        <f t="shared" si="198"/>
        <v>0</v>
      </c>
      <c r="GL69" s="10">
        <f t="shared" si="199"/>
        <v>10.416666666666666</v>
      </c>
      <c r="GM69" s="10">
        <f t="shared" si="200"/>
        <v>0</v>
      </c>
      <c r="GN69" s="10">
        <f t="shared" si="201"/>
        <v>0</v>
      </c>
      <c r="GO69" s="10">
        <f t="shared" si="202"/>
        <v>0</v>
      </c>
      <c r="GP69" s="10">
        <f t="shared" si="203"/>
        <v>0</v>
      </c>
      <c r="GQ69" s="10">
        <f t="shared" si="204"/>
        <v>0</v>
      </c>
      <c r="GR69" s="10">
        <f t="shared" si="205"/>
        <v>20.833333333333332</v>
      </c>
      <c r="GS69" s="10">
        <f t="shared" si="206"/>
        <v>0</v>
      </c>
      <c r="GT69" s="10">
        <f t="shared" si="207"/>
        <v>0</v>
      </c>
      <c r="GU69" s="10">
        <f t="shared" si="208"/>
        <v>0</v>
      </c>
      <c r="GV69" s="10">
        <f t="shared" si="209"/>
        <v>31.25</v>
      </c>
      <c r="GW69" s="10">
        <f t="shared" si="210"/>
        <v>0</v>
      </c>
      <c r="GX69" s="10">
        <f t="shared" si="211"/>
        <v>0</v>
      </c>
      <c r="GY69" s="10">
        <f t="shared" si="212"/>
        <v>0</v>
      </c>
      <c r="GZ69" s="10">
        <f t="shared" si="213"/>
        <v>687.5</v>
      </c>
      <c r="HA69" s="10">
        <f t="shared" si="214"/>
        <v>0</v>
      </c>
      <c r="HB69" s="10">
        <f t="shared" si="215"/>
        <v>0</v>
      </c>
      <c r="HC69" s="10">
        <f t="shared" si="216"/>
        <v>0</v>
      </c>
      <c r="HD69" s="10">
        <f t="shared" si="217"/>
        <v>52.083333333333329</v>
      </c>
      <c r="HE69" s="10">
        <f t="shared" si="218"/>
        <v>0</v>
      </c>
      <c r="HF69" s="10">
        <f t="shared" si="219"/>
        <v>0</v>
      </c>
      <c r="HG69" s="10">
        <f t="shared" si="220"/>
        <v>0</v>
      </c>
      <c r="HH69" s="10">
        <f t="shared" si="221"/>
        <v>0</v>
      </c>
      <c r="HI69" s="10">
        <f t="shared" si="222"/>
        <v>0</v>
      </c>
      <c r="HJ69" s="10">
        <f t="shared" si="223"/>
        <v>0</v>
      </c>
      <c r="HK69" s="10">
        <f t="shared" si="224"/>
        <v>20.833333333333332</v>
      </c>
      <c r="HL69" s="10">
        <f t="shared" si="225"/>
        <v>0</v>
      </c>
      <c r="HM69" s="10">
        <f t="shared" si="226"/>
        <v>0</v>
      </c>
      <c r="HN69" s="10">
        <f t="shared" si="227"/>
        <v>10.416666666666666</v>
      </c>
      <c r="HO69" s="10">
        <f t="shared" si="228"/>
        <v>0</v>
      </c>
      <c r="HP69" s="10">
        <f t="shared" si="229"/>
        <v>0</v>
      </c>
      <c r="HQ69" s="10">
        <f t="shared" si="230"/>
        <v>0</v>
      </c>
      <c r="HR69" s="10">
        <f t="shared" si="231"/>
        <v>10.416666666666666</v>
      </c>
      <c r="HS69" s="10">
        <f t="shared" si="232"/>
        <v>0</v>
      </c>
      <c r="HT69" s="10">
        <f t="shared" si="233"/>
        <v>0</v>
      </c>
      <c r="HU69" s="10">
        <f t="shared" si="234"/>
        <v>0</v>
      </c>
      <c r="HV69" s="10">
        <f t="shared" si="235"/>
        <v>0</v>
      </c>
      <c r="HW69" s="10">
        <f t="shared" si="236"/>
        <v>0</v>
      </c>
      <c r="HX69" s="10">
        <f t="shared" si="237"/>
        <v>0</v>
      </c>
      <c r="HY69" s="10">
        <f t="shared" si="238"/>
        <v>0</v>
      </c>
      <c r="HZ69" s="10">
        <f t="shared" si="239"/>
        <v>0</v>
      </c>
      <c r="IA69" s="10">
        <f t="shared" si="240"/>
        <v>0</v>
      </c>
      <c r="IB69" s="10">
        <f t="shared" si="241"/>
        <v>0</v>
      </c>
      <c r="IC69" s="10">
        <f t="shared" si="242"/>
        <v>10.416666666666666</v>
      </c>
      <c r="ID69" s="10">
        <f t="shared" si="243"/>
        <v>0</v>
      </c>
      <c r="IE69" s="10">
        <f t="shared" si="244"/>
        <v>31.25</v>
      </c>
      <c r="IF69" s="10">
        <f t="shared" si="245"/>
        <v>0</v>
      </c>
      <c r="IG69" s="10">
        <f t="shared" si="246"/>
        <v>0</v>
      </c>
      <c r="IH69" s="10">
        <f t="shared" si="247"/>
        <v>0</v>
      </c>
      <c r="II69" s="10">
        <f t="shared" si="248"/>
        <v>0</v>
      </c>
      <c r="IJ69" s="10">
        <f t="shared" si="249"/>
        <v>0</v>
      </c>
      <c r="IK69" s="10">
        <f t="shared" si="250"/>
        <v>0</v>
      </c>
      <c r="IL69" s="10">
        <f t="shared" si="251"/>
        <v>0</v>
      </c>
      <c r="IM69" s="10">
        <f t="shared" si="252"/>
        <v>0</v>
      </c>
      <c r="IN69" s="10">
        <f t="shared" si="253"/>
        <v>10.416666666666666</v>
      </c>
      <c r="IO69" s="10">
        <f t="shared" si="254"/>
        <v>0</v>
      </c>
      <c r="IP69" s="10">
        <f t="shared" si="255"/>
        <v>0</v>
      </c>
      <c r="IQ69" s="10">
        <f t="shared" si="256"/>
        <v>0</v>
      </c>
      <c r="IR69" s="10">
        <f t="shared" si="257"/>
        <v>20.833333333333332</v>
      </c>
      <c r="IS69" s="10">
        <f t="shared" si="258"/>
        <v>0</v>
      </c>
      <c r="IT69" s="10">
        <f t="shared" si="259"/>
        <v>0</v>
      </c>
      <c r="IU69" s="10">
        <f t="shared" si="260"/>
        <v>0</v>
      </c>
      <c r="IV69" s="10">
        <f t="shared" si="261"/>
        <v>0</v>
      </c>
      <c r="IW69" s="10">
        <f t="shared" si="262"/>
        <v>0</v>
      </c>
      <c r="IX69" s="10">
        <f t="shared" si="263"/>
        <v>0</v>
      </c>
      <c r="IY69" s="10">
        <f t="shared" si="264"/>
        <v>0</v>
      </c>
      <c r="IZ69" s="10">
        <f t="shared" si="265"/>
        <v>0</v>
      </c>
      <c r="JA69" s="10">
        <f t="shared" si="266"/>
        <v>0</v>
      </c>
      <c r="JB69" s="10">
        <f t="shared" si="267"/>
        <v>0</v>
      </c>
      <c r="JC69" s="10">
        <f t="shared" si="268"/>
        <v>0</v>
      </c>
      <c r="JD69" s="10">
        <f t="shared" si="269"/>
        <v>0</v>
      </c>
      <c r="JE69" s="10">
        <f t="shared" si="270"/>
        <v>0</v>
      </c>
      <c r="JF69" s="10">
        <f t="shared" si="271"/>
        <v>0</v>
      </c>
      <c r="JG69" s="10">
        <v>10.416666666666666</v>
      </c>
      <c r="JH69" s="10">
        <f t="shared" si="272"/>
        <v>0</v>
      </c>
      <c r="JI69" s="10">
        <f t="shared" si="273"/>
        <v>0</v>
      </c>
      <c r="JJ69" s="10">
        <f t="shared" si="274"/>
        <v>0</v>
      </c>
      <c r="JK69" s="10">
        <f t="shared" si="275"/>
        <v>10.416666666666666</v>
      </c>
      <c r="JL69" s="10">
        <f t="shared" si="276"/>
        <v>0</v>
      </c>
      <c r="JM69" s="10">
        <f t="shared" si="277"/>
        <v>0</v>
      </c>
      <c r="JN69" s="10">
        <f t="shared" si="278"/>
        <v>0</v>
      </c>
      <c r="JO69" s="10">
        <f t="shared" si="279"/>
        <v>10.416666666666666</v>
      </c>
      <c r="JP69" s="10">
        <f t="shared" si="280"/>
        <v>0</v>
      </c>
      <c r="JQ69" s="10">
        <f t="shared" si="281"/>
        <v>0</v>
      </c>
      <c r="JR69" s="10">
        <f t="shared" si="282"/>
        <v>0</v>
      </c>
      <c r="JS69" s="10">
        <f t="shared" si="283"/>
        <v>0</v>
      </c>
      <c r="JT69" s="10">
        <f t="shared" si="284"/>
        <v>0</v>
      </c>
      <c r="JU69" s="10">
        <f t="shared" si="285"/>
        <v>0</v>
      </c>
      <c r="JV69" s="10">
        <f t="shared" si="286"/>
        <v>0</v>
      </c>
      <c r="JW69" s="10">
        <f t="shared" si="287"/>
        <v>0</v>
      </c>
      <c r="JX69" s="10">
        <f t="shared" si="288"/>
        <v>10.416666666666666</v>
      </c>
      <c r="JY69" s="10">
        <f t="shared" si="289"/>
        <v>0</v>
      </c>
      <c r="JZ69" s="10">
        <f t="shared" si="290"/>
        <v>0</v>
      </c>
      <c r="KA69" s="10">
        <f t="shared" si="291"/>
        <v>0</v>
      </c>
      <c r="KB69" s="10">
        <f t="shared" si="292"/>
        <v>20.833333333333332</v>
      </c>
      <c r="KC69" s="10">
        <f t="shared" si="293"/>
        <v>0</v>
      </c>
      <c r="KD69" s="10">
        <f t="shared" si="294"/>
        <v>83.333333333333329</v>
      </c>
      <c r="KE69" s="10">
        <f t="shared" si="295"/>
        <v>0</v>
      </c>
      <c r="KF69" s="10">
        <f t="shared" si="296"/>
        <v>125</v>
      </c>
      <c r="KG69" s="10">
        <f t="shared" si="297"/>
        <v>0</v>
      </c>
      <c r="KH69" s="10">
        <f t="shared" si="298"/>
        <v>10.416666666666666</v>
      </c>
      <c r="KI69" s="10">
        <f t="shared" si="299"/>
        <v>0</v>
      </c>
      <c r="KJ69" s="10">
        <f t="shared" si="300"/>
        <v>0</v>
      </c>
      <c r="KK69" s="10">
        <f t="shared" si="301"/>
        <v>0</v>
      </c>
      <c r="KL69" s="10">
        <f t="shared" si="302"/>
        <v>20.833333333333332</v>
      </c>
      <c r="KM69" s="10">
        <f t="shared" si="303"/>
        <v>0</v>
      </c>
      <c r="KN69" s="10">
        <f t="shared" si="304"/>
        <v>31.25</v>
      </c>
      <c r="KO69" s="10">
        <f t="shared" si="305"/>
        <v>0</v>
      </c>
      <c r="KP69" s="10">
        <f t="shared" si="306"/>
        <v>0</v>
      </c>
      <c r="KQ69" s="11">
        <v>1249.9999999999998</v>
      </c>
      <c r="KR69" s="16"/>
      <c r="KS69" s="12">
        <v>5692.6836980292155</v>
      </c>
      <c r="KT69" s="26">
        <v>87</v>
      </c>
      <c r="KU69" s="26">
        <v>0.95402298850574707</v>
      </c>
      <c r="KV69" s="26">
        <v>1</v>
      </c>
      <c r="KW69" s="26">
        <v>-16.2</v>
      </c>
      <c r="KX69" s="26">
        <v>10.96</v>
      </c>
      <c r="KY69" s="27">
        <v>3.051988391508901</v>
      </c>
      <c r="KZ69" s="27">
        <v>3.5602295890957292</v>
      </c>
      <c r="LA69" s="17"/>
      <c r="LB69" s="2">
        <v>685</v>
      </c>
      <c r="LC69" s="1">
        <v>0</v>
      </c>
      <c r="LD69" s="1">
        <v>6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264</v>
      </c>
      <c r="LM69" s="1">
        <v>47</v>
      </c>
      <c r="LN69" s="1">
        <v>20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146</v>
      </c>
      <c r="LU69" s="1">
        <v>0</v>
      </c>
      <c r="LV69" s="1">
        <v>0</v>
      </c>
      <c r="LW69" s="1">
        <v>1</v>
      </c>
      <c r="LX69" s="1">
        <v>0</v>
      </c>
      <c r="LY69" s="1">
        <v>4</v>
      </c>
      <c r="LZ69" s="1">
        <v>1</v>
      </c>
      <c r="MA69" s="1">
        <v>3</v>
      </c>
      <c r="MB69" s="1">
        <v>0</v>
      </c>
      <c r="MC69" s="1">
        <v>0</v>
      </c>
      <c r="MD69" s="1">
        <v>190</v>
      </c>
      <c r="ME69" s="1">
        <v>0</v>
      </c>
      <c r="MF69" s="1">
        <v>0</v>
      </c>
      <c r="MG69" s="1">
        <v>0</v>
      </c>
      <c r="MH69" s="1">
        <v>0</v>
      </c>
      <c r="MI69" s="1">
        <v>3</v>
      </c>
      <c r="MJ69" s="1">
        <v>0</v>
      </c>
      <c r="MK69" s="28"/>
      <c r="ML69" t="s">
        <v>885</v>
      </c>
      <c r="MM69" t="s">
        <v>428</v>
      </c>
      <c r="MN69" t="s">
        <v>320</v>
      </c>
      <c r="MO69" t="s">
        <v>334</v>
      </c>
      <c r="MP69" t="s">
        <v>335</v>
      </c>
      <c r="MQ69" t="s">
        <v>336</v>
      </c>
      <c r="MR69">
        <v>0.1</v>
      </c>
      <c r="MS69" t="s">
        <v>302</v>
      </c>
      <c r="MT69" t="s">
        <v>303</v>
      </c>
      <c r="MU69" t="s">
        <v>304</v>
      </c>
      <c r="MV69">
        <v>3690</v>
      </c>
      <c r="MW69" s="13">
        <v>434</v>
      </c>
      <c r="MX69" s="13" t="s">
        <v>305</v>
      </c>
      <c r="MY69" t="s">
        <v>240</v>
      </c>
      <c r="MZ69" t="s">
        <v>241</v>
      </c>
      <c r="NA69" t="s">
        <v>242</v>
      </c>
      <c r="NB69" t="s">
        <v>306</v>
      </c>
      <c r="ND69" s="18">
        <v>43281</v>
      </c>
      <c r="NE69" s="19">
        <v>2.0833333333333332E-2</v>
      </c>
      <c r="NF69" t="s">
        <v>244</v>
      </c>
      <c r="NG69" t="s">
        <v>245</v>
      </c>
      <c r="NH69" t="s">
        <v>246</v>
      </c>
      <c r="NI69">
        <v>90.3</v>
      </c>
      <c r="NJ69" t="s">
        <v>244</v>
      </c>
      <c r="NK69">
        <v>5</v>
      </c>
      <c r="NL69" t="s">
        <v>244</v>
      </c>
      <c r="NM69">
        <v>29.62923</v>
      </c>
      <c r="NN69">
        <v>-84.927000000000007</v>
      </c>
      <c r="NO69" t="s">
        <v>248</v>
      </c>
      <c r="NP69" t="s">
        <v>307</v>
      </c>
      <c r="NQ69">
        <v>12</v>
      </c>
      <c r="NR69" t="s">
        <v>247</v>
      </c>
      <c r="NS69">
        <v>982000410609347</v>
      </c>
      <c r="NT69" t="s">
        <v>244</v>
      </c>
      <c r="NU69" t="s">
        <v>244</v>
      </c>
      <c r="NV69" t="s">
        <v>248</v>
      </c>
      <c r="NW69" t="s">
        <v>303</v>
      </c>
      <c r="NX69" t="s">
        <v>304</v>
      </c>
      <c r="NY69">
        <v>88.5</v>
      </c>
      <c r="NZ69">
        <v>87.8</v>
      </c>
      <c r="OA69">
        <v>81.900000000000006</v>
      </c>
      <c r="OB69" s="14">
        <v>5692.6836980292155</v>
      </c>
      <c r="OC69" t="s">
        <v>248</v>
      </c>
      <c r="OD69" t="s">
        <v>247</v>
      </c>
      <c r="OE69" t="s">
        <v>248</v>
      </c>
      <c r="OF69" t="s">
        <v>308</v>
      </c>
      <c r="OG69" t="s">
        <v>247</v>
      </c>
      <c r="OH69">
        <v>62</v>
      </c>
      <c r="OI69" t="s">
        <v>303</v>
      </c>
      <c r="OJ69" t="s">
        <v>309</v>
      </c>
      <c r="OK69">
        <v>87</v>
      </c>
      <c r="OL69">
        <v>0.95402298850574707</v>
      </c>
      <c r="OM69">
        <v>1</v>
      </c>
      <c r="ON69">
        <v>-16.2</v>
      </c>
      <c r="OO69">
        <v>10.96</v>
      </c>
      <c r="OP69" s="25">
        <v>3.051988391508901</v>
      </c>
      <c r="OQ69" s="25">
        <v>3.5602295890957292</v>
      </c>
      <c r="OR69" t="s">
        <v>909</v>
      </c>
      <c r="OS69" t="s">
        <v>909</v>
      </c>
    </row>
    <row r="70" spans="1:409" x14ac:dyDescent="0.25">
      <c r="A70">
        <v>69</v>
      </c>
      <c r="B70" s="1">
        <v>65</v>
      </c>
      <c r="C70" s="1">
        <v>15</v>
      </c>
      <c r="D70" s="1">
        <v>1</v>
      </c>
      <c r="E70" s="1">
        <v>0</v>
      </c>
      <c r="F70" s="1">
        <v>11</v>
      </c>
      <c r="G70" s="1">
        <v>1</v>
      </c>
      <c r="H70" s="1">
        <v>0</v>
      </c>
      <c r="I70" s="1">
        <v>3</v>
      </c>
      <c r="J70" s="1">
        <v>20</v>
      </c>
      <c r="K70" s="1">
        <v>11</v>
      </c>
      <c r="L70" s="1">
        <v>0</v>
      </c>
      <c r="M70" s="1">
        <v>0</v>
      </c>
      <c r="N70" s="1">
        <v>2</v>
      </c>
      <c r="O70" s="1">
        <v>0</v>
      </c>
      <c r="P70" s="1">
        <v>0</v>
      </c>
      <c r="Q70" s="1">
        <v>6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2">
        <v>135</v>
      </c>
      <c r="Y70" s="3"/>
      <c r="Z70" s="15">
        <f t="shared" si="307"/>
        <v>0.76121097942496208</v>
      </c>
      <c r="AA70" s="15">
        <f t="shared" si="308"/>
        <v>0.17566407217499122</v>
      </c>
      <c r="AB70" s="15">
        <f t="shared" si="309"/>
        <v>1.1710938144999414E-2</v>
      </c>
      <c r="AC70" s="15">
        <f t="shared" si="310"/>
        <v>0</v>
      </c>
      <c r="AD70" s="15">
        <f t="shared" si="311"/>
        <v>0.12882031959499357</v>
      </c>
      <c r="AE70" s="15">
        <f t="shared" si="312"/>
        <v>1.1710938144999414E-2</v>
      </c>
      <c r="AF70" s="15">
        <f t="shared" si="313"/>
        <v>0</v>
      </c>
      <c r="AG70" s="15">
        <f t="shared" si="314"/>
        <v>3.5132814434998244E-2</v>
      </c>
      <c r="AH70" s="15">
        <f t="shared" si="315"/>
        <v>0.23421876289998833</v>
      </c>
      <c r="AI70" s="15">
        <f t="shared" si="316"/>
        <v>0.12882031959499357</v>
      </c>
      <c r="AJ70" s="15">
        <f t="shared" si="317"/>
        <v>0</v>
      </c>
      <c r="AK70" s="15">
        <f t="shared" si="318"/>
        <v>0</v>
      </c>
      <c r="AL70" s="15">
        <f t="shared" si="319"/>
        <v>2.3421876289998828E-2</v>
      </c>
      <c r="AM70" s="15">
        <f t="shared" si="320"/>
        <v>0</v>
      </c>
      <c r="AN70" s="15">
        <f t="shared" si="321"/>
        <v>0</v>
      </c>
      <c r="AO70" s="15">
        <f t="shared" si="322"/>
        <v>7.0265628869996488E-2</v>
      </c>
      <c r="AP70" s="15">
        <f t="shared" si="323"/>
        <v>0</v>
      </c>
      <c r="AQ70" s="15">
        <f t="shared" si="324"/>
        <v>0</v>
      </c>
      <c r="AR70" s="15">
        <f t="shared" si="325"/>
        <v>0</v>
      </c>
      <c r="AS70" s="15">
        <f t="shared" si="326"/>
        <v>0</v>
      </c>
      <c r="AT70" s="15">
        <f t="shared" si="327"/>
        <v>0</v>
      </c>
      <c r="AU70" s="15">
        <f t="shared" si="328"/>
        <v>0</v>
      </c>
      <c r="AV70" s="5">
        <f t="shared" si="329"/>
        <v>1.5809766495749211</v>
      </c>
      <c r="AW70" s="16"/>
      <c r="AX70" s="6">
        <v>433.33333333333337</v>
      </c>
      <c r="AY70" s="6">
        <v>100</v>
      </c>
      <c r="AZ70" s="6">
        <v>6.666666666666667</v>
      </c>
      <c r="BA70" s="6">
        <v>0</v>
      </c>
      <c r="BB70" s="6">
        <v>73.333333333333343</v>
      </c>
      <c r="BC70" s="6">
        <v>6.666666666666667</v>
      </c>
      <c r="BD70" s="6">
        <v>0</v>
      </c>
      <c r="BE70" s="6">
        <v>20</v>
      </c>
      <c r="BF70" s="6">
        <v>133.33333333333334</v>
      </c>
      <c r="BG70" s="6">
        <v>73.333333333333343</v>
      </c>
      <c r="BH70" s="6">
        <v>0</v>
      </c>
      <c r="BI70" s="6">
        <v>0</v>
      </c>
      <c r="BJ70" s="6">
        <v>13.333333333333334</v>
      </c>
      <c r="BK70" s="6">
        <v>0</v>
      </c>
      <c r="BL70" s="6">
        <v>0</v>
      </c>
      <c r="BM70" s="6">
        <v>40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7">
        <v>900.00000000000011</v>
      </c>
      <c r="BU70" s="16"/>
      <c r="BV70" s="8">
        <v>0</v>
      </c>
      <c r="BW70" s="8">
        <v>9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2</v>
      </c>
      <c r="CK70" s="8">
        <v>0</v>
      </c>
      <c r="CL70" s="8">
        <v>0</v>
      </c>
      <c r="CM70" s="8">
        <v>0</v>
      </c>
      <c r="CN70" s="8">
        <v>33</v>
      </c>
      <c r="CO70" s="8">
        <v>0</v>
      </c>
      <c r="CP70" s="8">
        <v>0</v>
      </c>
      <c r="CQ70" s="8">
        <v>0</v>
      </c>
      <c r="CR70" s="8">
        <v>7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5</v>
      </c>
      <c r="CZ70" s="8">
        <v>1</v>
      </c>
      <c r="DA70" s="8">
        <v>0</v>
      </c>
      <c r="DB70" s="8">
        <v>2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1</v>
      </c>
      <c r="DJ70" s="8">
        <v>1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0</v>
      </c>
      <c r="EE70" s="8">
        <v>0</v>
      </c>
      <c r="EF70" s="8">
        <v>1</v>
      </c>
      <c r="EG70" s="8">
        <v>0</v>
      </c>
      <c r="EH70" s="8">
        <v>0</v>
      </c>
      <c r="EI70" s="8">
        <v>0</v>
      </c>
      <c r="EJ70" s="8">
        <v>1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3</v>
      </c>
      <c r="EU70" s="8">
        <v>0</v>
      </c>
      <c r="EV70" s="8">
        <v>2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2</v>
      </c>
      <c r="FH70" s="8">
        <v>0</v>
      </c>
      <c r="FI70" s="8">
        <v>1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52</v>
      </c>
      <c r="FR70" s="8">
        <v>0</v>
      </c>
      <c r="FS70" s="8">
        <v>4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1</v>
      </c>
      <c r="FZ70" s="8">
        <v>0</v>
      </c>
      <c r="GA70" s="8">
        <v>1</v>
      </c>
      <c r="GB70" s="8">
        <v>0</v>
      </c>
      <c r="GC70" s="8">
        <v>1</v>
      </c>
      <c r="GD70" s="8">
        <v>0</v>
      </c>
      <c r="GE70" s="8">
        <v>0</v>
      </c>
      <c r="GF70" s="9">
        <v>130</v>
      </c>
      <c r="GG70" s="3"/>
      <c r="GH70" s="10">
        <f t="shared" si="195"/>
        <v>0</v>
      </c>
      <c r="GI70" s="10">
        <f t="shared" si="196"/>
        <v>30.000000000000004</v>
      </c>
      <c r="GJ70" s="10">
        <f t="shared" si="197"/>
        <v>0</v>
      </c>
      <c r="GK70" s="10">
        <f t="shared" si="198"/>
        <v>0</v>
      </c>
      <c r="GL70" s="10">
        <f t="shared" si="199"/>
        <v>0</v>
      </c>
      <c r="GM70" s="10">
        <f t="shared" si="200"/>
        <v>0</v>
      </c>
      <c r="GN70" s="10">
        <f t="shared" si="201"/>
        <v>0</v>
      </c>
      <c r="GO70" s="10">
        <f t="shared" si="202"/>
        <v>0</v>
      </c>
      <c r="GP70" s="10">
        <f t="shared" si="203"/>
        <v>0</v>
      </c>
      <c r="GQ70" s="10">
        <f t="shared" si="204"/>
        <v>0</v>
      </c>
      <c r="GR70" s="10">
        <f t="shared" si="205"/>
        <v>0</v>
      </c>
      <c r="GS70" s="10">
        <f t="shared" si="206"/>
        <v>0</v>
      </c>
      <c r="GT70" s="10">
        <f t="shared" si="207"/>
        <v>0</v>
      </c>
      <c r="GU70" s="10">
        <f t="shared" si="208"/>
        <v>0</v>
      </c>
      <c r="GV70" s="10">
        <f t="shared" si="209"/>
        <v>6.6666666666666679</v>
      </c>
      <c r="GW70" s="10">
        <f t="shared" si="210"/>
        <v>0</v>
      </c>
      <c r="GX70" s="10">
        <f t="shared" si="211"/>
        <v>0</v>
      </c>
      <c r="GY70" s="10">
        <f t="shared" si="212"/>
        <v>0</v>
      </c>
      <c r="GZ70" s="10">
        <f t="shared" si="213"/>
        <v>110</v>
      </c>
      <c r="HA70" s="10">
        <f t="shared" si="214"/>
        <v>0</v>
      </c>
      <c r="HB70" s="10">
        <f t="shared" si="215"/>
        <v>0</v>
      </c>
      <c r="HC70" s="10">
        <f t="shared" si="216"/>
        <v>0</v>
      </c>
      <c r="HD70" s="10">
        <f t="shared" si="217"/>
        <v>23.333333333333336</v>
      </c>
      <c r="HE70" s="10">
        <f t="shared" si="218"/>
        <v>0</v>
      </c>
      <c r="HF70" s="10">
        <f t="shared" si="219"/>
        <v>0</v>
      </c>
      <c r="HG70" s="10">
        <f t="shared" si="220"/>
        <v>0</v>
      </c>
      <c r="HH70" s="10">
        <f t="shared" si="221"/>
        <v>0</v>
      </c>
      <c r="HI70" s="10">
        <f t="shared" si="222"/>
        <v>0</v>
      </c>
      <c r="HJ70" s="10">
        <f t="shared" si="223"/>
        <v>0</v>
      </c>
      <c r="HK70" s="10">
        <f t="shared" si="224"/>
        <v>16.666666666666668</v>
      </c>
      <c r="HL70" s="10">
        <f t="shared" si="225"/>
        <v>3.3333333333333339</v>
      </c>
      <c r="HM70" s="10">
        <f t="shared" si="226"/>
        <v>0</v>
      </c>
      <c r="HN70" s="10">
        <f t="shared" si="227"/>
        <v>6.6666666666666679</v>
      </c>
      <c r="HO70" s="10">
        <f t="shared" si="228"/>
        <v>0</v>
      </c>
      <c r="HP70" s="10">
        <f t="shared" si="229"/>
        <v>0</v>
      </c>
      <c r="HQ70" s="10">
        <f t="shared" si="230"/>
        <v>0</v>
      </c>
      <c r="HR70" s="10">
        <f t="shared" si="231"/>
        <v>0</v>
      </c>
      <c r="HS70" s="10">
        <f t="shared" si="232"/>
        <v>0</v>
      </c>
      <c r="HT70" s="10">
        <f t="shared" si="233"/>
        <v>0</v>
      </c>
      <c r="HU70" s="10">
        <f t="shared" si="234"/>
        <v>3.3333333333333339</v>
      </c>
      <c r="HV70" s="10">
        <f t="shared" si="235"/>
        <v>3.3333333333333339</v>
      </c>
      <c r="HW70" s="10">
        <f t="shared" si="236"/>
        <v>0</v>
      </c>
      <c r="HX70" s="10">
        <f t="shared" si="237"/>
        <v>0</v>
      </c>
      <c r="HY70" s="10">
        <f t="shared" si="238"/>
        <v>0</v>
      </c>
      <c r="HZ70" s="10">
        <f t="shared" si="239"/>
        <v>0</v>
      </c>
      <c r="IA70" s="10">
        <f t="shared" si="240"/>
        <v>0</v>
      </c>
      <c r="IB70" s="10">
        <f t="shared" si="241"/>
        <v>0</v>
      </c>
      <c r="IC70" s="10">
        <f t="shared" si="242"/>
        <v>0</v>
      </c>
      <c r="ID70" s="10">
        <f t="shared" si="243"/>
        <v>0</v>
      </c>
      <c r="IE70" s="10">
        <f t="shared" si="244"/>
        <v>0</v>
      </c>
      <c r="IF70" s="10">
        <f t="shared" si="245"/>
        <v>0</v>
      </c>
      <c r="IG70" s="10">
        <f t="shared" si="246"/>
        <v>0</v>
      </c>
      <c r="IH70" s="10">
        <f t="shared" si="247"/>
        <v>0</v>
      </c>
      <c r="II70" s="10">
        <f t="shared" si="248"/>
        <v>0</v>
      </c>
      <c r="IJ70" s="10">
        <f t="shared" si="249"/>
        <v>0</v>
      </c>
      <c r="IK70" s="10">
        <f t="shared" si="250"/>
        <v>0</v>
      </c>
      <c r="IL70" s="10">
        <f t="shared" si="251"/>
        <v>0</v>
      </c>
      <c r="IM70" s="10">
        <f t="shared" si="252"/>
        <v>0</v>
      </c>
      <c r="IN70" s="10">
        <f t="shared" si="253"/>
        <v>0</v>
      </c>
      <c r="IO70" s="10">
        <f t="shared" si="254"/>
        <v>0</v>
      </c>
      <c r="IP70" s="10">
        <f t="shared" si="255"/>
        <v>0</v>
      </c>
      <c r="IQ70" s="10">
        <f t="shared" si="256"/>
        <v>0</v>
      </c>
      <c r="IR70" s="10">
        <f t="shared" si="257"/>
        <v>3.3333333333333339</v>
      </c>
      <c r="IS70" s="10">
        <f t="shared" si="258"/>
        <v>0</v>
      </c>
      <c r="IT70" s="10">
        <f t="shared" si="259"/>
        <v>0</v>
      </c>
      <c r="IU70" s="10">
        <f t="shared" si="260"/>
        <v>0</v>
      </c>
      <c r="IV70" s="10">
        <f t="shared" si="261"/>
        <v>3.3333333333333339</v>
      </c>
      <c r="IW70" s="10">
        <f t="shared" si="262"/>
        <v>0</v>
      </c>
      <c r="IX70" s="10">
        <f t="shared" si="263"/>
        <v>0</v>
      </c>
      <c r="IY70" s="10">
        <f t="shared" si="264"/>
        <v>0</v>
      </c>
      <c r="IZ70" s="10">
        <f t="shared" si="265"/>
        <v>0</v>
      </c>
      <c r="JA70" s="10">
        <f t="shared" si="266"/>
        <v>0</v>
      </c>
      <c r="JB70" s="10">
        <f t="shared" si="267"/>
        <v>0</v>
      </c>
      <c r="JC70" s="10">
        <f t="shared" si="268"/>
        <v>0</v>
      </c>
      <c r="JD70" s="10">
        <f t="shared" si="269"/>
        <v>0</v>
      </c>
      <c r="JE70" s="10">
        <f t="shared" si="270"/>
        <v>0</v>
      </c>
      <c r="JF70" s="10">
        <f t="shared" si="271"/>
        <v>10.000000000000002</v>
      </c>
      <c r="JG70" s="10">
        <v>0</v>
      </c>
      <c r="JH70" s="10">
        <f t="shared" si="272"/>
        <v>6.6666666666666679</v>
      </c>
      <c r="JI70" s="10">
        <f t="shared" si="273"/>
        <v>0</v>
      </c>
      <c r="JJ70" s="10">
        <f t="shared" si="274"/>
        <v>0</v>
      </c>
      <c r="JK70" s="10">
        <f t="shared" si="275"/>
        <v>0</v>
      </c>
      <c r="JL70" s="10">
        <f t="shared" si="276"/>
        <v>0</v>
      </c>
      <c r="JM70" s="10">
        <f t="shared" si="277"/>
        <v>0</v>
      </c>
      <c r="JN70" s="10">
        <f t="shared" si="278"/>
        <v>0</v>
      </c>
      <c r="JO70" s="10">
        <f t="shared" si="279"/>
        <v>0</v>
      </c>
      <c r="JP70" s="10">
        <f t="shared" si="280"/>
        <v>0</v>
      </c>
      <c r="JQ70" s="10">
        <f t="shared" si="281"/>
        <v>0</v>
      </c>
      <c r="JR70" s="10">
        <f t="shared" si="282"/>
        <v>6.6666666666666679</v>
      </c>
      <c r="JS70" s="10">
        <f t="shared" si="283"/>
        <v>0</v>
      </c>
      <c r="JT70" s="10">
        <f t="shared" si="284"/>
        <v>3.3333333333333339</v>
      </c>
      <c r="JU70" s="10">
        <f t="shared" si="285"/>
        <v>0</v>
      </c>
      <c r="JV70" s="10">
        <f t="shared" si="286"/>
        <v>0</v>
      </c>
      <c r="JW70" s="10">
        <f t="shared" si="287"/>
        <v>0</v>
      </c>
      <c r="JX70" s="10">
        <f t="shared" si="288"/>
        <v>0</v>
      </c>
      <c r="JY70" s="10">
        <f t="shared" si="289"/>
        <v>0</v>
      </c>
      <c r="JZ70" s="10">
        <f t="shared" si="290"/>
        <v>0</v>
      </c>
      <c r="KA70" s="10">
        <f t="shared" si="291"/>
        <v>0</v>
      </c>
      <c r="KB70" s="10">
        <f t="shared" si="292"/>
        <v>173.33333333333337</v>
      </c>
      <c r="KC70" s="10">
        <f t="shared" si="293"/>
        <v>0</v>
      </c>
      <c r="KD70" s="10">
        <f t="shared" si="294"/>
        <v>13.333333333333336</v>
      </c>
      <c r="KE70" s="10">
        <f t="shared" si="295"/>
        <v>0</v>
      </c>
      <c r="KF70" s="10">
        <f t="shared" si="296"/>
        <v>0</v>
      </c>
      <c r="KG70" s="10">
        <f t="shared" si="297"/>
        <v>0</v>
      </c>
      <c r="KH70" s="10">
        <f t="shared" si="298"/>
        <v>0</v>
      </c>
      <c r="KI70" s="10">
        <f t="shared" si="299"/>
        <v>0</v>
      </c>
      <c r="KJ70" s="10">
        <f t="shared" si="300"/>
        <v>3.3333333333333339</v>
      </c>
      <c r="KK70" s="10">
        <f t="shared" si="301"/>
        <v>0</v>
      </c>
      <c r="KL70" s="10">
        <f t="shared" si="302"/>
        <v>3.3333333333333339</v>
      </c>
      <c r="KM70" s="10">
        <f t="shared" si="303"/>
        <v>0</v>
      </c>
      <c r="KN70" s="10">
        <f t="shared" si="304"/>
        <v>3.3333333333333339</v>
      </c>
      <c r="KO70" s="10">
        <f t="shared" si="305"/>
        <v>0</v>
      </c>
      <c r="KP70" s="10">
        <f t="shared" si="306"/>
        <v>0</v>
      </c>
      <c r="KQ70" s="11">
        <v>433.33333333333337</v>
      </c>
      <c r="KR70" s="16"/>
      <c r="KS70" s="12">
        <v>5692.6836980292155</v>
      </c>
      <c r="KT70" s="26">
        <v>87</v>
      </c>
      <c r="KU70" s="26">
        <v>0.95402298850574707</v>
      </c>
      <c r="KV70" s="26">
        <v>1</v>
      </c>
      <c r="KW70" s="26">
        <v>-16.2</v>
      </c>
      <c r="KX70" s="26">
        <v>10.96</v>
      </c>
      <c r="KY70" s="27">
        <v>3.051988391508901</v>
      </c>
      <c r="KZ70" s="27">
        <v>3.5602295890957292</v>
      </c>
      <c r="LA70" s="17"/>
      <c r="LB70" s="2">
        <v>392</v>
      </c>
      <c r="LC70" s="1">
        <v>0</v>
      </c>
      <c r="LD70" s="1">
        <v>1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118</v>
      </c>
      <c r="LM70" s="1">
        <v>29</v>
      </c>
      <c r="LN70" s="1">
        <v>29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59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1</v>
      </c>
      <c r="MA70" s="1">
        <v>2</v>
      </c>
      <c r="MB70" s="1">
        <v>0</v>
      </c>
      <c r="MC70" s="1">
        <v>0</v>
      </c>
      <c r="MD70" s="1">
        <v>153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28"/>
      <c r="ML70" t="s">
        <v>886</v>
      </c>
      <c r="MM70" t="s">
        <v>310</v>
      </c>
      <c r="MN70" t="s">
        <v>320</v>
      </c>
      <c r="MO70" t="s">
        <v>337</v>
      </c>
      <c r="MP70" t="s">
        <v>338</v>
      </c>
      <c r="MQ70" t="s">
        <v>339</v>
      </c>
      <c r="MR70">
        <v>0.15</v>
      </c>
      <c r="MS70" t="s">
        <v>302</v>
      </c>
      <c r="MT70" t="s">
        <v>303</v>
      </c>
      <c r="MU70" t="s">
        <v>304</v>
      </c>
      <c r="MV70">
        <v>900</v>
      </c>
      <c r="MW70" s="13">
        <v>434</v>
      </c>
      <c r="MX70" s="13" t="s">
        <v>305</v>
      </c>
      <c r="MY70" t="s">
        <v>240</v>
      </c>
      <c r="MZ70" t="s">
        <v>241</v>
      </c>
      <c r="NA70" t="s">
        <v>242</v>
      </c>
      <c r="NB70" t="s">
        <v>306</v>
      </c>
      <c r="ND70" s="18">
        <v>43281</v>
      </c>
      <c r="NE70" s="19">
        <v>2.0833333333333332E-2</v>
      </c>
      <c r="NF70" t="s">
        <v>244</v>
      </c>
      <c r="NG70" t="s">
        <v>245</v>
      </c>
      <c r="NH70" t="s">
        <v>246</v>
      </c>
      <c r="NI70">
        <v>90.3</v>
      </c>
      <c r="NJ70" t="s">
        <v>244</v>
      </c>
      <c r="NK70">
        <v>5</v>
      </c>
      <c r="NL70" t="s">
        <v>244</v>
      </c>
      <c r="NM70">
        <v>29.62923</v>
      </c>
      <c r="NN70">
        <v>-84.927000000000007</v>
      </c>
      <c r="NO70" t="s">
        <v>248</v>
      </c>
      <c r="NP70" t="s">
        <v>307</v>
      </c>
      <c r="NQ70">
        <v>12</v>
      </c>
      <c r="NR70" t="s">
        <v>247</v>
      </c>
      <c r="NS70">
        <v>982000410609347</v>
      </c>
      <c r="NT70" t="s">
        <v>244</v>
      </c>
      <c r="NU70" t="s">
        <v>244</v>
      </c>
      <c r="NV70" t="s">
        <v>248</v>
      </c>
      <c r="NW70" t="s">
        <v>303</v>
      </c>
      <c r="NX70" t="s">
        <v>304</v>
      </c>
      <c r="NY70">
        <v>88.5</v>
      </c>
      <c r="NZ70">
        <v>87.8</v>
      </c>
      <c r="OA70">
        <v>81.900000000000006</v>
      </c>
      <c r="OB70" s="14">
        <v>5692.6836980292155</v>
      </c>
      <c r="OC70" t="s">
        <v>248</v>
      </c>
      <c r="OD70" t="s">
        <v>247</v>
      </c>
      <c r="OE70" t="s">
        <v>248</v>
      </c>
      <c r="OF70" t="s">
        <v>308</v>
      </c>
      <c r="OG70" t="s">
        <v>247</v>
      </c>
      <c r="OH70">
        <v>61</v>
      </c>
      <c r="OI70" t="s">
        <v>303</v>
      </c>
      <c r="OJ70" t="s">
        <v>309</v>
      </c>
      <c r="OK70">
        <v>87</v>
      </c>
      <c r="OL70">
        <v>0.95402298850574707</v>
      </c>
      <c r="OM70">
        <v>1</v>
      </c>
      <c r="ON70">
        <v>-16.2</v>
      </c>
      <c r="OO70">
        <v>10.96</v>
      </c>
      <c r="OP70" s="25">
        <v>3.051988391508901</v>
      </c>
      <c r="OQ70" s="25">
        <v>3.5602295890957292</v>
      </c>
      <c r="OR70" t="s">
        <v>909</v>
      </c>
      <c r="OS70" t="s">
        <v>909</v>
      </c>
    </row>
    <row r="71" spans="1:409" x14ac:dyDescent="0.25">
      <c r="A71">
        <v>70</v>
      </c>
      <c r="B71" s="1">
        <v>86</v>
      </c>
      <c r="C71" s="1">
        <v>156</v>
      </c>
      <c r="D71" s="1">
        <v>102</v>
      </c>
      <c r="E71" s="1">
        <v>17</v>
      </c>
      <c r="F71" s="1">
        <v>163</v>
      </c>
      <c r="G71" s="1">
        <v>163</v>
      </c>
      <c r="H71" s="1">
        <v>0</v>
      </c>
      <c r="I71" s="1">
        <v>0</v>
      </c>
      <c r="J71" s="1">
        <v>285</v>
      </c>
      <c r="K71" s="1">
        <v>0</v>
      </c>
      <c r="L71" s="1">
        <v>23</v>
      </c>
      <c r="M71" s="1">
        <v>0</v>
      </c>
      <c r="N71" s="1">
        <v>14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2">
        <v>1009</v>
      </c>
      <c r="Y71" s="3"/>
      <c r="Z71" s="15">
        <f t="shared" si="307"/>
        <v>2.7640831418364846</v>
      </c>
      <c r="AA71" s="15">
        <f t="shared" si="308"/>
        <v>5.0139182572847858</v>
      </c>
      <c r="AB71" s="15">
        <f t="shared" si="309"/>
        <v>3.2783311682246681</v>
      </c>
      <c r="AC71" s="15">
        <f t="shared" si="310"/>
        <v>0.54638852803744464</v>
      </c>
      <c r="AD71" s="15">
        <f t="shared" si="311"/>
        <v>5.2389017688296171</v>
      </c>
      <c r="AE71" s="15">
        <f t="shared" si="312"/>
        <v>5.2389017688296171</v>
      </c>
      <c r="AF71" s="15">
        <f t="shared" si="313"/>
        <v>0</v>
      </c>
      <c r="AG71" s="15">
        <f t="shared" si="314"/>
        <v>0</v>
      </c>
      <c r="AH71" s="15">
        <f t="shared" si="315"/>
        <v>9.1600429700395143</v>
      </c>
      <c r="AI71" s="15">
        <f t="shared" si="316"/>
        <v>0</v>
      </c>
      <c r="AJ71" s="15">
        <f t="shared" si="317"/>
        <v>0.73923153793301344</v>
      </c>
      <c r="AK71" s="15">
        <f t="shared" si="318"/>
        <v>0</v>
      </c>
      <c r="AL71" s="15">
        <f t="shared" si="319"/>
        <v>0.4499670230896603</v>
      </c>
      <c r="AM71" s="15">
        <f t="shared" si="320"/>
        <v>0</v>
      </c>
      <c r="AN71" s="15">
        <f t="shared" si="321"/>
        <v>0</v>
      </c>
      <c r="AO71" s="15">
        <f t="shared" si="322"/>
        <v>0</v>
      </c>
      <c r="AP71" s="15">
        <f t="shared" si="323"/>
        <v>0</v>
      </c>
      <c r="AQ71" s="15">
        <f t="shared" si="324"/>
        <v>0</v>
      </c>
      <c r="AR71" s="15">
        <f t="shared" si="325"/>
        <v>0</v>
      </c>
      <c r="AS71" s="15">
        <f t="shared" si="326"/>
        <v>0</v>
      </c>
      <c r="AT71" s="15">
        <f t="shared" si="327"/>
        <v>0</v>
      </c>
      <c r="AU71" s="15">
        <f t="shared" si="328"/>
        <v>0</v>
      </c>
      <c r="AV71" s="5">
        <f t="shared" si="329"/>
        <v>32.429766164104805</v>
      </c>
      <c r="AW71" s="16"/>
      <c r="AX71" s="6">
        <v>1720</v>
      </c>
      <c r="AY71" s="6">
        <v>3120</v>
      </c>
      <c r="AZ71" s="6">
        <v>2040</v>
      </c>
      <c r="BA71" s="6">
        <v>340</v>
      </c>
      <c r="BB71" s="6">
        <v>3260</v>
      </c>
      <c r="BC71" s="6">
        <v>3260</v>
      </c>
      <c r="BD71" s="6">
        <v>0</v>
      </c>
      <c r="BE71" s="6">
        <v>0</v>
      </c>
      <c r="BF71" s="6">
        <v>5700</v>
      </c>
      <c r="BG71" s="6">
        <v>0</v>
      </c>
      <c r="BH71" s="6">
        <v>460</v>
      </c>
      <c r="BI71" s="6">
        <v>0</v>
      </c>
      <c r="BJ71" s="6">
        <v>280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7">
        <v>20180</v>
      </c>
      <c r="BU71" s="16"/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1.9999999999999998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21.999999999999996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0.99999999999999989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0.99999999999999989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0.99999999999999989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54.999999999999993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1.9999999999999998</v>
      </c>
      <c r="GB71" s="8">
        <v>0</v>
      </c>
      <c r="GC71" s="8">
        <v>0</v>
      </c>
      <c r="GD71" s="8">
        <v>14</v>
      </c>
      <c r="GE71" s="8">
        <v>0</v>
      </c>
      <c r="GF71" s="9">
        <v>97.999999999999986</v>
      </c>
      <c r="GG71" s="3"/>
      <c r="GH71" s="10">
        <f t="shared" si="195"/>
        <v>0</v>
      </c>
      <c r="GI71" s="10">
        <f t="shared" si="196"/>
        <v>0</v>
      </c>
      <c r="GJ71" s="10">
        <f t="shared" si="197"/>
        <v>0</v>
      </c>
      <c r="GK71" s="10">
        <f t="shared" si="198"/>
        <v>0</v>
      </c>
      <c r="GL71" s="10">
        <f t="shared" si="199"/>
        <v>0</v>
      </c>
      <c r="GM71" s="10">
        <f t="shared" si="200"/>
        <v>0</v>
      </c>
      <c r="GN71" s="10">
        <f t="shared" si="201"/>
        <v>0</v>
      </c>
      <c r="GO71" s="10">
        <f t="shared" si="202"/>
        <v>0</v>
      </c>
      <c r="GP71" s="10">
        <f t="shared" si="203"/>
        <v>0</v>
      </c>
      <c r="GQ71" s="10">
        <f t="shared" si="204"/>
        <v>0</v>
      </c>
      <c r="GR71" s="10">
        <f t="shared" si="205"/>
        <v>0</v>
      </c>
      <c r="GS71" s="10">
        <f t="shared" si="206"/>
        <v>0</v>
      </c>
      <c r="GT71" s="10">
        <f t="shared" si="207"/>
        <v>35.102040816326536</v>
      </c>
      <c r="GU71" s="10">
        <f t="shared" si="208"/>
        <v>0</v>
      </c>
      <c r="GV71" s="10">
        <f t="shared" si="209"/>
        <v>0</v>
      </c>
      <c r="GW71" s="10">
        <f t="shared" si="210"/>
        <v>0</v>
      </c>
      <c r="GX71" s="10">
        <f t="shared" si="211"/>
        <v>0</v>
      </c>
      <c r="GY71" s="10">
        <f t="shared" si="212"/>
        <v>0</v>
      </c>
      <c r="GZ71" s="10">
        <f t="shared" si="213"/>
        <v>386.12244897959181</v>
      </c>
      <c r="HA71" s="10">
        <f t="shared" si="214"/>
        <v>0</v>
      </c>
      <c r="HB71" s="10">
        <f t="shared" si="215"/>
        <v>0</v>
      </c>
      <c r="HC71" s="10">
        <f t="shared" si="216"/>
        <v>0</v>
      </c>
      <c r="HD71" s="10">
        <f t="shared" si="217"/>
        <v>0</v>
      </c>
      <c r="HE71" s="10">
        <f t="shared" si="218"/>
        <v>0</v>
      </c>
      <c r="HF71" s="10">
        <f t="shared" si="219"/>
        <v>0</v>
      </c>
      <c r="HG71" s="10">
        <f t="shared" si="220"/>
        <v>0</v>
      </c>
      <c r="HH71" s="10">
        <f t="shared" si="221"/>
        <v>0</v>
      </c>
      <c r="HI71" s="10">
        <f t="shared" si="222"/>
        <v>0</v>
      </c>
      <c r="HJ71" s="10">
        <f t="shared" si="223"/>
        <v>0</v>
      </c>
      <c r="HK71" s="10">
        <f t="shared" si="224"/>
        <v>0</v>
      </c>
      <c r="HL71" s="10">
        <f t="shared" si="225"/>
        <v>0</v>
      </c>
      <c r="HM71" s="10">
        <f t="shared" si="226"/>
        <v>0</v>
      </c>
      <c r="HN71" s="10">
        <f t="shared" si="227"/>
        <v>0</v>
      </c>
      <c r="HO71" s="10">
        <f t="shared" si="228"/>
        <v>0</v>
      </c>
      <c r="HP71" s="10">
        <f t="shared" si="229"/>
        <v>0</v>
      </c>
      <c r="HQ71" s="10">
        <f t="shared" si="230"/>
        <v>0</v>
      </c>
      <c r="HR71" s="10">
        <f t="shared" si="231"/>
        <v>0</v>
      </c>
      <c r="HS71" s="10">
        <f t="shared" si="232"/>
        <v>0</v>
      </c>
      <c r="HT71" s="10">
        <f t="shared" si="233"/>
        <v>0</v>
      </c>
      <c r="HU71" s="10">
        <f t="shared" si="234"/>
        <v>17.551020408163268</v>
      </c>
      <c r="HV71" s="10">
        <f t="shared" si="235"/>
        <v>0</v>
      </c>
      <c r="HW71" s="10">
        <f t="shared" si="236"/>
        <v>0</v>
      </c>
      <c r="HX71" s="10">
        <f t="shared" si="237"/>
        <v>0</v>
      </c>
      <c r="HY71" s="10">
        <f t="shared" si="238"/>
        <v>0</v>
      </c>
      <c r="HZ71" s="10">
        <f t="shared" si="239"/>
        <v>0</v>
      </c>
      <c r="IA71" s="10">
        <f t="shared" si="240"/>
        <v>0</v>
      </c>
      <c r="IB71" s="10">
        <f t="shared" si="241"/>
        <v>0</v>
      </c>
      <c r="IC71" s="10">
        <f t="shared" si="242"/>
        <v>0</v>
      </c>
      <c r="ID71" s="10">
        <f t="shared" si="243"/>
        <v>0</v>
      </c>
      <c r="IE71" s="10">
        <f t="shared" si="244"/>
        <v>0</v>
      </c>
      <c r="IF71" s="10">
        <f t="shared" si="245"/>
        <v>0</v>
      </c>
      <c r="IG71" s="10">
        <f t="shared" si="246"/>
        <v>0</v>
      </c>
      <c r="IH71" s="10">
        <f t="shared" si="247"/>
        <v>0</v>
      </c>
      <c r="II71" s="10">
        <f t="shared" si="248"/>
        <v>0</v>
      </c>
      <c r="IJ71" s="10">
        <f t="shared" si="249"/>
        <v>0</v>
      </c>
      <c r="IK71" s="10">
        <f t="shared" si="250"/>
        <v>0</v>
      </c>
      <c r="IL71" s="10">
        <f t="shared" si="251"/>
        <v>0</v>
      </c>
      <c r="IM71" s="10">
        <f t="shared" si="252"/>
        <v>0</v>
      </c>
      <c r="IN71" s="10">
        <f t="shared" si="253"/>
        <v>0</v>
      </c>
      <c r="IO71" s="10">
        <f t="shared" si="254"/>
        <v>0</v>
      </c>
      <c r="IP71" s="10">
        <f t="shared" si="255"/>
        <v>0</v>
      </c>
      <c r="IQ71" s="10">
        <f t="shared" si="256"/>
        <v>0</v>
      </c>
      <c r="IR71" s="10">
        <f t="shared" si="257"/>
        <v>0</v>
      </c>
      <c r="IS71" s="10">
        <f t="shared" si="258"/>
        <v>0</v>
      </c>
      <c r="IT71" s="10">
        <f t="shared" si="259"/>
        <v>0</v>
      </c>
      <c r="IU71" s="10">
        <f t="shared" si="260"/>
        <v>0</v>
      </c>
      <c r="IV71" s="10">
        <f t="shared" si="261"/>
        <v>0</v>
      </c>
      <c r="IW71" s="10">
        <f t="shared" si="262"/>
        <v>0</v>
      </c>
      <c r="IX71" s="10">
        <f t="shared" si="263"/>
        <v>0</v>
      </c>
      <c r="IY71" s="10">
        <f t="shared" si="264"/>
        <v>0</v>
      </c>
      <c r="IZ71" s="10">
        <f t="shared" si="265"/>
        <v>0</v>
      </c>
      <c r="JA71" s="10">
        <f t="shared" si="266"/>
        <v>0</v>
      </c>
      <c r="JB71" s="10">
        <f t="shared" si="267"/>
        <v>0</v>
      </c>
      <c r="JC71" s="10">
        <f t="shared" si="268"/>
        <v>0</v>
      </c>
      <c r="JD71" s="10">
        <f t="shared" si="269"/>
        <v>0</v>
      </c>
      <c r="JE71" s="10">
        <f t="shared" si="270"/>
        <v>0</v>
      </c>
      <c r="JF71" s="10">
        <f t="shared" si="271"/>
        <v>0</v>
      </c>
      <c r="JG71" s="10">
        <v>0</v>
      </c>
      <c r="JH71" s="10">
        <f t="shared" si="272"/>
        <v>0</v>
      </c>
      <c r="JI71" s="10">
        <f t="shared" si="273"/>
        <v>0</v>
      </c>
      <c r="JJ71" s="10">
        <f t="shared" si="274"/>
        <v>0</v>
      </c>
      <c r="JK71" s="10">
        <f t="shared" si="275"/>
        <v>0</v>
      </c>
      <c r="JL71" s="10">
        <f t="shared" si="276"/>
        <v>0</v>
      </c>
      <c r="JM71" s="10">
        <f t="shared" si="277"/>
        <v>0</v>
      </c>
      <c r="JN71" s="10">
        <f t="shared" si="278"/>
        <v>17.551020408163268</v>
      </c>
      <c r="JO71" s="10">
        <f t="shared" si="279"/>
        <v>0</v>
      </c>
      <c r="JP71" s="10">
        <f t="shared" si="280"/>
        <v>0</v>
      </c>
      <c r="JQ71" s="10">
        <f t="shared" si="281"/>
        <v>0</v>
      </c>
      <c r="JR71" s="10">
        <f t="shared" si="282"/>
        <v>0</v>
      </c>
      <c r="JS71" s="10">
        <f t="shared" si="283"/>
        <v>0</v>
      </c>
      <c r="JT71" s="10">
        <f t="shared" si="284"/>
        <v>0</v>
      </c>
      <c r="JU71" s="10">
        <f t="shared" si="285"/>
        <v>0</v>
      </c>
      <c r="JV71" s="10">
        <f t="shared" si="286"/>
        <v>0</v>
      </c>
      <c r="JW71" s="10">
        <f t="shared" si="287"/>
        <v>0</v>
      </c>
      <c r="JX71" s="10">
        <f t="shared" si="288"/>
        <v>17.551020408163268</v>
      </c>
      <c r="JY71" s="10">
        <f t="shared" si="289"/>
        <v>0</v>
      </c>
      <c r="JZ71" s="10">
        <f t="shared" si="290"/>
        <v>0</v>
      </c>
      <c r="KA71" s="10">
        <f t="shared" si="291"/>
        <v>0</v>
      </c>
      <c r="KB71" s="10">
        <f t="shared" si="292"/>
        <v>0</v>
      </c>
      <c r="KC71" s="10">
        <f t="shared" si="293"/>
        <v>0</v>
      </c>
      <c r="KD71" s="10">
        <f t="shared" si="294"/>
        <v>0</v>
      </c>
      <c r="KE71" s="10">
        <f t="shared" si="295"/>
        <v>0</v>
      </c>
      <c r="KF71" s="10">
        <f t="shared" si="296"/>
        <v>965.30612244897952</v>
      </c>
      <c r="KG71" s="10">
        <f t="shared" si="297"/>
        <v>0</v>
      </c>
      <c r="KH71" s="10">
        <f t="shared" si="298"/>
        <v>0</v>
      </c>
      <c r="KI71" s="10">
        <f t="shared" si="299"/>
        <v>0</v>
      </c>
      <c r="KJ71" s="10">
        <f t="shared" si="300"/>
        <v>0</v>
      </c>
      <c r="KK71" s="10">
        <f t="shared" si="301"/>
        <v>0</v>
      </c>
      <c r="KL71" s="10">
        <f t="shared" si="302"/>
        <v>35.102040816326536</v>
      </c>
      <c r="KM71" s="10">
        <f t="shared" si="303"/>
        <v>0</v>
      </c>
      <c r="KN71" s="10">
        <f t="shared" si="304"/>
        <v>0</v>
      </c>
      <c r="KO71" s="10">
        <f t="shared" si="305"/>
        <v>245.71428571428575</v>
      </c>
      <c r="KP71" s="10">
        <f t="shared" si="306"/>
        <v>0</v>
      </c>
      <c r="KQ71" s="11">
        <v>1719.9999999999998</v>
      </c>
      <c r="KR71" s="16"/>
      <c r="KS71" s="12">
        <v>6222.6782326714474</v>
      </c>
      <c r="KT71" s="26">
        <v>72</v>
      </c>
      <c r="KU71" s="26">
        <v>0.19444444444444445</v>
      </c>
      <c r="KV71" s="26">
        <v>1</v>
      </c>
      <c r="KW71" s="26">
        <v>-14.28</v>
      </c>
      <c r="KX71" s="26">
        <v>13</v>
      </c>
      <c r="KY71" s="27">
        <v>2.8399829623788269</v>
      </c>
      <c r="KZ71" s="27">
        <v>3.312919342458565</v>
      </c>
      <c r="LA71" s="17"/>
      <c r="LB71" s="2">
        <v>423</v>
      </c>
      <c r="LC71" s="1">
        <v>0</v>
      </c>
      <c r="LD71" s="1">
        <v>6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175</v>
      </c>
      <c r="LM71" s="1">
        <v>14</v>
      </c>
      <c r="LN71" s="1">
        <v>9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15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204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28"/>
      <c r="ML71" t="s">
        <v>887</v>
      </c>
      <c r="MM71" t="s">
        <v>429</v>
      </c>
      <c r="MN71" t="s">
        <v>320</v>
      </c>
      <c r="MO71" t="s">
        <v>321</v>
      </c>
      <c r="MP71" t="s">
        <v>322</v>
      </c>
      <c r="MQ71" t="s">
        <v>323</v>
      </c>
      <c r="MR71">
        <v>0.05</v>
      </c>
      <c r="MS71" t="s">
        <v>430</v>
      </c>
      <c r="MT71" t="s">
        <v>431</v>
      </c>
      <c r="MU71" t="s">
        <v>432</v>
      </c>
      <c r="MV71">
        <v>20180</v>
      </c>
      <c r="MW71" s="13">
        <v>380</v>
      </c>
      <c r="MX71" s="13" t="s">
        <v>433</v>
      </c>
      <c r="MY71" t="s">
        <v>240</v>
      </c>
      <c r="MZ71" t="s">
        <v>241</v>
      </c>
      <c r="NA71" t="s">
        <v>242</v>
      </c>
      <c r="NB71" t="s">
        <v>306</v>
      </c>
      <c r="ND71" s="18">
        <v>43270</v>
      </c>
      <c r="NE71" s="19">
        <v>9.0277777777777776E-2</v>
      </c>
      <c r="NF71" t="s">
        <v>244</v>
      </c>
      <c r="NG71" t="s">
        <v>245</v>
      </c>
      <c r="NH71" t="s">
        <v>246</v>
      </c>
      <c r="NI71">
        <v>112</v>
      </c>
      <c r="NJ71" t="s">
        <v>244</v>
      </c>
      <c r="NK71">
        <v>3</v>
      </c>
      <c r="NL71" t="s">
        <v>247</v>
      </c>
      <c r="NM71">
        <v>29.63937</v>
      </c>
      <c r="NN71">
        <v>-84.908140000000003</v>
      </c>
      <c r="NO71" t="s">
        <v>248</v>
      </c>
      <c r="NP71" t="s">
        <v>434</v>
      </c>
      <c r="NQ71" t="s">
        <v>244</v>
      </c>
      <c r="NR71" t="s">
        <v>247</v>
      </c>
      <c r="NS71">
        <v>982000410610379</v>
      </c>
      <c r="NT71" t="s">
        <v>244</v>
      </c>
      <c r="NU71" t="s">
        <v>244</v>
      </c>
      <c r="NV71" t="s">
        <v>248</v>
      </c>
      <c r="NW71" t="s">
        <v>431</v>
      </c>
      <c r="NX71" t="s">
        <v>432</v>
      </c>
      <c r="NY71">
        <v>97</v>
      </c>
      <c r="NZ71">
        <v>88</v>
      </c>
      <c r="OA71" s="13">
        <v>81.680000000000007</v>
      </c>
      <c r="OB71" s="14">
        <v>6222.6782326714474</v>
      </c>
      <c r="OC71" t="s">
        <v>247</v>
      </c>
      <c r="OD71" t="s">
        <v>248</v>
      </c>
      <c r="OE71" t="s">
        <v>435</v>
      </c>
      <c r="OF71" t="s">
        <v>247</v>
      </c>
      <c r="OG71" t="s">
        <v>247</v>
      </c>
      <c r="OH71">
        <v>69</v>
      </c>
      <c r="OI71" t="s">
        <v>431</v>
      </c>
      <c r="OJ71" t="s">
        <v>436</v>
      </c>
      <c r="OK71">
        <v>72</v>
      </c>
      <c r="OL71">
        <v>0.19444444444444445</v>
      </c>
      <c r="OM71">
        <v>1</v>
      </c>
      <c r="ON71">
        <v>-14.28</v>
      </c>
      <c r="OO71">
        <v>13</v>
      </c>
      <c r="OP71" s="25">
        <v>2.8399829623788269</v>
      </c>
      <c r="OQ71" s="25">
        <v>3.312919342458565</v>
      </c>
      <c r="OR71" t="s">
        <v>909</v>
      </c>
      <c r="OS71" t="s">
        <v>909</v>
      </c>
    </row>
    <row r="72" spans="1:409" x14ac:dyDescent="0.25">
      <c r="A72">
        <v>71</v>
      </c>
      <c r="B72" s="1">
        <v>126</v>
      </c>
      <c r="C72" s="1">
        <v>56</v>
      </c>
      <c r="D72" s="1">
        <v>81</v>
      </c>
      <c r="E72" s="1">
        <v>2</v>
      </c>
      <c r="F72" s="1">
        <v>250</v>
      </c>
      <c r="G72" s="1">
        <v>0</v>
      </c>
      <c r="H72" s="1">
        <v>0</v>
      </c>
      <c r="I72" s="1">
        <v>0</v>
      </c>
      <c r="J72" s="1">
        <v>174</v>
      </c>
      <c r="K72" s="1">
        <v>1</v>
      </c>
      <c r="L72" s="1">
        <v>75</v>
      </c>
      <c r="M72" s="1">
        <v>0</v>
      </c>
      <c r="N72" s="1">
        <v>3</v>
      </c>
      <c r="O72" s="1">
        <v>0</v>
      </c>
      <c r="P72" s="1">
        <v>0</v>
      </c>
      <c r="Q72" s="1">
        <v>11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2">
        <v>779</v>
      </c>
      <c r="Y72" s="3"/>
      <c r="Z72" s="15">
        <f t="shared" si="307"/>
        <v>5.0621290097586789</v>
      </c>
      <c r="AA72" s="15">
        <f t="shared" si="308"/>
        <v>2.2498351154483016</v>
      </c>
      <c r="AB72" s="15">
        <f t="shared" si="309"/>
        <v>3.254225791987722</v>
      </c>
      <c r="AC72" s="15">
        <f t="shared" si="310"/>
        <v>8.0351254123153637E-2</v>
      </c>
      <c r="AD72" s="15">
        <f t="shared" si="311"/>
        <v>10.043906765394205</v>
      </c>
      <c r="AE72" s="15">
        <f t="shared" si="312"/>
        <v>0</v>
      </c>
      <c r="AF72" s="15">
        <f t="shared" si="313"/>
        <v>0</v>
      </c>
      <c r="AG72" s="15">
        <f t="shared" si="314"/>
        <v>0</v>
      </c>
      <c r="AH72" s="15">
        <f t="shared" si="315"/>
        <v>6.9905591087143657</v>
      </c>
      <c r="AI72" s="15">
        <f t="shared" si="316"/>
        <v>4.0175627061576819E-2</v>
      </c>
      <c r="AJ72" s="15">
        <f t="shared" si="317"/>
        <v>3.0131720296182611</v>
      </c>
      <c r="AK72" s="15">
        <f t="shared" si="318"/>
        <v>0</v>
      </c>
      <c r="AL72" s="15">
        <f t="shared" si="319"/>
        <v>0.12052688118473044</v>
      </c>
      <c r="AM72" s="15">
        <f t="shared" si="320"/>
        <v>0</v>
      </c>
      <c r="AN72" s="15">
        <f t="shared" si="321"/>
        <v>0</v>
      </c>
      <c r="AO72" s="15">
        <f t="shared" si="322"/>
        <v>0.44193189767734498</v>
      </c>
      <c r="AP72" s="15">
        <f t="shared" si="323"/>
        <v>0</v>
      </c>
      <c r="AQ72" s="15">
        <f t="shared" si="324"/>
        <v>0</v>
      </c>
      <c r="AR72" s="15">
        <f t="shared" si="325"/>
        <v>0</v>
      </c>
      <c r="AS72" s="15">
        <f t="shared" si="326"/>
        <v>0</v>
      </c>
      <c r="AT72" s="15">
        <f t="shared" si="327"/>
        <v>0</v>
      </c>
      <c r="AU72" s="15">
        <f t="shared" si="328"/>
        <v>0</v>
      </c>
      <c r="AV72" s="5">
        <f t="shared" si="329"/>
        <v>31.296813480968343</v>
      </c>
      <c r="AW72" s="16"/>
      <c r="AX72" s="6">
        <v>3150</v>
      </c>
      <c r="AY72" s="6">
        <v>1400</v>
      </c>
      <c r="AZ72" s="6">
        <v>2025</v>
      </c>
      <c r="BA72" s="6">
        <v>50</v>
      </c>
      <c r="BB72" s="6">
        <v>6250</v>
      </c>
      <c r="BC72" s="6">
        <v>0</v>
      </c>
      <c r="BD72" s="6">
        <v>0</v>
      </c>
      <c r="BE72" s="6">
        <v>0</v>
      </c>
      <c r="BF72" s="6">
        <v>4350</v>
      </c>
      <c r="BG72" s="6">
        <v>25</v>
      </c>
      <c r="BH72" s="6">
        <v>1875</v>
      </c>
      <c r="BI72" s="6">
        <v>0</v>
      </c>
      <c r="BJ72" s="6">
        <v>75</v>
      </c>
      <c r="BK72" s="6">
        <v>0</v>
      </c>
      <c r="BL72" s="6">
        <v>0</v>
      </c>
      <c r="BM72" s="6">
        <v>275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7">
        <v>19475</v>
      </c>
      <c r="BU72" s="16"/>
      <c r="BV72" s="8">
        <v>0</v>
      </c>
      <c r="BW72" s="8">
        <v>1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1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69</v>
      </c>
      <c r="CO72" s="8">
        <v>0</v>
      </c>
      <c r="CP72" s="8">
        <v>0</v>
      </c>
      <c r="CQ72" s="8">
        <v>0</v>
      </c>
      <c r="CR72" s="8">
        <v>1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1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1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</v>
      </c>
      <c r="FL72" s="8">
        <v>0</v>
      </c>
      <c r="FM72" s="8">
        <v>0</v>
      </c>
      <c r="FN72" s="8">
        <v>0</v>
      </c>
      <c r="FO72" s="8">
        <v>0</v>
      </c>
      <c r="FP72" s="8">
        <v>0</v>
      </c>
      <c r="FQ72" s="8">
        <v>0</v>
      </c>
      <c r="FR72" s="8">
        <v>0</v>
      </c>
      <c r="FS72" s="8">
        <v>0</v>
      </c>
      <c r="FT72" s="8">
        <v>0</v>
      </c>
      <c r="FU72" s="8">
        <v>20</v>
      </c>
      <c r="FV72" s="8">
        <v>0</v>
      </c>
      <c r="FW72" s="8">
        <v>0</v>
      </c>
      <c r="FX72" s="8">
        <v>0</v>
      </c>
      <c r="FY72" s="8">
        <v>0</v>
      </c>
      <c r="FZ72" s="8">
        <v>0</v>
      </c>
      <c r="GA72" s="8">
        <v>1</v>
      </c>
      <c r="GB72" s="8">
        <v>0</v>
      </c>
      <c r="GC72" s="8">
        <v>0</v>
      </c>
      <c r="GD72" s="8">
        <v>0</v>
      </c>
      <c r="GE72" s="8">
        <v>1</v>
      </c>
      <c r="GF72" s="9">
        <v>96</v>
      </c>
      <c r="GG72" s="3"/>
      <c r="GH72" s="10">
        <f t="shared" si="195"/>
        <v>0</v>
      </c>
      <c r="GI72" s="10">
        <f t="shared" si="196"/>
        <v>32.8125</v>
      </c>
      <c r="GJ72" s="10">
        <f t="shared" si="197"/>
        <v>0</v>
      </c>
      <c r="GK72" s="10">
        <f t="shared" si="198"/>
        <v>0</v>
      </c>
      <c r="GL72" s="10">
        <f t="shared" si="199"/>
        <v>0</v>
      </c>
      <c r="GM72" s="10">
        <f t="shared" si="200"/>
        <v>0</v>
      </c>
      <c r="GN72" s="10">
        <f t="shared" si="201"/>
        <v>0</v>
      </c>
      <c r="GO72" s="10">
        <f t="shared" si="202"/>
        <v>0</v>
      </c>
      <c r="GP72" s="10">
        <f t="shared" si="203"/>
        <v>0</v>
      </c>
      <c r="GQ72" s="10">
        <f t="shared" si="204"/>
        <v>0</v>
      </c>
      <c r="GR72" s="10">
        <f t="shared" si="205"/>
        <v>0</v>
      </c>
      <c r="GS72" s="10">
        <f t="shared" si="206"/>
        <v>32.8125</v>
      </c>
      <c r="GT72" s="10">
        <f t="shared" si="207"/>
        <v>0</v>
      </c>
      <c r="GU72" s="10">
        <f t="shared" si="208"/>
        <v>0</v>
      </c>
      <c r="GV72" s="10">
        <f t="shared" si="209"/>
        <v>0</v>
      </c>
      <c r="GW72" s="10">
        <f t="shared" si="210"/>
        <v>0</v>
      </c>
      <c r="GX72" s="10">
        <f t="shared" si="211"/>
        <v>0</v>
      </c>
      <c r="GY72" s="10">
        <f t="shared" si="212"/>
        <v>0</v>
      </c>
      <c r="GZ72" s="10">
        <f t="shared" si="213"/>
        <v>2264.0625</v>
      </c>
      <c r="HA72" s="10">
        <f t="shared" si="214"/>
        <v>0</v>
      </c>
      <c r="HB72" s="10">
        <f t="shared" si="215"/>
        <v>0</v>
      </c>
      <c r="HC72" s="10">
        <f t="shared" si="216"/>
        <v>0</v>
      </c>
      <c r="HD72" s="10">
        <f t="shared" si="217"/>
        <v>32.8125</v>
      </c>
      <c r="HE72" s="10">
        <f t="shared" si="218"/>
        <v>0</v>
      </c>
      <c r="HF72" s="10">
        <f t="shared" si="219"/>
        <v>0</v>
      </c>
      <c r="HG72" s="10">
        <f t="shared" si="220"/>
        <v>0</v>
      </c>
      <c r="HH72" s="10">
        <f t="shared" si="221"/>
        <v>0</v>
      </c>
      <c r="HI72" s="10">
        <f t="shared" si="222"/>
        <v>0</v>
      </c>
      <c r="HJ72" s="10">
        <f t="shared" si="223"/>
        <v>0</v>
      </c>
      <c r="HK72" s="10">
        <f t="shared" si="224"/>
        <v>0</v>
      </c>
      <c r="HL72" s="10">
        <f t="shared" si="225"/>
        <v>32.8125</v>
      </c>
      <c r="HM72" s="10">
        <f t="shared" si="226"/>
        <v>0</v>
      </c>
      <c r="HN72" s="10">
        <f t="shared" si="227"/>
        <v>0</v>
      </c>
      <c r="HO72" s="10">
        <f t="shared" si="228"/>
        <v>0</v>
      </c>
      <c r="HP72" s="10">
        <f t="shared" si="229"/>
        <v>0</v>
      </c>
      <c r="HQ72" s="10">
        <f t="shared" si="230"/>
        <v>0</v>
      </c>
      <c r="HR72" s="10">
        <f t="shared" si="231"/>
        <v>0</v>
      </c>
      <c r="HS72" s="10">
        <f t="shared" si="232"/>
        <v>0</v>
      </c>
      <c r="HT72" s="10">
        <f t="shared" si="233"/>
        <v>0</v>
      </c>
      <c r="HU72" s="10">
        <f t="shared" si="234"/>
        <v>0</v>
      </c>
      <c r="HV72" s="10">
        <f t="shared" si="235"/>
        <v>0</v>
      </c>
      <c r="HW72" s="10">
        <f t="shared" si="236"/>
        <v>0</v>
      </c>
      <c r="HX72" s="10">
        <f t="shared" si="237"/>
        <v>0</v>
      </c>
      <c r="HY72" s="10">
        <f t="shared" si="238"/>
        <v>0</v>
      </c>
      <c r="HZ72" s="10">
        <f t="shared" si="239"/>
        <v>0</v>
      </c>
      <c r="IA72" s="10">
        <f t="shared" si="240"/>
        <v>0</v>
      </c>
      <c r="IB72" s="10">
        <f t="shared" si="241"/>
        <v>0</v>
      </c>
      <c r="IC72" s="10">
        <f t="shared" si="242"/>
        <v>0</v>
      </c>
      <c r="ID72" s="10">
        <f t="shared" si="243"/>
        <v>0</v>
      </c>
      <c r="IE72" s="10">
        <f t="shared" si="244"/>
        <v>32.8125</v>
      </c>
      <c r="IF72" s="10">
        <f t="shared" si="245"/>
        <v>0</v>
      </c>
      <c r="IG72" s="10">
        <f t="shared" si="246"/>
        <v>0</v>
      </c>
      <c r="IH72" s="10">
        <f t="shared" si="247"/>
        <v>0</v>
      </c>
      <c r="II72" s="10">
        <f t="shared" si="248"/>
        <v>0</v>
      </c>
      <c r="IJ72" s="10">
        <f t="shared" si="249"/>
        <v>0</v>
      </c>
      <c r="IK72" s="10">
        <f t="shared" si="250"/>
        <v>0</v>
      </c>
      <c r="IL72" s="10">
        <f t="shared" si="251"/>
        <v>0</v>
      </c>
      <c r="IM72" s="10">
        <f t="shared" si="252"/>
        <v>0</v>
      </c>
      <c r="IN72" s="10">
        <f t="shared" si="253"/>
        <v>0</v>
      </c>
      <c r="IO72" s="10">
        <f t="shared" si="254"/>
        <v>0</v>
      </c>
      <c r="IP72" s="10">
        <f t="shared" si="255"/>
        <v>0</v>
      </c>
      <c r="IQ72" s="10">
        <f t="shared" si="256"/>
        <v>0</v>
      </c>
      <c r="IR72" s="10">
        <f t="shared" si="257"/>
        <v>0</v>
      </c>
      <c r="IS72" s="10">
        <f t="shared" si="258"/>
        <v>0</v>
      </c>
      <c r="IT72" s="10">
        <f t="shared" si="259"/>
        <v>0</v>
      </c>
      <c r="IU72" s="10">
        <f t="shared" si="260"/>
        <v>0</v>
      </c>
      <c r="IV72" s="10">
        <f t="shared" si="261"/>
        <v>0</v>
      </c>
      <c r="IW72" s="10">
        <f t="shared" si="262"/>
        <v>0</v>
      </c>
      <c r="IX72" s="10">
        <f t="shared" si="263"/>
        <v>0</v>
      </c>
      <c r="IY72" s="10">
        <f t="shared" si="264"/>
        <v>0</v>
      </c>
      <c r="IZ72" s="10">
        <f t="shared" si="265"/>
        <v>0</v>
      </c>
      <c r="JA72" s="10">
        <f t="shared" si="266"/>
        <v>0</v>
      </c>
      <c r="JB72" s="10">
        <f t="shared" si="267"/>
        <v>0</v>
      </c>
      <c r="JC72" s="10">
        <f t="shared" si="268"/>
        <v>0</v>
      </c>
      <c r="JD72" s="10">
        <f t="shared" si="269"/>
        <v>0</v>
      </c>
      <c r="JE72" s="10">
        <f t="shared" si="270"/>
        <v>0</v>
      </c>
      <c r="JF72" s="10">
        <f t="shared" si="271"/>
        <v>0</v>
      </c>
      <c r="JG72" s="10">
        <v>0</v>
      </c>
      <c r="JH72" s="10">
        <f t="shared" si="272"/>
        <v>0</v>
      </c>
      <c r="JI72" s="10">
        <f t="shared" si="273"/>
        <v>0</v>
      </c>
      <c r="JJ72" s="10">
        <f t="shared" si="274"/>
        <v>0</v>
      </c>
      <c r="JK72" s="10">
        <f t="shared" si="275"/>
        <v>0</v>
      </c>
      <c r="JL72" s="10">
        <f t="shared" si="276"/>
        <v>0</v>
      </c>
      <c r="JM72" s="10">
        <f t="shared" si="277"/>
        <v>0</v>
      </c>
      <c r="JN72" s="10">
        <f t="shared" si="278"/>
        <v>0</v>
      </c>
      <c r="JO72" s="10">
        <f t="shared" si="279"/>
        <v>0</v>
      </c>
      <c r="JP72" s="10">
        <f t="shared" si="280"/>
        <v>0</v>
      </c>
      <c r="JQ72" s="10">
        <f t="shared" si="281"/>
        <v>0</v>
      </c>
      <c r="JR72" s="10">
        <f t="shared" si="282"/>
        <v>0</v>
      </c>
      <c r="JS72" s="10">
        <f t="shared" si="283"/>
        <v>0</v>
      </c>
      <c r="JT72" s="10">
        <f t="shared" si="284"/>
        <v>0</v>
      </c>
      <c r="JU72" s="10">
        <f t="shared" si="285"/>
        <v>0</v>
      </c>
      <c r="JV72" s="10">
        <f t="shared" si="286"/>
        <v>0</v>
      </c>
      <c r="JW72" s="10">
        <f t="shared" si="287"/>
        <v>0</v>
      </c>
      <c r="JX72" s="10">
        <f t="shared" si="288"/>
        <v>0</v>
      </c>
      <c r="JY72" s="10">
        <f t="shared" si="289"/>
        <v>0</v>
      </c>
      <c r="JZ72" s="10">
        <f t="shared" si="290"/>
        <v>0</v>
      </c>
      <c r="KA72" s="10">
        <f t="shared" si="291"/>
        <v>0</v>
      </c>
      <c r="KB72" s="10">
        <f t="shared" si="292"/>
        <v>0</v>
      </c>
      <c r="KC72" s="10">
        <f t="shared" si="293"/>
        <v>0</v>
      </c>
      <c r="KD72" s="10">
        <f t="shared" si="294"/>
        <v>0</v>
      </c>
      <c r="KE72" s="10">
        <f t="shared" si="295"/>
        <v>0</v>
      </c>
      <c r="KF72" s="10">
        <f t="shared" si="296"/>
        <v>656.25</v>
      </c>
      <c r="KG72" s="10">
        <f t="shared" si="297"/>
        <v>0</v>
      </c>
      <c r="KH72" s="10">
        <f t="shared" si="298"/>
        <v>0</v>
      </c>
      <c r="KI72" s="10">
        <f t="shared" si="299"/>
        <v>0</v>
      </c>
      <c r="KJ72" s="10">
        <f t="shared" si="300"/>
        <v>0</v>
      </c>
      <c r="KK72" s="10">
        <f t="shared" si="301"/>
        <v>0</v>
      </c>
      <c r="KL72" s="10">
        <f t="shared" si="302"/>
        <v>32.8125</v>
      </c>
      <c r="KM72" s="10">
        <f t="shared" si="303"/>
        <v>0</v>
      </c>
      <c r="KN72" s="10">
        <f t="shared" si="304"/>
        <v>0</v>
      </c>
      <c r="KO72" s="10">
        <f t="shared" si="305"/>
        <v>0</v>
      </c>
      <c r="KP72" s="10">
        <f t="shared" si="306"/>
        <v>32.8125</v>
      </c>
      <c r="KQ72" s="11">
        <v>3150</v>
      </c>
      <c r="KR72" s="16"/>
      <c r="KS72" s="12">
        <v>6222.6782326714474</v>
      </c>
      <c r="KT72" s="26">
        <v>72</v>
      </c>
      <c r="KU72" s="26">
        <v>0.19444444444444445</v>
      </c>
      <c r="KV72" s="26">
        <v>1</v>
      </c>
      <c r="KW72" s="26">
        <v>-14.28</v>
      </c>
      <c r="KX72" s="26">
        <v>13</v>
      </c>
      <c r="KY72" s="27">
        <v>2.8399829623788269</v>
      </c>
      <c r="KZ72" s="27">
        <v>3.312919342458565</v>
      </c>
      <c r="LA72" s="17"/>
      <c r="LB72" s="2">
        <v>1749</v>
      </c>
      <c r="LC72" s="1">
        <v>1</v>
      </c>
      <c r="LD72" s="1">
        <v>0</v>
      </c>
      <c r="LE72" s="1">
        <v>0</v>
      </c>
      <c r="LF72" s="1">
        <v>0</v>
      </c>
      <c r="LG72" s="1">
        <v>1</v>
      </c>
      <c r="LH72" s="1">
        <v>0</v>
      </c>
      <c r="LI72" s="1">
        <v>8</v>
      </c>
      <c r="LJ72" s="1">
        <v>0</v>
      </c>
      <c r="LK72" s="1">
        <v>0</v>
      </c>
      <c r="LL72" s="1">
        <v>1403</v>
      </c>
      <c r="LM72" s="1">
        <v>16</v>
      </c>
      <c r="LN72" s="1">
        <v>32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52</v>
      </c>
      <c r="LU72" s="1">
        <v>0</v>
      </c>
      <c r="LV72" s="1">
        <v>0</v>
      </c>
      <c r="LW72" s="1">
        <v>0</v>
      </c>
      <c r="LX72" s="1">
        <v>0</v>
      </c>
      <c r="LY72" s="1">
        <v>1</v>
      </c>
      <c r="LZ72" s="1">
        <v>0</v>
      </c>
      <c r="MA72" s="1">
        <v>1</v>
      </c>
      <c r="MB72" s="1">
        <v>0</v>
      </c>
      <c r="MC72" s="1">
        <v>0</v>
      </c>
      <c r="MD72" s="1">
        <v>234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28"/>
      <c r="ML72" t="s">
        <v>888</v>
      </c>
      <c r="MM72" t="s">
        <v>437</v>
      </c>
      <c r="MN72" t="s">
        <v>320</v>
      </c>
      <c r="MO72" t="s">
        <v>334</v>
      </c>
      <c r="MP72" t="s">
        <v>335</v>
      </c>
      <c r="MQ72" t="s">
        <v>336</v>
      </c>
      <c r="MR72">
        <v>0.04</v>
      </c>
      <c r="MS72" t="s">
        <v>430</v>
      </c>
      <c r="MT72" t="s">
        <v>431</v>
      </c>
      <c r="MU72" t="s">
        <v>432</v>
      </c>
      <c r="MV72">
        <v>19475</v>
      </c>
      <c r="MW72" s="13">
        <v>380</v>
      </c>
      <c r="MX72" s="13" t="s">
        <v>433</v>
      </c>
      <c r="MY72" t="s">
        <v>240</v>
      </c>
      <c r="MZ72" t="s">
        <v>241</v>
      </c>
      <c r="NA72" t="s">
        <v>242</v>
      </c>
      <c r="NB72" t="s">
        <v>306</v>
      </c>
      <c r="ND72" s="18">
        <v>43270</v>
      </c>
      <c r="NE72" s="19">
        <v>9.0277777777777776E-2</v>
      </c>
      <c r="NF72" t="s">
        <v>244</v>
      </c>
      <c r="NG72" t="s">
        <v>245</v>
      </c>
      <c r="NH72" t="s">
        <v>246</v>
      </c>
      <c r="NI72">
        <v>112</v>
      </c>
      <c r="NJ72" t="s">
        <v>244</v>
      </c>
      <c r="NK72">
        <v>3</v>
      </c>
      <c r="NL72" t="s">
        <v>247</v>
      </c>
      <c r="NM72">
        <v>29.63937</v>
      </c>
      <c r="NN72">
        <v>-84.908140000000003</v>
      </c>
      <c r="NO72" t="s">
        <v>248</v>
      </c>
      <c r="NP72" t="s">
        <v>434</v>
      </c>
      <c r="NQ72" t="s">
        <v>244</v>
      </c>
      <c r="NR72" t="s">
        <v>247</v>
      </c>
      <c r="NS72">
        <v>982000410610379</v>
      </c>
      <c r="NT72" t="s">
        <v>244</v>
      </c>
      <c r="NU72" t="s">
        <v>244</v>
      </c>
      <c r="NV72" t="s">
        <v>248</v>
      </c>
      <c r="NW72" t="s">
        <v>431</v>
      </c>
      <c r="NX72" t="s">
        <v>432</v>
      </c>
      <c r="NY72">
        <v>97</v>
      </c>
      <c r="NZ72">
        <v>88</v>
      </c>
      <c r="OA72" s="13">
        <v>81.680000000000007</v>
      </c>
      <c r="OB72" s="14">
        <v>6222.6782326714474</v>
      </c>
      <c r="OC72" t="s">
        <v>247</v>
      </c>
      <c r="OD72" t="s">
        <v>248</v>
      </c>
      <c r="OE72" t="s">
        <v>435</v>
      </c>
      <c r="OF72" t="s">
        <v>247</v>
      </c>
      <c r="OG72" t="s">
        <v>247</v>
      </c>
      <c r="OH72">
        <v>68</v>
      </c>
      <c r="OI72" t="s">
        <v>431</v>
      </c>
      <c r="OJ72" t="s">
        <v>436</v>
      </c>
      <c r="OK72">
        <v>72</v>
      </c>
      <c r="OL72">
        <v>0.19444444444444445</v>
      </c>
      <c r="OM72">
        <v>1</v>
      </c>
      <c r="ON72">
        <v>-14.28</v>
      </c>
      <c r="OO72">
        <v>13</v>
      </c>
      <c r="OP72" s="25">
        <v>2.8399829623788269</v>
      </c>
      <c r="OQ72" s="25">
        <v>3.312919342458565</v>
      </c>
      <c r="OR72" t="s">
        <v>909</v>
      </c>
      <c r="OS72" t="s">
        <v>909</v>
      </c>
    </row>
    <row r="73" spans="1:409" x14ac:dyDescent="0.25">
      <c r="A73">
        <v>72</v>
      </c>
      <c r="B73" s="1">
        <v>95</v>
      </c>
      <c r="C73" s="1">
        <v>58</v>
      </c>
      <c r="D73" s="1">
        <v>4</v>
      </c>
      <c r="E73" s="1">
        <v>2</v>
      </c>
      <c r="F73" s="1">
        <v>45</v>
      </c>
      <c r="G73" s="1">
        <v>2</v>
      </c>
      <c r="H73" s="1">
        <v>0</v>
      </c>
      <c r="I73" s="1">
        <v>13</v>
      </c>
      <c r="J73" s="1">
        <v>120</v>
      </c>
      <c r="K73" s="1">
        <v>0</v>
      </c>
      <c r="L73" s="1">
        <v>207</v>
      </c>
      <c r="M73" s="1">
        <v>0</v>
      </c>
      <c r="N73" s="1">
        <v>26</v>
      </c>
      <c r="O73" s="1">
        <v>1</v>
      </c>
      <c r="P73" s="1">
        <v>0</v>
      </c>
      <c r="Q73" s="1">
        <v>17</v>
      </c>
      <c r="R73" s="1">
        <v>5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2">
        <v>595</v>
      </c>
      <c r="Y73" s="3"/>
      <c r="Z73" s="15">
        <f t="shared" si="307"/>
        <v>3.0533476566798381</v>
      </c>
      <c r="AA73" s="15">
        <f t="shared" si="308"/>
        <v>1.8641490956571642</v>
      </c>
      <c r="AB73" s="15">
        <f t="shared" si="309"/>
        <v>0.12856200659704581</v>
      </c>
      <c r="AC73" s="15">
        <f t="shared" si="310"/>
        <v>6.4281003298522904E-2</v>
      </c>
      <c r="AD73" s="15">
        <f t="shared" si="311"/>
        <v>1.4463225742167654</v>
      </c>
      <c r="AE73" s="15">
        <f t="shared" si="312"/>
        <v>6.4281003298522904E-2</v>
      </c>
      <c r="AF73" s="15">
        <f t="shared" si="313"/>
        <v>0</v>
      </c>
      <c r="AG73" s="15">
        <f t="shared" si="314"/>
        <v>0.41782652144039889</v>
      </c>
      <c r="AH73" s="15">
        <f t="shared" si="315"/>
        <v>3.8568601979113741</v>
      </c>
      <c r="AI73" s="15">
        <f t="shared" si="316"/>
        <v>0</v>
      </c>
      <c r="AJ73" s="15">
        <f t="shared" si="317"/>
        <v>6.6530838413971205</v>
      </c>
      <c r="AK73" s="15">
        <f t="shared" si="318"/>
        <v>0</v>
      </c>
      <c r="AL73" s="15">
        <f t="shared" si="319"/>
        <v>0.83565304288079778</v>
      </c>
      <c r="AM73" s="15">
        <f t="shared" si="320"/>
        <v>3.2140501649261452E-2</v>
      </c>
      <c r="AN73" s="15">
        <f t="shared" si="321"/>
        <v>0</v>
      </c>
      <c r="AO73" s="15">
        <f t="shared" si="322"/>
        <v>0.54638852803744464</v>
      </c>
      <c r="AP73" s="15">
        <f t="shared" si="323"/>
        <v>0.16070250824630727</v>
      </c>
      <c r="AQ73" s="15">
        <f t="shared" si="324"/>
        <v>0</v>
      </c>
      <c r="AR73" s="15">
        <f t="shared" si="325"/>
        <v>0</v>
      </c>
      <c r="AS73" s="15">
        <f t="shared" si="326"/>
        <v>0</v>
      </c>
      <c r="AT73" s="15">
        <f t="shared" si="327"/>
        <v>0</v>
      </c>
      <c r="AU73" s="15">
        <f t="shared" si="328"/>
        <v>0</v>
      </c>
      <c r="AV73" s="5">
        <f t="shared" si="329"/>
        <v>19.123598481310566</v>
      </c>
      <c r="AW73" s="16"/>
      <c r="AX73" s="6">
        <v>1900</v>
      </c>
      <c r="AY73" s="6">
        <v>1160</v>
      </c>
      <c r="AZ73" s="6">
        <v>80</v>
      </c>
      <c r="BA73" s="6">
        <v>40</v>
      </c>
      <c r="BB73" s="6">
        <v>900</v>
      </c>
      <c r="BC73" s="6">
        <v>40</v>
      </c>
      <c r="BD73" s="6">
        <v>0</v>
      </c>
      <c r="BE73" s="6">
        <v>260</v>
      </c>
      <c r="BF73" s="6">
        <v>2400</v>
      </c>
      <c r="BG73" s="6">
        <v>0</v>
      </c>
      <c r="BH73" s="6">
        <v>4140</v>
      </c>
      <c r="BI73" s="6">
        <v>0</v>
      </c>
      <c r="BJ73" s="6">
        <v>520</v>
      </c>
      <c r="BK73" s="6">
        <v>20</v>
      </c>
      <c r="BL73" s="6">
        <v>0</v>
      </c>
      <c r="BM73" s="6">
        <v>340</v>
      </c>
      <c r="BN73" s="6">
        <v>100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7">
        <v>11900</v>
      </c>
      <c r="BU73" s="16"/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1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1</v>
      </c>
      <c r="CM73" s="8">
        <v>0</v>
      </c>
      <c r="CN73" s="8">
        <v>92</v>
      </c>
      <c r="CO73" s="8">
        <v>0</v>
      </c>
      <c r="CP73" s="8">
        <v>0</v>
      </c>
      <c r="CQ73" s="8">
        <v>0</v>
      </c>
      <c r="CR73" s="8">
        <v>1</v>
      </c>
      <c r="CS73" s="8">
        <v>0</v>
      </c>
      <c r="CT73" s="8">
        <v>0</v>
      </c>
      <c r="CU73" s="8">
        <v>1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1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5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1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8">
        <v>0</v>
      </c>
      <c r="FR73" s="8">
        <v>0</v>
      </c>
      <c r="FS73" s="8">
        <v>1</v>
      </c>
      <c r="FT73" s="8">
        <v>0</v>
      </c>
      <c r="FU73" s="8">
        <v>4</v>
      </c>
      <c r="FV73" s="8">
        <v>0</v>
      </c>
      <c r="FW73" s="8">
        <v>0</v>
      </c>
      <c r="FX73" s="8">
        <v>0</v>
      </c>
      <c r="FY73" s="8">
        <v>0</v>
      </c>
      <c r="FZ73" s="8">
        <v>0</v>
      </c>
      <c r="GA73" s="8">
        <v>1</v>
      </c>
      <c r="GB73" s="8">
        <v>0</v>
      </c>
      <c r="GC73" s="8">
        <v>0</v>
      </c>
      <c r="GD73" s="8">
        <v>0</v>
      </c>
      <c r="GE73" s="8">
        <v>0</v>
      </c>
      <c r="GF73" s="9">
        <v>109</v>
      </c>
      <c r="GG73" s="3"/>
      <c r="GH73" s="10">
        <f t="shared" si="195"/>
        <v>0</v>
      </c>
      <c r="GI73" s="10">
        <f t="shared" si="196"/>
        <v>0</v>
      </c>
      <c r="GJ73" s="10">
        <f t="shared" si="197"/>
        <v>0</v>
      </c>
      <c r="GK73" s="10">
        <f t="shared" si="198"/>
        <v>0</v>
      </c>
      <c r="GL73" s="10">
        <f t="shared" si="199"/>
        <v>0</v>
      </c>
      <c r="GM73" s="10">
        <f t="shared" si="200"/>
        <v>17.431192660550458</v>
      </c>
      <c r="GN73" s="10">
        <f t="shared" si="201"/>
        <v>0</v>
      </c>
      <c r="GO73" s="10">
        <f t="shared" si="202"/>
        <v>0</v>
      </c>
      <c r="GP73" s="10">
        <f t="shared" si="203"/>
        <v>0</v>
      </c>
      <c r="GQ73" s="10">
        <f t="shared" si="204"/>
        <v>0</v>
      </c>
      <c r="GR73" s="10">
        <f t="shared" si="205"/>
        <v>0</v>
      </c>
      <c r="GS73" s="10">
        <f t="shared" si="206"/>
        <v>0</v>
      </c>
      <c r="GT73" s="10">
        <f t="shared" si="207"/>
        <v>0</v>
      </c>
      <c r="GU73" s="10">
        <f t="shared" si="208"/>
        <v>0</v>
      </c>
      <c r="GV73" s="10">
        <f t="shared" si="209"/>
        <v>0</v>
      </c>
      <c r="GW73" s="10">
        <f t="shared" si="210"/>
        <v>0</v>
      </c>
      <c r="GX73" s="10">
        <f t="shared" si="211"/>
        <v>17.431192660550458</v>
      </c>
      <c r="GY73" s="10">
        <f t="shared" si="212"/>
        <v>0</v>
      </c>
      <c r="GZ73" s="10">
        <f t="shared" si="213"/>
        <v>1603.6697247706422</v>
      </c>
      <c r="HA73" s="10">
        <f t="shared" si="214"/>
        <v>0</v>
      </c>
      <c r="HB73" s="10">
        <f t="shared" si="215"/>
        <v>0</v>
      </c>
      <c r="HC73" s="10">
        <f t="shared" si="216"/>
        <v>0</v>
      </c>
      <c r="HD73" s="10">
        <f t="shared" si="217"/>
        <v>17.431192660550458</v>
      </c>
      <c r="HE73" s="10">
        <f t="shared" si="218"/>
        <v>0</v>
      </c>
      <c r="HF73" s="10">
        <f t="shared" si="219"/>
        <v>0</v>
      </c>
      <c r="HG73" s="10">
        <f t="shared" si="220"/>
        <v>17.431192660550458</v>
      </c>
      <c r="HH73" s="10">
        <f t="shared" si="221"/>
        <v>0</v>
      </c>
      <c r="HI73" s="10">
        <f t="shared" si="222"/>
        <v>0</v>
      </c>
      <c r="HJ73" s="10">
        <f t="shared" si="223"/>
        <v>0</v>
      </c>
      <c r="HK73" s="10">
        <f t="shared" si="224"/>
        <v>0</v>
      </c>
      <c r="HL73" s="10">
        <f t="shared" si="225"/>
        <v>0</v>
      </c>
      <c r="HM73" s="10">
        <f t="shared" si="226"/>
        <v>0</v>
      </c>
      <c r="HN73" s="10">
        <f t="shared" si="227"/>
        <v>0</v>
      </c>
      <c r="HO73" s="10">
        <f t="shared" si="228"/>
        <v>0</v>
      </c>
      <c r="HP73" s="10">
        <f t="shared" si="229"/>
        <v>0</v>
      </c>
      <c r="HQ73" s="10">
        <f t="shared" si="230"/>
        <v>0</v>
      </c>
      <c r="HR73" s="10">
        <f t="shared" si="231"/>
        <v>0</v>
      </c>
      <c r="HS73" s="10">
        <f t="shared" si="232"/>
        <v>0</v>
      </c>
      <c r="HT73" s="10">
        <f t="shared" si="233"/>
        <v>0</v>
      </c>
      <c r="HU73" s="10">
        <f t="shared" si="234"/>
        <v>17.431192660550458</v>
      </c>
      <c r="HV73" s="10">
        <f t="shared" si="235"/>
        <v>0</v>
      </c>
      <c r="HW73" s="10">
        <f t="shared" si="236"/>
        <v>0</v>
      </c>
      <c r="HX73" s="10">
        <f t="shared" si="237"/>
        <v>0</v>
      </c>
      <c r="HY73" s="10">
        <f t="shared" si="238"/>
        <v>0</v>
      </c>
      <c r="HZ73" s="10">
        <f t="shared" si="239"/>
        <v>0</v>
      </c>
      <c r="IA73" s="10">
        <f t="shared" si="240"/>
        <v>0</v>
      </c>
      <c r="IB73" s="10">
        <f t="shared" si="241"/>
        <v>0</v>
      </c>
      <c r="IC73" s="10">
        <f t="shared" si="242"/>
        <v>0</v>
      </c>
      <c r="ID73" s="10">
        <f t="shared" si="243"/>
        <v>0</v>
      </c>
      <c r="IE73" s="10">
        <f t="shared" si="244"/>
        <v>87.155963302752298</v>
      </c>
      <c r="IF73" s="10">
        <f t="shared" si="245"/>
        <v>0</v>
      </c>
      <c r="IG73" s="10">
        <f t="shared" si="246"/>
        <v>0</v>
      </c>
      <c r="IH73" s="10">
        <f t="shared" si="247"/>
        <v>0</v>
      </c>
      <c r="II73" s="10">
        <f t="shared" si="248"/>
        <v>0</v>
      </c>
      <c r="IJ73" s="10">
        <f t="shared" si="249"/>
        <v>0</v>
      </c>
      <c r="IK73" s="10">
        <f t="shared" si="250"/>
        <v>0</v>
      </c>
      <c r="IL73" s="10">
        <f t="shared" si="251"/>
        <v>0</v>
      </c>
      <c r="IM73" s="10">
        <f t="shared" si="252"/>
        <v>0</v>
      </c>
      <c r="IN73" s="10">
        <f t="shared" si="253"/>
        <v>17.431192660550458</v>
      </c>
      <c r="IO73" s="10">
        <f t="shared" si="254"/>
        <v>0</v>
      </c>
      <c r="IP73" s="10">
        <f t="shared" si="255"/>
        <v>0</v>
      </c>
      <c r="IQ73" s="10">
        <f t="shared" si="256"/>
        <v>0</v>
      </c>
      <c r="IR73" s="10">
        <f t="shared" si="257"/>
        <v>0</v>
      </c>
      <c r="IS73" s="10">
        <f t="shared" si="258"/>
        <v>0</v>
      </c>
      <c r="IT73" s="10">
        <f t="shared" si="259"/>
        <v>0</v>
      </c>
      <c r="IU73" s="10">
        <f t="shared" si="260"/>
        <v>0</v>
      </c>
      <c r="IV73" s="10">
        <f t="shared" si="261"/>
        <v>0</v>
      </c>
      <c r="IW73" s="10">
        <f t="shared" si="262"/>
        <v>0</v>
      </c>
      <c r="IX73" s="10">
        <f t="shared" si="263"/>
        <v>0</v>
      </c>
      <c r="IY73" s="10">
        <f t="shared" si="264"/>
        <v>0</v>
      </c>
      <c r="IZ73" s="10">
        <f t="shared" si="265"/>
        <v>0</v>
      </c>
      <c r="JA73" s="10">
        <f t="shared" si="266"/>
        <v>0</v>
      </c>
      <c r="JB73" s="10">
        <f t="shared" si="267"/>
        <v>0</v>
      </c>
      <c r="JC73" s="10">
        <f t="shared" si="268"/>
        <v>0</v>
      </c>
      <c r="JD73" s="10">
        <f t="shared" si="269"/>
        <v>0</v>
      </c>
      <c r="JE73" s="10">
        <f t="shared" si="270"/>
        <v>0</v>
      </c>
      <c r="JF73" s="10">
        <f t="shared" si="271"/>
        <v>0</v>
      </c>
      <c r="JG73" s="10">
        <v>0</v>
      </c>
      <c r="JH73" s="10">
        <f t="shared" si="272"/>
        <v>0</v>
      </c>
      <c r="JI73" s="10">
        <f t="shared" si="273"/>
        <v>0</v>
      </c>
      <c r="JJ73" s="10">
        <f t="shared" si="274"/>
        <v>0</v>
      </c>
      <c r="JK73" s="10">
        <f t="shared" si="275"/>
        <v>0</v>
      </c>
      <c r="JL73" s="10">
        <f t="shared" si="276"/>
        <v>0</v>
      </c>
      <c r="JM73" s="10">
        <f t="shared" si="277"/>
        <v>0</v>
      </c>
      <c r="JN73" s="10">
        <f t="shared" si="278"/>
        <v>0</v>
      </c>
      <c r="JO73" s="10">
        <f t="shared" si="279"/>
        <v>0</v>
      </c>
      <c r="JP73" s="10">
        <f t="shared" si="280"/>
        <v>0</v>
      </c>
      <c r="JQ73" s="10">
        <f t="shared" si="281"/>
        <v>0</v>
      </c>
      <c r="JR73" s="10">
        <f t="shared" si="282"/>
        <v>0</v>
      </c>
      <c r="JS73" s="10">
        <f t="shared" si="283"/>
        <v>0</v>
      </c>
      <c r="JT73" s="10">
        <f t="shared" si="284"/>
        <v>0</v>
      </c>
      <c r="JU73" s="10">
        <f t="shared" si="285"/>
        <v>0</v>
      </c>
      <c r="JV73" s="10">
        <f t="shared" si="286"/>
        <v>0</v>
      </c>
      <c r="JW73" s="10">
        <f t="shared" si="287"/>
        <v>0</v>
      </c>
      <c r="JX73" s="10">
        <f t="shared" si="288"/>
        <v>0</v>
      </c>
      <c r="JY73" s="10">
        <f t="shared" si="289"/>
        <v>0</v>
      </c>
      <c r="JZ73" s="10">
        <f t="shared" si="290"/>
        <v>0</v>
      </c>
      <c r="KA73" s="10">
        <f t="shared" si="291"/>
        <v>0</v>
      </c>
      <c r="KB73" s="10">
        <f t="shared" si="292"/>
        <v>0</v>
      </c>
      <c r="KC73" s="10">
        <f t="shared" si="293"/>
        <v>0</v>
      </c>
      <c r="KD73" s="10">
        <f t="shared" si="294"/>
        <v>17.431192660550458</v>
      </c>
      <c r="KE73" s="10">
        <f t="shared" si="295"/>
        <v>0</v>
      </c>
      <c r="KF73" s="10">
        <f t="shared" si="296"/>
        <v>69.724770642201833</v>
      </c>
      <c r="KG73" s="10">
        <f t="shared" si="297"/>
        <v>0</v>
      </c>
      <c r="KH73" s="10">
        <f t="shared" si="298"/>
        <v>0</v>
      </c>
      <c r="KI73" s="10">
        <f t="shared" si="299"/>
        <v>0</v>
      </c>
      <c r="KJ73" s="10">
        <f t="shared" si="300"/>
        <v>0</v>
      </c>
      <c r="KK73" s="10">
        <f t="shared" si="301"/>
        <v>0</v>
      </c>
      <c r="KL73" s="10">
        <f t="shared" si="302"/>
        <v>17.431192660550458</v>
      </c>
      <c r="KM73" s="10">
        <f t="shared" si="303"/>
        <v>0</v>
      </c>
      <c r="KN73" s="10">
        <f t="shared" si="304"/>
        <v>0</v>
      </c>
      <c r="KO73" s="10">
        <f t="shared" si="305"/>
        <v>0</v>
      </c>
      <c r="KP73" s="10">
        <f t="shared" si="306"/>
        <v>0</v>
      </c>
      <c r="KQ73" s="11">
        <v>1900.0000000000005</v>
      </c>
      <c r="KR73" s="16"/>
      <c r="KS73" s="12">
        <v>6222.6782326714474</v>
      </c>
      <c r="KT73" s="26">
        <v>72</v>
      </c>
      <c r="KU73" s="26">
        <v>0.19444444444444445</v>
      </c>
      <c r="KV73" s="26">
        <v>1</v>
      </c>
      <c r="KW73" s="26">
        <v>-14.28</v>
      </c>
      <c r="KX73" s="26">
        <v>13</v>
      </c>
      <c r="KY73" s="27">
        <v>2.8399829623788269</v>
      </c>
      <c r="KZ73" s="27">
        <v>3.312919342458565</v>
      </c>
      <c r="LA73" s="17"/>
      <c r="LB73" s="2">
        <v>961</v>
      </c>
      <c r="LC73" s="1">
        <v>1</v>
      </c>
      <c r="LD73" s="1">
        <v>0</v>
      </c>
      <c r="LE73" s="1">
        <v>0</v>
      </c>
      <c r="LF73" s="1">
        <v>0</v>
      </c>
      <c r="LG73" s="1">
        <v>53</v>
      </c>
      <c r="LH73" s="1">
        <v>0</v>
      </c>
      <c r="LI73" s="1">
        <v>790</v>
      </c>
      <c r="LJ73" s="1">
        <v>0</v>
      </c>
      <c r="LK73" s="1">
        <v>0</v>
      </c>
      <c r="LL73" s="1">
        <v>23</v>
      </c>
      <c r="LM73" s="1">
        <v>49</v>
      </c>
      <c r="LN73" s="1">
        <v>0</v>
      </c>
      <c r="LO73" s="1">
        <v>0</v>
      </c>
      <c r="LP73" s="1">
        <v>23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1</v>
      </c>
      <c r="LZ73" s="1">
        <v>8</v>
      </c>
      <c r="MA73" s="1">
        <v>11</v>
      </c>
      <c r="MB73" s="1">
        <v>0</v>
      </c>
      <c r="MC73" s="1">
        <v>0</v>
      </c>
      <c r="MD73" s="1">
        <v>2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28"/>
      <c r="ML73" t="s">
        <v>889</v>
      </c>
      <c r="MM73" t="s">
        <v>437</v>
      </c>
      <c r="MN73" t="s">
        <v>320</v>
      </c>
      <c r="MO73" t="s">
        <v>337</v>
      </c>
      <c r="MP73" t="s">
        <v>338</v>
      </c>
      <c r="MQ73" t="s">
        <v>339</v>
      </c>
      <c r="MR73">
        <v>0.05</v>
      </c>
      <c r="MS73" t="s">
        <v>430</v>
      </c>
      <c r="MT73" t="s">
        <v>431</v>
      </c>
      <c r="MU73" t="s">
        <v>432</v>
      </c>
      <c r="MV73">
        <v>11900</v>
      </c>
      <c r="MW73" s="13">
        <v>380</v>
      </c>
      <c r="MX73" s="13" t="s">
        <v>433</v>
      </c>
      <c r="MY73" t="s">
        <v>240</v>
      </c>
      <c r="MZ73" t="s">
        <v>241</v>
      </c>
      <c r="NA73" t="s">
        <v>242</v>
      </c>
      <c r="NB73" t="s">
        <v>306</v>
      </c>
      <c r="ND73" s="18">
        <v>43270</v>
      </c>
      <c r="NE73" s="19">
        <v>9.0277777777777776E-2</v>
      </c>
      <c r="NF73" t="s">
        <v>244</v>
      </c>
      <c r="NG73" t="s">
        <v>245</v>
      </c>
      <c r="NH73" t="s">
        <v>246</v>
      </c>
      <c r="NI73">
        <v>112</v>
      </c>
      <c r="NJ73" t="s">
        <v>244</v>
      </c>
      <c r="NK73">
        <v>3</v>
      </c>
      <c r="NL73" t="s">
        <v>247</v>
      </c>
      <c r="NM73">
        <v>29.63937</v>
      </c>
      <c r="NN73">
        <v>-84.908140000000003</v>
      </c>
      <c r="NO73" t="s">
        <v>248</v>
      </c>
      <c r="NP73" t="s">
        <v>434</v>
      </c>
      <c r="NQ73" t="s">
        <v>244</v>
      </c>
      <c r="NR73" t="s">
        <v>247</v>
      </c>
      <c r="NS73">
        <v>982000410610379</v>
      </c>
      <c r="NT73" t="s">
        <v>244</v>
      </c>
      <c r="NU73" t="s">
        <v>244</v>
      </c>
      <c r="NV73" t="s">
        <v>248</v>
      </c>
      <c r="NW73" t="s">
        <v>431</v>
      </c>
      <c r="NX73" t="s">
        <v>432</v>
      </c>
      <c r="NY73">
        <v>97</v>
      </c>
      <c r="NZ73">
        <v>88</v>
      </c>
      <c r="OA73" s="13">
        <v>81.680000000000007</v>
      </c>
      <c r="OB73" s="14">
        <v>6222.6782326714474</v>
      </c>
      <c r="OC73" t="s">
        <v>247</v>
      </c>
      <c r="OD73" t="s">
        <v>248</v>
      </c>
      <c r="OE73" t="s">
        <v>435</v>
      </c>
      <c r="OF73" t="s">
        <v>247</v>
      </c>
      <c r="OG73" t="s">
        <v>247</v>
      </c>
      <c r="OH73">
        <v>67</v>
      </c>
      <c r="OI73" t="s">
        <v>431</v>
      </c>
      <c r="OJ73" t="s">
        <v>436</v>
      </c>
      <c r="OK73">
        <v>72</v>
      </c>
      <c r="OL73">
        <v>0.19444444444444445</v>
      </c>
      <c r="OM73">
        <v>1</v>
      </c>
      <c r="ON73">
        <v>-14.28</v>
      </c>
      <c r="OO73">
        <v>13</v>
      </c>
      <c r="OP73" s="25">
        <v>2.8399829623788269</v>
      </c>
      <c r="OQ73" s="25">
        <v>3.312919342458565</v>
      </c>
      <c r="OR73" t="s">
        <v>909</v>
      </c>
      <c r="OS73" t="s">
        <v>909</v>
      </c>
    </row>
    <row r="74" spans="1:409" x14ac:dyDescent="0.25">
      <c r="A74">
        <v>73</v>
      </c>
      <c r="B74" s="1">
        <v>123</v>
      </c>
      <c r="C74" s="1">
        <v>18</v>
      </c>
      <c r="D74" s="1">
        <v>4</v>
      </c>
      <c r="E74" s="1">
        <v>0</v>
      </c>
      <c r="F74" s="1">
        <v>7</v>
      </c>
      <c r="G74" s="1">
        <v>0</v>
      </c>
      <c r="H74" s="1">
        <v>0</v>
      </c>
      <c r="I74" s="1">
        <v>0</v>
      </c>
      <c r="J74" s="1">
        <v>64</v>
      </c>
      <c r="K74" s="1">
        <v>3</v>
      </c>
      <c r="L74" s="1">
        <v>1</v>
      </c>
      <c r="M74" s="1">
        <v>0</v>
      </c>
      <c r="N74" s="1">
        <v>2</v>
      </c>
      <c r="O74" s="1">
        <v>0</v>
      </c>
      <c r="P74" s="1">
        <v>0</v>
      </c>
      <c r="Q74" s="1">
        <v>12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2">
        <v>234</v>
      </c>
      <c r="Y74" s="3"/>
      <c r="Z74" s="15">
        <f t="shared" si="307"/>
        <v>19.728957420310532</v>
      </c>
      <c r="AA74" s="15">
        <f t="shared" si="308"/>
        <v>2.8871645005332489</v>
      </c>
      <c r="AB74" s="15">
        <f t="shared" si="309"/>
        <v>0.6415921112296108</v>
      </c>
      <c r="AC74" s="15">
        <f t="shared" si="310"/>
        <v>0</v>
      </c>
      <c r="AD74" s="15">
        <f t="shared" si="311"/>
        <v>1.1227861946518189</v>
      </c>
      <c r="AE74" s="15">
        <f t="shared" si="312"/>
        <v>0</v>
      </c>
      <c r="AF74" s="15">
        <f t="shared" si="313"/>
        <v>0</v>
      </c>
      <c r="AG74" s="15">
        <f t="shared" si="314"/>
        <v>0</v>
      </c>
      <c r="AH74" s="15">
        <f t="shared" si="315"/>
        <v>10.265473779673773</v>
      </c>
      <c r="AI74" s="15">
        <f t="shared" si="316"/>
        <v>0.48119408342220815</v>
      </c>
      <c r="AJ74" s="15">
        <f t="shared" si="317"/>
        <v>0.1603980278074027</v>
      </c>
      <c r="AK74" s="15">
        <f t="shared" si="318"/>
        <v>0</v>
      </c>
      <c r="AL74" s="15">
        <f t="shared" si="319"/>
        <v>0.3207960556148054</v>
      </c>
      <c r="AM74" s="15">
        <f t="shared" si="320"/>
        <v>0</v>
      </c>
      <c r="AN74" s="15">
        <f t="shared" si="321"/>
        <v>0</v>
      </c>
      <c r="AO74" s="15">
        <f t="shared" si="322"/>
        <v>1.9247763336888326</v>
      </c>
      <c r="AP74" s="15">
        <f t="shared" si="323"/>
        <v>0</v>
      </c>
      <c r="AQ74" s="15">
        <f t="shared" si="324"/>
        <v>0</v>
      </c>
      <c r="AR74" s="15">
        <f t="shared" si="325"/>
        <v>0</v>
      </c>
      <c r="AS74" s="15">
        <f t="shared" si="326"/>
        <v>0</v>
      </c>
      <c r="AT74" s="15">
        <f t="shared" si="327"/>
        <v>0</v>
      </c>
      <c r="AU74" s="15">
        <f t="shared" si="328"/>
        <v>0</v>
      </c>
      <c r="AV74" s="5">
        <f t="shared" si="329"/>
        <v>37.533138506932232</v>
      </c>
      <c r="AW74" s="16"/>
      <c r="AX74" s="6">
        <v>12300</v>
      </c>
      <c r="AY74" s="6">
        <v>1800</v>
      </c>
      <c r="AZ74" s="6">
        <v>400</v>
      </c>
      <c r="BA74" s="6">
        <v>0</v>
      </c>
      <c r="BB74" s="6">
        <v>700</v>
      </c>
      <c r="BC74" s="6">
        <v>0</v>
      </c>
      <c r="BD74" s="6">
        <v>0</v>
      </c>
      <c r="BE74" s="6">
        <v>0</v>
      </c>
      <c r="BF74" s="6">
        <v>6400</v>
      </c>
      <c r="BG74" s="6">
        <v>300</v>
      </c>
      <c r="BH74" s="6">
        <v>100</v>
      </c>
      <c r="BI74" s="6">
        <v>0</v>
      </c>
      <c r="BJ74" s="6">
        <v>200</v>
      </c>
      <c r="BK74" s="6">
        <v>0</v>
      </c>
      <c r="BL74" s="6">
        <v>0</v>
      </c>
      <c r="BM74" s="6">
        <v>1200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7">
        <v>23400</v>
      </c>
      <c r="BU74" s="16"/>
      <c r="BV74" s="8">
        <v>0</v>
      </c>
      <c r="BW74" s="8">
        <v>6</v>
      </c>
      <c r="BX74" s="8">
        <v>0</v>
      </c>
      <c r="BY74" s="8">
        <v>0</v>
      </c>
      <c r="BZ74" s="8">
        <v>1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1</v>
      </c>
      <c r="CG74" s="8">
        <v>0</v>
      </c>
      <c r="CH74" s="8">
        <v>0</v>
      </c>
      <c r="CI74" s="8">
        <v>0</v>
      </c>
      <c r="CJ74" s="8">
        <v>1</v>
      </c>
      <c r="CK74" s="8">
        <v>0</v>
      </c>
      <c r="CL74" s="8">
        <v>0</v>
      </c>
      <c r="CM74" s="8">
        <v>0</v>
      </c>
      <c r="CN74" s="8">
        <v>45</v>
      </c>
      <c r="CO74" s="8">
        <v>0</v>
      </c>
      <c r="CP74" s="8">
        <v>0</v>
      </c>
      <c r="CQ74" s="8">
        <v>0</v>
      </c>
      <c r="CR74" s="8">
        <v>4</v>
      </c>
      <c r="CS74" s="8">
        <v>0</v>
      </c>
      <c r="CT74" s="8">
        <v>0</v>
      </c>
      <c r="CU74" s="8">
        <v>2</v>
      </c>
      <c r="CV74" s="8">
        <v>0</v>
      </c>
      <c r="CW74" s="8">
        <v>0</v>
      </c>
      <c r="CX74" s="8">
        <v>0</v>
      </c>
      <c r="CY74" s="8">
        <v>2</v>
      </c>
      <c r="CZ74" s="8">
        <v>0</v>
      </c>
      <c r="DA74" s="8">
        <v>0</v>
      </c>
      <c r="DB74" s="8">
        <v>0</v>
      </c>
      <c r="DC74" s="8">
        <v>2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4</v>
      </c>
      <c r="DK74" s="8">
        <v>0</v>
      </c>
      <c r="DL74" s="8">
        <v>0</v>
      </c>
      <c r="DM74" s="8">
        <v>0</v>
      </c>
      <c r="DN74" s="8">
        <v>1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2</v>
      </c>
      <c r="EC74" s="8">
        <v>1</v>
      </c>
      <c r="ED74" s="8">
        <v>1</v>
      </c>
      <c r="EE74" s="8">
        <v>0</v>
      </c>
      <c r="EF74" s="8">
        <v>1</v>
      </c>
      <c r="EG74" s="8">
        <v>0</v>
      </c>
      <c r="EH74" s="8">
        <v>0</v>
      </c>
      <c r="EI74" s="8">
        <v>0</v>
      </c>
      <c r="EJ74" s="8">
        <v>0</v>
      </c>
      <c r="EK74" s="8">
        <v>11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1</v>
      </c>
      <c r="ES74" s="8">
        <v>0</v>
      </c>
      <c r="ET74" s="8">
        <v>0</v>
      </c>
      <c r="EU74" s="8">
        <v>1</v>
      </c>
      <c r="EV74" s="8">
        <v>0</v>
      </c>
      <c r="EW74" s="8">
        <v>0</v>
      </c>
      <c r="EX74" s="8">
        <v>0</v>
      </c>
      <c r="EY74" s="8">
        <v>0</v>
      </c>
      <c r="EZ74" s="8">
        <v>0</v>
      </c>
      <c r="FA74" s="8">
        <v>0</v>
      </c>
      <c r="FB74" s="8">
        <v>0</v>
      </c>
      <c r="FC74" s="8">
        <v>0</v>
      </c>
      <c r="FD74" s="8">
        <v>0</v>
      </c>
      <c r="FE74" s="8">
        <v>0</v>
      </c>
      <c r="FF74" s="8">
        <v>0</v>
      </c>
      <c r="FG74" s="8">
        <v>5</v>
      </c>
      <c r="FH74" s="8">
        <v>0</v>
      </c>
      <c r="FI74" s="8">
        <v>0</v>
      </c>
      <c r="FJ74" s="8">
        <v>0</v>
      </c>
      <c r="FK74" s="8">
        <v>0</v>
      </c>
      <c r="FL74" s="8">
        <v>0</v>
      </c>
      <c r="FM74" s="8">
        <v>9</v>
      </c>
      <c r="FN74" s="8">
        <v>0</v>
      </c>
      <c r="FO74" s="8">
        <v>0</v>
      </c>
      <c r="FP74" s="8">
        <v>0</v>
      </c>
      <c r="FQ74" s="8">
        <v>0</v>
      </c>
      <c r="FR74" s="8">
        <v>5</v>
      </c>
      <c r="FS74" s="8">
        <v>3</v>
      </c>
      <c r="FT74" s="8">
        <v>0</v>
      </c>
      <c r="FU74" s="8">
        <v>0</v>
      </c>
      <c r="FV74" s="8">
        <v>0</v>
      </c>
      <c r="FW74" s="8">
        <v>0</v>
      </c>
      <c r="FX74" s="8">
        <v>0</v>
      </c>
      <c r="FY74" s="8">
        <v>0</v>
      </c>
      <c r="FZ74" s="8">
        <v>0</v>
      </c>
      <c r="GA74" s="8">
        <v>0</v>
      </c>
      <c r="GB74" s="8">
        <v>0</v>
      </c>
      <c r="GC74" s="8">
        <v>1</v>
      </c>
      <c r="GD74" s="8">
        <v>0</v>
      </c>
      <c r="GE74" s="8">
        <v>0</v>
      </c>
      <c r="GF74" s="9">
        <v>110</v>
      </c>
      <c r="GG74" s="3"/>
      <c r="GH74" s="10">
        <f t="shared" si="195"/>
        <v>0</v>
      </c>
      <c r="GI74" s="10">
        <f t="shared" si="196"/>
        <v>670.90909090909088</v>
      </c>
      <c r="GJ74" s="10">
        <f t="shared" si="197"/>
        <v>0</v>
      </c>
      <c r="GK74" s="10">
        <f t="shared" si="198"/>
        <v>0</v>
      </c>
      <c r="GL74" s="10">
        <f t="shared" si="199"/>
        <v>111.81818181818181</v>
      </c>
      <c r="GM74" s="10">
        <f t="shared" si="200"/>
        <v>0</v>
      </c>
      <c r="GN74" s="10">
        <f t="shared" si="201"/>
        <v>0</v>
      </c>
      <c r="GO74" s="10">
        <f t="shared" si="202"/>
        <v>0</v>
      </c>
      <c r="GP74" s="10">
        <f t="shared" si="203"/>
        <v>0</v>
      </c>
      <c r="GQ74" s="10">
        <f t="shared" si="204"/>
        <v>0</v>
      </c>
      <c r="GR74" s="10">
        <f t="shared" si="205"/>
        <v>111.81818181818181</v>
      </c>
      <c r="GS74" s="10">
        <f t="shared" si="206"/>
        <v>0</v>
      </c>
      <c r="GT74" s="10">
        <f t="shared" si="207"/>
        <v>0</v>
      </c>
      <c r="GU74" s="10">
        <f t="shared" si="208"/>
        <v>0</v>
      </c>
      <c r="GV74" s="10">
        <f t="shared" si="209"/>
        <v>111.81818181818181</v>
      </c>
      <c r="GW74" s="10">
        <f t="shared" si="210"/>
        <v>0</v>
      </c>
      <c r="GX74" s="10">
        <f t="shared" si="211"/>
        <v>0</v>
      </c>
      <c r="GY74" s="10">
        <f t="shared" si="212"/>
        <v>0</v>
      </c>
      <c r="GZ74" s="10">
        <f t="shared" si="213"/>
        <v>5031.818181818182</v>
      </c>
      <c r="HA74" s="10">
        <f t="shared" si="214"/>
        <v>0</v>
      </c>
      <c r="HB74" s="10">
        <f t="shared" si="215"/>
        <v>0</v>
      </c>
      <c r="HC74" s="10">
        <f t="shared" si="216"/>
        <v>0</v>
      </c>
      <c r="HD74" s="10">
        <f t="shared" si="217"/>
        <v>447.27272727272725</v>
      </c>
      <c r="HE74" s="10">
        <f t="shared" si="218"/>
        <v>0</v>
      </c>
      <c r="HF74" s="10">
        <f t="shared" si="219"/>
        <v>0</v>
      </c>
      <c r="HG74" s="10">
        <f t="shared" si="220"/>
        <v>223.63636363636363</v>
      </c>
      <c r="HH74" s="10">
        <f t="shared" si="221"/>
        <v>0</v>
      </c>
      <c r="HI74" s="10">
        <f t="shared" si="222"/>
        <v>0</v>
      </c>
      <c r="HJ74" s="10">
        <f t="shared" si="223"/>
        <v>0</v>
      </c>
      <c r="HK74" s="10">
        <f t="shared" si="224"/>
        <v>223.63636363636363</v>
      </c>
      <c r="HL74" s="10">
        <f t="shared" si="225"/>
        <v>0</v>
      </c>
      <c r="HM74" s="10">
        <f t="shared" si="226"/>
        <v>0</v>
      </c>
      <c r="HN74" s="10">
        <f t="shared" si="227"/>
        <v>0</v>
      </c>
      <c r="HO74" s="10">
        <f t="shared" si="228"/>
        <v>223.63636363636363</v>
      </c>
      <c r="HP74" s="10">
        <f t="shared" si="229"/>
        <v>0</v>
      </c>
      <c r="HQ74" s="10">
        <f t="shared" si="230"/>
        <v>0</v>
      </c>
      <c r="HR74" s="10">
        <f t="shared" si="231"/>
        <v>0</v>
      </c>
      <c r="HS74" s="10">
        <f t="shared" si="232"/>
        <v>0</v>
      </c>
      <c r="HT74" s="10">
        <f t="shared" si="233"/>
        <v>0</v>
      </c>
      <c r="HU74" s="10">
        <f t="shared" si="234"/>
        <v>0</v>
      </c>
      <c r="HV74" s="10">
        <f t="shared" si="235"/>
        <v>447.27272727272725</v>
      </c>
      <c r="HW74" s="10">
        <f t="shared" si="236"/>
        <v>0</v>
      </c>
      <c r="HX74" s="10">
        <f t="shared" si="237"/>
        <v>0</v>
      </c>
      <c r="HY74" s="10">
        <f t="shared" si="238"/>
        <v>0</v>
      </c>
      <c r="HZ74" s="10">
        <f t="shared" si="239"/>
        <v>111.81818181818181</v>
      </c>
      <c r="IA74" s="10">
        <f t="shared" si="240"/>
        <v>0</v>
      </c>
      <c r="IB74" s="10">
        <f t="shared" si="241"/>
        <v>0</v>
      </c>
      <c r="IC74" s="10">
        <f t="shared" si="242"/>
        <v>0</v>
      </c>
      <c r="ID74" s="10">
        <f t="shared" si="243"/>
        <v>0</v>
      </c>
      <c r="IE74" s="10">
        <f t="shared" si="244"/>
        <v>0</v>
      </c>
      <c r="IF74" s="10">
        <f t="shared" si="245"/>
        <v>0</v>
      </c>
      <c r="IG74" s="10">
        <f t="shared" si="246"/>
        <v>0</v>
      </c>
      <c r="IH74" s="10">
        <f t="shared" si="247"/>
        <v>0</v>
      </c>
      <c r="II74" s="10">
        <f t="shared" si="248"/>
        <v>0</v>
      </c>
      <c r="IJ74" s="10">
        <f t="shared" si="249"/>
        <v>0</v>
      </c>
      <c r="IK74" s="10">
        <f t="shared" si="250"/>
        <v>0</v>
      </c>
      <c r="IL74" s="10">
        <f t="shared" si="251"/>
        <v>0</v>
      </c>
      <c r="IM74" s="10">
        <f t="shared" si="252"/>
        <v>0</v>
      </c>
      <c r="IN74" s="10">
        <f t="shared" si="253"/>
        <v>223.63636363636363</v>
      </c>
      <c r="IO74" s="10">
        <f t="shared" si="254"/>
        <v>111.81818181818181</v>
      </c>
      <c r="IP74" s="10">
        <f t="shared" si="255"/>
        <v>111.81818181818181</v>
      </c>
      <c r="IQ74" s="10">
        <f t="shared" si="256"/>
        <v>0</v>
      </c>
      <c r="IR74" s="10">
        <f t="shared" si="257"/>
        <v>111.81818181818181</v>
      </c>
      <c r="IS74" s="10">
        <f t="shared" si="258"/>
        <v>0</v>
      </c>
      <c r="IT74" s="10">
        <f t="shared" si="259"/>
        <v>0</v>
      </c>
      <c r="IU74" s="10">
        <f t="shared" si="260"/>
        <v>0</v>
      </c>
      <c r="IV74" s="10">
        <f t="shared" si="261"/>
        <v>0</v>
      </c>
      <c r="IW74" s="10">
        <f t="shared" si="262"/>
        <v>1230</v>
      </c>
      <c r="IX74" s="10">
        <f t="shared" si="263"/>
        <v>0</v>
      </c>
      <c r="IY74" s="10">
        <f t="shared" si="264"/>
        <v>0</v>
      </c>
      <c r="IZ74" s="10">
        <f t="shared" si="265"/>
        <v>0</v>
      </c>
      <c r="JA74" s="10">
        <f t="shared" si="266"/>
        <v>0</v>
      </c>
      <c r="JB74" s="10">
        <f t="shared" si="267"/>
        <v>0</v>
      </c>
      <c r="JC74" s="10">
        <f t="shared" si="268"/>
        <v>0</v>
      </c>
      <c r="JD74" s="10">
        <f t="shared" si="269"/>
        <v>111.81818181818181</v>
      </c>
      <c r="JE74" s="10">
        <f t="shared" si="270"/>
        <v>0</v>
      </c>
      <c r="JF74" s="10">
        <f t="shared" si="271"/>
        <v>0</v>
      </c>
      <c r="JG74" s="10">
        <v>111.81818181818181</v>
      </c>
      <c r="JH74" s="10">
        <f t="shared" si="272"/>
        <v>0</v>
      </c>
      <c r="JI74" s="10">
        <f t="shared" si="273"/>
        <v>0</v>
      </c>
      <c r="JJ74" s="10">
        <f t="shared" si="274"/>
        <v>0</v>
      </c>
      <c r="JK74" s="10">
        <f t="shared" si="275"/>
        <v>0</v>
      </c>
      <c r="JL74" s="10">
        <f t="shared" si="276"/>
        <v>0</v>
      </c>
      <c r="JM74" s="10">
        <f t="shared" si="277"/>
        <v>0</v>
      </c>
      <c r="JN74" s="10">
        <f t="shared" si="278"/>
        <v>0</v>
      </c>
      <c r="JO74" s="10">
        <f t="shared" si="279"/>
        <v>0</v>
      </c>
      <c r="JP74" s="10">
        <f t="shared" si="280"/>
        <v>0</v>
      </c>
      <c r="JQ74" s="10">
        <f t="shared" si="281"/>
        <v>0</v>
      </c>
      <c r="JR74" s="10">
        <f t="shared" si="282"/>
        <v>559.09090909090912</v>
      </c>
      <c r="JS74" s="10">
        <f t="shared" si="283"/>
        <v>0</v>
      </c>
      <c r="JT74" s="10">
        <f t="shared" si="284"/>
        <v>0</v>
      </c>
      <c r="JU74" s="10">
        <f t="shared" si="285"/>
        <v>0</v>
      </c>
      <c r="JV74" s="10">
        <f t="shared" si="286"/>
        <v>0</v>
      </c>
      <c r="JW74" s="10">
        <f t="shared" si="287"/>
        <v>0</v>
      </c>
      <c r="JX74" s="10">
        <f t="shared" si="288"/>
        <v>1006.3636363636364</v>
      </c>
      <c r="JY74" s="10">
        <f t="shared" si="289"/>
        <v>0</v>
      </c>
      <c r="JZ74" s="10">
        <f t="shared" si="290"/>
        <v>0</v>
      </c>
      <c r="KA74" s="10">
        <f t="shared" si="291"/>
        <v>0</v>
      </c>
      <c r="KB74" s="10">
        <f t="shared" si="292"/>
        <v>0</v>
      </c>
      <c r="KC74" s="10">
        <f t="shared" si="293"/>
        <v>559.09090909090912</v>
      </c>
      <c r="KD74" s="10">
        <f t="shared" si="294"/>
        <v>335.45454545454544</v>
      </c>
      <c r="KE74" s="10">
        <f t="shared" si="295"/>
        <v>0</v>
      </c>
      <c r="KF74" s="10">
        <f t="shared" si="296"/>
        <v>0</v>
      </c>
      <c r="KG74" s="10">
        <f t="shared" si="297"/>
        <v>0</v>
      </c>
      <c r="KH74" s="10">
        <f t="shared" si="298"/>
        <v>0</v>
      </c>
      <c r="KI74" s="10">
        <f t="shared" si="299"/>
        <v>0</v>
      </c>
      <c r="KJ74" s="10">
        <f t="shared" si="300"/>
        <v>0</v>
      </c>
      <c r="KK74" s="10">
        <f t="shared" si="301"/>
        <v>0</v>
      </c>
      <c r="KL74" s="10">
        <f t="shared" si="302"/>
        <v>0</v>
      </c>
      <c r="KM74" s="10">
        <f t="shared" si="303"/>
        <v>0</v>
      </c>
      <c r="KN74" s="10">
        <f t="shared" si="304"/>
        <v>111.81818181818181</v>
      </c>
      <c r="KO74" s="10">
        <f t="shared" si="305"/>
        <v>0</v>
      </c>
      <c r="KP74" s="10">
        <f t="shared" si="306"/>
        <v>0</v>
      </c>
      <c r="KQ74" s="11">
        <v>12300.000000000004</v>
      </c>
      <c r="KR74" s="16"/>
      <c r="KS74" s="12">
        <v>6234.4906210489444</v>
      </c>
      <c r="KT74" s="26">
        <v>87</v>
      </c>
      <c r="KU74" s="26">
        <v>0.9885057471264368</v>
      </c>
      <c r="KV74" s="26">
        <v>1</v>
      </c>
      <c r="KW74" s="26">
        <v>-13.43</v>
      </c>
      <c r="KX74" s="26">
        <v>10.36</v>
      </c>
      <c r="KY74" s="27">
        <v>2.9534247163619574</v>
      </c>
      <c r="KZ74" s="27">
        <v>3.4452523127586199</v>
      </c>
      <c r="LA74" s="17"/>
      <c r="LB74" s="2">
        <v>1135</v>
      </c>
      <c r="LC74" s="1">
        <v>1</v>
      </c>
      <c r="LD74" s="1">
        <v>0</v>
      </c>
      <c r="LE74" s="1">
        <v>0</v>
      </c>
      <c r="LF74" s="1">
        <v>0</v>
      </c>
      <c r="LG74" s="1">
        <v>71</v>
      </c>
      <c r="LH74" s="1">
        <v>0</v>
      </c>
      <c r="LI74" s="1">
        <v>919</v>
      </c>
      <c r="LJ74" s="1">
        <v>0</v>
      </c>
      <c r="LK74" s="1">
        <v>0</v>
      </c>
      <c r="LL74" s="1">
        <v>26</v>
      </c>
      <c r="LM74" s="1">
        <v>76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3</v>
      </c>
      <c r="LX74" s="1">
        <v>0</v>
      </c>
      <c r="LY74" s="1">
        <v>0</v>
      </c>
      <c r="LZ74" s="1">
        <v>6</v>
      </c>
      <c r="MA74" s="1">
        <v>8</v>
      </c>
      <c r="MB74" s="1">
        <v>0</v>
      </c>
      <c r="MC74" s="1">
        <v>0</v>
      </c>
      <c r="MD74" s="1">
        <v>25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28"/>
      <c r="ML74" t="s">
        <v>890</v>
      </c>
      <c r="MM74" t="s">
        <v>438</v>
      </c>
      <c r="MN74" t="s">
        <v>320</v>
      </c>
      <c r="MO74" t="s">
        <v>334</v>
      </c>
      <c r="MP74" t="s">
        <v>335</v>
      </c>
      <c r="MQ74" t="s">
        <v>336</v>
      </c>
      <c r="MR74">
        <v>0.01</v>
      </c>
      <c r="MS74" t="s">
        <v>439</v>
      </c>
      <c r="MT74" t="s">
        <v>440</v>
      </c>
      <c r="MU74" t="s">
        <v>441</v>
      </c>
      <c r="MV74">
        <v>23400</v>
      </c>
      <c r="MW74" s="13">
        <v>405</v>
      </c>
      <c r="MX74" s="13" t="s">
        <v>442</v>
      </c>
      <c r="MY74" t="s">
        <v>240</v>
      </c>
      <c r="MZ74" t="s">
        <v>241</v>
      </c>
      <c r="NA74" t="s">
        <v>242</v>
      </c>
      <c r="NB74" t="s">
        <v>297</v>
      </c>
      <c r="ND74" s="18">
        <v>43272</v>
      </c>
      <c r="NE74" s="19">
        <v>0.16111111111111112</v>
      </c>
      <c r="NF74" t="s">
        <v>443</v>
      </c>
      <c r="NG74" t="s">
        <v>136</v>
      </c>
      <c r="NH74" t="s">
        <v>246</v>
      </c>
      <c r="NI74">
        <v>86</v>
      </c>
      <c r="NJ74" t="s">
        <v>244</v>
      </c>
      <c r="NK74">
        <v>6</v>
      </c>
      <c r="NL74" t="s">
        <v>248</v>
      </c>
      <c r="NM74">
        <v>29.636479999999999</v>
      </c>
      <c r="NN74">
        <v>-84.914010000000005</v>
      </c>
      <c r="NO74" t="s">
        <v>248</v>
      </c>
      <c r="NP74" t="s">
        <v>330</v>
      </c>
      <c r="NQ74" t="s">
        <v>244</v>
      </c>
      <c r="NR74" t="s">
        <v>247</v>
      </c>
      <c r="NS74" t="s">
        <v>444</v>
      </c>
      <c r="NT74" t="s">
        <v>244</v>
      </c>
      <c r="NU74" t="s">
        <v>244</v>
      </c>
      <c r="NV74" t="s">
        <v>248</v>
      </c>
      <c r="NW74" t="s">
        <v>440</v>
      </c>
      <c r="NX74" t="s">
        <v>441</v>
      </c>
      <c r="NY74">
        <v>94.5</v>
      </c>
      <c r="NZ74">
        <v>94</v>
      </c>
      <c r="OA74">
        <v>84</v>
      </c>
      <c r="OB74" s="14">
        <v>6234.4906210489444</v>
      </c>
      <c r="OC74" t="s">
        <v>248</v>
      </c>
      <c r="OD74" t="s">
        <v>247</v>
      </c>
      <c r="OE74" t="s">
        <v>248</v>
      </c>
      <c r="OF74" t="s">
        <v>445</v>
      </c>
      <c r="OG74" t="s">
        <v>247</v>
      </c>
      <c r="OH74">
        <v>71</v>
      </c>
      <c r="OI74" t="s">
        <v>440</v>
      </c>
      <c r="OJ74" t="s">
        <v>446</v>
      </c>
      <c r="OK74">
        <v>87</v>
      </c>
      <c r="OL74">
        <v>0.9885057471264368</v>
      </c>
      <c r="OM74">
        <v>1</v>
      </c>
      <c r="ON74">
        <v>-13.43</v>
      </c>
      <c r="OO74">
        <v>10.36</v>
      </c>
      <c r="OP74" s="25">
        <v>2.9534247163619574</v>
      </c>
      <c r="OQ74" s="25">
        <v>3.4452523127586199</v>
      </c>
      <c r="OR74" t="s">
        <v>909</v>
      </c>
      <c r="OS74" t="s">
        <v>909</v>
      </c>
    </row>
    <row r="75" spans="1:409" x14ac:dyDescent="0.25">
      <c r="A75">
        <v>74</v>
      </c>
      <c r="B75" s="1">
        <v>153</v>
      </c>
      <c r="C75" s="1">
        <v>22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4</v>
      </c>
      <c r="K75" s="1">
        <v>1</v>
      </c>
      <c r="L75" s="1">
        <v>0</v>
      </c>
      <c r="M75" s="1">
        <v>0</v>
      </c>
      <c r="N75" s="1">
        <v>3</v>
      </c>
      <c r="O75" s="1">
        <v>0</v>
      </c>
      <c r="P75" s="1">
        <v>0</v>
      </c>
      <c r="Q75" s="1">
        <v>23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2">
        <v>206</v>
      </c>
      <c r="Y75" s="3"/>
      <c r="Z75" s="15">
        <f t="shared" si="307"/>
        <v>24.540898254532614</v>
      </c>
      <c r="AA75" s="15">
        <f t="shared" si="308"/>
        <v>3.5287566117628599</v>
      </c>
      <c r="AB75" s="15">
        <f t="shared" si="309"/>
        <v>0</v>
      </c>
      <c r="AC75" s="15">
        <f t="shared" si="310"/>
        <v>0</v>
      </c>
      <c r="AD75" s="15">
        <f t="shared" si="311"/>
        <v>0</v>
      </c>
      <c r="AE75" s="15">
        <f t="shared" si="312"/>
        <v>0</v>
      </c>
      <c r="AF75" s="15">
        <f t="shared" si="313"/>
        <v>0</v>
      </c>
      <c r="AG75" s="15">
        <f t="shared" si="314"/>
        <v>0</v>
      </c>
      <c r="AH75" s="15">
        <f t="shared" si="315"/>
        <v>0.6415921112296108</v>
      </c>
      <c r="AI75" s="15">
        <f t="shared" si="316"/>
        <v>0.1603980278074027</v>
      </c>
      <c r="AJ75" s="15">
        <f t="shared" si="317"/>
        <v>0</v>
      </c>
      <c r="AK75" s="15">
        <f t="shared" si="318"/>
        <v>0</v>
      </c>
      <c r="AL75" s="15">
        <f t="shared" si="319"/>
        <v>0.48119408342220815</v>
      </c>
      <c r="AM75" s="15">
        <f t="shared" si="320"/>
        <v>0</v>
      </c>
      <c r="AN75" s="15">
        <f t="shared" si="321"/>
        <v>0</v>
      </c>
      <c r="AO75" s="15">
        <f t="shared" si="322"/>
        <v>3.6891546395702624</v>
      </c>
      <c r="AP75" s="15">
        <f t="shared" si="323"/>
        <v>0</v>
      </c>
      <c r="AQ75" s="15">
        <f t="shared" si="324"/>
        <v>0</v>
      </c>
      <c r="AR75" s="15">
        <f t="shared" si="325"/>
        <v>0</v>
      </c>
      <c r="AS75" s="15">
        <f t="shared" si="326"/>
        <v>0</v>
      </c>
      <c r="AT75" s="15">
        <f t="shared" si="327"/>
        <v>0</v>
      </c>
      <c r="AU75" s="15">
        <f t="shared" si="328"/>
        <v>0</v>
      </c>
      <c r="AV75" s="5">
        <f t="shared" si="329"/>
        <v>33.041993728324961</v>
      </c>
      <c r="AW75" s="16"/>
      <c r="AX75" s="6">
        <v>15300</v>
      </c>
      <c r="AY75" s="6">
        <v>2200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400</v>
      </c>
      <c r="BG75" s="6">
        <v>100</v>
      </c>
      <c r="BH75" s="6">
        <v>0</v>
      </c>
      <c r="BI75" s="6">
        <v>0</v>
      </c>
      <c r="BJ75" s="6">
        <v>300</v>
      </c>
      <c r="BK75" s="6">
        <v>0</v>
      </c>
      <c r="BL75" s="6">
        <v>0</v>
      </c>
      <c r="BM75" s="6">
        <v>2300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7">
        <v>20600</v>
      </c>
      <c r="BU75" s="16"/>
      <c r="BV75" s="8">
        <v>0</v>
      </c>
      <c r="BW75" s="8">
        <v>2</v>
      </c>
      <c r="BX75" s="8">
        <v>0</v>
      </c>
      <c r="BY75" s="8">
        <v>0</v>
      </c>
      <c r="BZ75" s="8">
        <v>0</v>
      </c>
      <c r="CA75" s="8">
        <v>0</v>
      </c>
      <c r="CB75" s="8">
        <v>2</v>
      </c>
      <c r="CC75" s="8">
        <v>0</v>
      </c>
      <c r="CD75" s="8">
        <v>0</v>
      </c>
      <c r="CE75" s="8">
        <v>0</v>
      </c>
      <c r="CF75" s="8">
        <v>1</v>
      </c>
      <c r="CG75" s="8">
        <v>0</v>
      </c>
      <c r="CH75" s="8">
        <v>0</v>
      </c>
      <c r="CI75" s="8">
        <v>0</v>
      </c>
      <c r="CJ75" s="8">
        <v>2</v>
      </c>
      <c r="CK75" s="8">
        <v>0</v>
      </c>
      <c r="CL75" s="8">
        <v>0</v>
      </c>
      <c r="CM75" s="8">
        <v>0</v>
      </c>
      <c r="CN75" s="8">
        <v>9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1</v>
      </c>
      <c r="CW75" s="8">
        <v>0</v>
      </c>
      <c r="CX75" s="8">
        <v>0</v>
      </c>
      <c r="CY75" s="8">
        <v>3</v>
      </c>
      <c r="CZ75" s="8">
        <v>0</v>
      </c>
      <c r="DA75" s="8">
        <v>0</v>
      </c>
      <c r="DB75" s="8">
        <v>0</v>
      </c>
      <c r="DC75" s="8">
        <v>5</v>
      </c>
      <c r="DD75" s="8">
        <v>0</v>
      </c>
      <c r="DE75" s="8">
        <v>0</v>
      </c>
      <c r="DF75" s="8">
        <v>1</v>
      </c>
      <c r="DG75" s="8">
        <v>0</v>
      </c>
      <c r="DH75" s="8">
        <v>1</v>
      </c>
      <c r="DI75" s="8">
        <v>0</v>
      </c>
      <c r="DJ75" s="8">
        <v>11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2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2</v>
      </c>
      <c r="EB75" s="8">
        <v>0</v>
      </c>
      <c r="EC75" s="8">
        <v>0</v>
      </c>
      <c r="ED75" s="8">
        <v>1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23</v>
      </c>
      <c r="EL75" s="8">
        <v>0</v>
      </c>
      <c r="EM75" s="8">
        <v>0</v>
      </c>
      <c r="EN75" s="8">
        <v>2</v>
      </c>
      <c r="EO75" s="8">
        <v>0</v>
      </c>
      <c r="EP75" s="8">
        <v>0</v>
      </c>
      <c r="EQ75" s="8">
        <v>0</v>
      </c>
      <c r="ER75" s="8">
        <v>2</v>
      </c>
      <c r="ES75" s="8">
        <v>0</v>
      </c>
      <c r="ET75" s="8">
        <v>0</v>
      </c>
      <c r="EU75" s="8">
        <v>4</v>
      </c>
      <c r="EV75" s="8">
        <v>0</v>
      </c>
      <c r="EW75" s="8">
        <v>0</v>
      </c>
      <c r="EX75" s="8">
        <v>0</v>
      </c>
      <c r="EY75" s="8">
        <v>0</v>
      </c>
      <c r="EZ75" s="8">
        <v>0</v>
      </c>
      <c r="FA75" s="8">
        <v>0</v>
      </c>
      <c r="FB75" s="8">
        <v>0</v>
      </c>
      <c r="FC75" s="8">
        <v>1</v>
      </c>
      <c r="FD75" s="8">
        <v>0</v>
      </c>
      <c r="FE75" s="8">
        <v>1</v>
      </c>
      <c r="FF75" s="8">
        <v>0</v>
      </c>
      <c r="FG75" s="8">
        <v>7</v>
      </c>
      <c r="FH75" s="8">
        <v>0</v>
      </c>
      <c r="FI75" s="8">
        <v>0</v>
      </c>
      <c r="FJ75" s="8">
        <v>0</v>
      </c>
      <c r="FK75" s="8">
        <v>1</v>
      </c>
      <c r="FL75" s="8">
        <v>0</v>
      </c>
      <c r="FM75" s="8">
        <v>1</v>
      </c>
      <c r="FN75" s="8">
        <v>0</v>
      </c>
      <c r="FO75" s="8">
        <v>0</v>
      </c>
      <c r="FP75" s="8">
        <v>0</v>
      </c>
      <c r="FQ75" s="8">
        <v>1</v>
      </c>
      <c r="FR75" s="8">
        <v>1</v>
      </c>
      <c r="FS75" s="8">
        <v>2</v>
      </c>
      <c r="FT75" s="8">
        <v>0</v>
      </c>
      <c r="FU75" s="8">
        <v>0</v>
      </c>
      <c r="FV75" s="8">
        <v>0</v>
      </c>
      <c r="FW75" s="8">
        <v>1</v>
      </c>
      <c r="FX75" s="8">
        <v>0</v>
      </c>
      <c r="FY75" s="8">
        <v>0</v>
      </c>
      <c r="FZ75" s="8">
        <v>0</v>
      </c>
      <c r="GA75" s="8">
        <v>1</v>
      </c>
      <c r="GB75" s="8">
        <v>0</v>
      </c>
      <c r="GC75" s="8">
        <v>1</v>
      </c>
      <c r="GD75" s="8">
        <v>0</v>
      </c>
      <c r="GE75" s="8">
        <v>0</v>
      </c>
      <c r="GF75" s="9">
        <v>92</v>
      </c>
      <c r="GG75" s="3"/>
      <c r="GH75" s="10">
        <f t="shared" si="195"/>
        <v>0</v>
      </c>
      <c r="GI75" s="10">
        <f t="shared" si="196"/>
        <v>332.60869565217388</v>
      </c>
      <c r="GJ75" s="10">
        <f t="shared" si="197"/>
        <v>0</v>
      </c>
      <c r="GK75" s="10">
        <f t="shared" si="198"/>
        <v>0</v>
      </c>
      <c r="GL75" s="10">
        <f t="shared" si="199"/>
        <v>0</v>
      </c>
      <c r="GM75" s="10">
        <f t="shared" si="200"/>
        <v>0</v>
      </c>
      <c r="GN75" s="10">
        <f t="shared" si="201"/>
        <v>332.60869565217388</v>
      </c>
      <c r="GO75" s="10">
        <f t="shared" si="202"/>
        <v>0</v>
      </c>
      <c r="GP75" s="10">
        <f t="shared" si="203"/>
        <v>0</v>
      </c>
      <c r="GQ75" s="10">
        <f t="shared" si="204"/>
        <v>0</v>
      </c>
      <c r="GR75" s="10">
        <f t="shared" si="205"/>
        <v>166.30434782608694</v>
      </c>
      <c r="GS75" s="10">
        <f t="shared" si="206"/>
        <v>0</v>
      </c>
      <c r="GT75" s="10">
        <f t="shared" si="207"/>
        <v>0</v>
      </c>
      <c r="GU75" s="10">
        <f t="shared" si="208"/>
        <v>0</v>
      </c>
      <c r="GV75" s="10">
        <f t="shared" si="209"/>
        <v>332.60869565217388</v>
      </c>
      <c r="GW75" s="10">
        <f t="shared" si="210"/>
        <v>0</v>
      </c>
      <c r="GX75" s="10">
        <f t="shared" si="211"/>
        <v>0</v>
      </c>
      <c r="GY75" s="10">
        <f t="shared" si="212"/>
        <v>0</v>
      </c>
      <c r="GZ75" s="10">
        <f t="shared" si="213"/>
        <v>1496.7391304347827</v>
      </c>
      <c r="HA75" s="10">
        <f t="shared" si="214"/>
        <v>0</v>
      </c>
      <c r="HB75" s="10">
        <f t="shared" si="215"/>
        <v>0</v>
      </c>
      <c r="HC75" s="10">
        <f t="shared" si="216"/>
        <v>0</v>
      </c>
      <c r="HD75" s="10">
        <f t="shared" si="217"/>
        <v>0</v>
      </c>
      <c r="HE75" s="10">
        <f t="shared" si="218"/>
        <v>0</v>
      </c>
      <c r="HF75" s="10">
        <f t="shared" si="219"/>
        <v>0</v>
      </c>
      <c r="HG75" s="10">
        <f t="shared" si="220"/>
        <v>0</v>
      </c>
      <c r="HH75" s="10">
        <f t="shared" si="221"/>
        <v>166.30434782608694</v>
      </c>
      <c r="HI75" s="10">
        <f t="shared" si="222"/>
        <v>0</v>
      </c>
      <c r="HJ75" s="10">
        <f t="shared" si="223"/>
        <v>0</v>
      </c>
      <c r="HK75" s="10">
        <f t="shared" si="224"/>
        <v>498.91304347826087</v>
      </c>
      <c r="HL75" s="10">
        <f t="shared" si="225"/>
        <v>0</v>
      </c>
      <c r="HM75" s="10">
        <f t="shared" si="226"/>
        <v>0</v>
      </c>
      <c r="HN75" s="10">
        <f t="shared" si="227"/>
        <v>0</v>
      </c>
      <c r="HO75" s="10">
        <f t="shared" si="228"/>
        <v>831.52173913043475</v>
      </c>
      <c r="HP75" s="10">
        <f t="shared" si="229"/>
        <v>0</v>
      </c>
      <c r="HQ75" s="10">
        <f t="shared" si="230"/>
        <v>0</v>
      </c>
      <c r="HR75" s="10">
        <f t="shared" si="231"/>
        <v>166.30434782608694</v>
      </c>
      <c r="HS75" s="10">
        <f t="shared" si="232"/>
        <v>0</v>
      </c>
      <c r="HT75" s="10">
        <f t="shared" si="233"/>
        <v>166.30434782608694</v>
      </c>
      <c r="HU75" s="10">
        <f t="shared" si="234"/>
        <v>0</v>
      </c>
      <c r="HV75" s="10">
        <f t="shared" si="235"/>
        <v>1829.3478260869565</v>
      </c>
      <c r="HW75" s="10">
        <f t="shared" si="236"/>
        <v>0</v>
      </c>
      <c r="HX75" s="10">
        <f t="shared" si="237"/>
        <v>0</v>
      </c>
      <c r="HY75" s="10">
        <f t="shared" si="238"/>
        <v>0</v>
      </c>
      <c r="HZ75" s="10">
        <f t="shared" si="239"/>
        <v>0</v>
      </c>
      <c r="IA75" s="10">
        <f t="shared" si="240"/>
        <v>0</v>
      </c>
      <c r="IB75" s="10">
        <f t="shared" si="241"/>
        <v>0</v>
      </c>
      <c r="IC75" s="10">
        <f t="shared" si="242"/>
        <v>0</v>
      </c>
      <c r="ID75" s="10">
        <f t="shared" si="243"/>
        <v>332.60869565217388</v>
      </c>
      <c r="IE75" s="10">
        <f t="shared" si="244"/>
        <v>0</v>
      </c>
      <c r="IF75" s="10">
        <f t="shared" si="245"/>
        <v>0</v>
      </c>
      <c r="IG75" s="10">
        <f t="shared" si="246"/>
        <v>0</v>
      </c>
      <c r="IH75" s="10">
        <f t="shared" si="247"/>
        <v>0</v>
      </c>
      <c r="II75" s="10">
        <f t="shared" si="248"/>
        <v>0</v>
      </c>
      <c r="IJ75" s="10">
        <f t="shared" si="249"/>
        <v>0</v>
      </c>
      <c r="IK75" s="10">
        <f t="shared" si="250"/>
        <v>0</v>
      </c>
      <c r="IL75" s="10">
        <f t="shared" si="251"/>
        <v>0</v>
      </c>
      <c r="IM75" s="10">
        <f t="shared" si="252"/>
        <v>332.60869565217388</v>
      </c>
      <c r="IN75" s="10">
        <f t="shared" si="253"/>
        <v>0</v>
      </c>
      <c r="IO75" s="10">
        <f t="shared" si="254"/>
        <v>0</v>
      </c>
      <c r="IP75" s="10">
        <f t="shared" si="255"/>
        <v>166.30434782608694</v>
      </c>
      <c r="IQ75" s="10">
        <f t="shared" si="256"/>
        <v>0</v>
      </c>
      <c r="IR75" s="10">
        <f t="shared" si="257"/>
        <v>0</v>
      </c>
      <c r="IS75" s="10">
        <f t="shared" si="258"/>
        <v>0</v>
      </c>
      <c r="IT75" s="10">
        <f t="shared" si="259"/>
        <v>0</v>
      </c>
      <c r="IU75" s="10">
        <f t="shared" si="260"/>
        <v>0</v>
      </c>
      <c r="IV75" s="10">
        <f t="shared" si="261"/>
        <v>0</v>
      </c>
      <c r="IW75" s="10">
        <f t="shared" si="262"/>
        <v>3825</v>
      </c>
      <c r="IX75" s="10">
        <f t="shared" si="263"/>
        <v>0</v>
      </c>
      <c r="IY75" s="10">
        <f t="shared" si="264"/>
        <v>0</v>
      </c>
      <c r="IZ75" s="10">
        <f t="shared" si="265"/>
        <v>332.60869565217388</v>
      </c>
      <c r="JA75" s="10">
        <f t="shared" si="266"/>
        <v>0</v>
      </c>
      <c r="JB75" s="10">
        <f t="shared" si="267"/>
        <v>0</v>
      </c>
      <c r="JC75" s="10">
        <f t="shared" si="268"/>
        <v>0</v>
      </c>
      <c r="JD75" s="10">
        <f t="shared" si="269"/>
        <v>332.60869565217388</v>
      </c>
      <c r="JE75" s="10">
        <f t="shared" si="270"/>
        <v>0</v>
      </c>
      <c r="JF75" s="10">
        <f t="shared" si="271"/>
        <v>0</v>
      </c>
      <c r="JG75" s="10">
        <v>665.21739130434776</v>
      </c>
      <c r="JH75" s="10">
        <f t="shared" si="272"/>
        <v>0</v>
      </c>
      <c r="JI75" s="10">
        <f t="shared" si="273"/>
        <v>0</v>
      </c>
      <c r="JJ75" s="10">
        <f t="shared" si="274"/>
        <v>0</v>
      </c>
      <c r="JK75" s="10">
        <f t="shared" si="275"/>
        <v>0</v>
      </c>
      <c r="JL75" s="10">
        <f t="shared" si="276"/>
        <v>0</v>
      </c>
      <c r="JM75" s="10">
        <f t="shared" si="277"/>
        <v>0</v>
      </c>
      <c r="JN75" s="10">
        <f t="shared" si="278"/>
        <v>166.30434782608694</v>
      </c>
      <c r="JO75" s="10">
        <f t="shared" si="279"/>
        <v>0</v>
      </c>
      <c r="JP75" s="10">
        <f t="shared" si="280"/>
        <v>166.30434782608694</v>
      </c>
      <c r="JQ75" s="10">
        <f t="shared" si="281"/>
        <v>0</v>
      </c>
      <c r="JR75" s="10">
        <f t="shared" si="282"/>
        <v>1164.1304347826087</v>
      </c>
      <c r="JS75" s="10">
        <f t="shared" si="283"/>
        <v>0</v>
      </c>
      <c r="JT75" s="10">
        <f t="shared" si="284"/>
        <v>0</v>
      </c>
      <c r="JU75" s="10">
        <f t="shared" si="285"/>
        <v>0</v>
      </c>
      <c r="JV75" s="10">
        <f t="shared" si="286"/>
        <v>166.30434782608694</v>
      </c>
      <c r="JW75" s="10">
        <f t="shared" si="287"/>
        <v>0</v>
      </c>
      <c r="JX75" s="10">
        <f t="shared" si="288"/>
        <v>166.30434782608694</v>
      </c>
      <c r="JY75" s="10">
        <f t="shared" si="289"/>
        <v>0</v>
      </c>
      <c r="JZ75" s="10">
        <f t="shared" si="290"/>
        <v>0</v>
      </c>
      <c r="KA75" s="10">
        <f t="shared" si="291"/>
        <v>0</v>
      </c>
      <c r="KB75" s="10">
        <f t="shared" si="292"/>
        <v>166.30434782608694</v>
      </c>
      <c r="KC75" s="10">
        <f t="shared" si="293"/>
        <v>166.30434782608694</v>
      </c>
      <c r="KD75" s="10">
        <f t="shared" si="294"/>
        <v>332.60869565217388</v>
      </c>
      <c r="KE75" s="10">
        <f t="shared" si="295"/>
        <v>0</v>
      </c>
      <c r="KF75" s="10">
        <f t="shared" si="296"/>
        <v>0</v>
      </c>
      <c r="KG75" s="10">
        <f t="shared" si="297"/>
        <v>0</v>
      </c>
      <c r="KH75" s="10">
        <f t="shared" si="298"/>
        <v>166.30434782608694</v>
      </c>
      <c r="KI75" s="10">
        <f t="shared" si="299"/>
        <v>0</v>
      </c>
      <c r="KJ75" s="10">
        <f t="shared" si="300"/>
        <v>0</v>
      </c>
      <c r="KK75" s="10">
        <f t="shared" si="301"/>
        <v>0</v>
      </c>
      <c r="KL75" s="10">
        <f t="shared" si="302"/>
        <v>166.30434782608694</v>
      </c>
      <c r="KM75" s="10">
        <f t="shared" si="303"/>
        <v>0</v>
      </c>
      <c r="KN75" s="10">
        <f t="shared" si="304"/>
        <v>166.30434782608694</v>
      </c>
      <c r="KO75" s="10">
        <f t="shared" si="305"/>
        <v>0</v>
      </c>
      <c r="KP75" s="10">
        <f t="shared" si="306"/>
        <v>0</v>
      </c>
      <c r="KQ75" s="11">
        <v>15299.999999999993</v>
      </c>
      <c r="KR75" s="16"/>
      <c r="KS75" s="12">
        <v>6234.4906210489444</v>
      </c>
      <c r="KT75" s="26">
        <v>87</v>
      </c>
      <c r="KU75" s="26">
        <v>0.9885057471264368</v>
      </c>
      <c r="KV75" s="26">
        <v>1</v>
      </c>
      <c r="KW75" s="26">
        <v>-13.43</v>
      </c>
      <c r="KX75" s="26">
        <v>10.36</v>
      </c>
      <c r="KY75" s="27">
        <v>2.9534247163619574</v>
      </c>
      <c r="KZ75" s="27">
        <v>3.4452523127586199</v>
      </c>
      <c r="LA75" s="17"/>
      <c r="LB75" s="2">
        <v>1905</v>
      </c>
      <c r="LC75" s="1">
        <v>2</v>
      </c>
      <c r="LD75" s="1">
        <v>0</v>
      </c>
      <c r="LE75" s="1">
        <v>0</v>
      </c>
      <c r="LF75" s="1">
        <v>0</v>
      </c>
      <c r="LG75" s="1">
        <v>47</v>
      </c>
      <c r="LH75" s="1">
        <v>0</v>
      </c>
      <c r="LI75" s="1">
        <v>1337</v>
      </c>
      <c r="LJ75" s="1">
        <v>0</v>
      </c>
      <c r="LK75" s="1">
        <v>0</v>
      </c>
      <c r="LL75" s="1">
        <v>217</v>
      </c>
      <c r="LM75" s="1">
        <v>18</v>
      </c>
      <c r="LN75" s="1">
        <v>0</v>
      </c>
      <c r="LO75" s="1">
        <v>0</v>
      </c>
      <c r="LP75" s="1">
        <v>222</v>
      </c>
      <c r="LQ75" s="1">
        <v>1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12</v>
      </c>
      <c r="LX75" s="1">
        <v>0</v>
      </c>
      <c r="LY75" s="1">
        <v>0</v>
      </c>
      <c r="LZ75" s="1">
        <v>2</v>
      </c>
      <c r="MA75" s="1">
        <v>12</v>
      </c>
      <c r="MB75" s="1">
        <v>0</v>
      </c>
      <c r="MC75" s="1">
        <v>0</v>
      </c>
      <c r="MD75" s="1">
        <v>34</v>
      </c>
      <c r="ME75" s="1">
        <v>0</v>
      </c>
      <c r="MF75" s="1">
        <v>0</v>
      </c>
      <c r="MG75" s="1">
        <v>0</v>
      </c>
      <c r="MH75" s="1">
        <v>0</v>
      </c>
      <c r="MI75" s="1">
        <v>1</v>
      </c>
      <c r="MJ75" s="1">
        <v>0</v>
      </c>
      <c r="MK75" s="28"/>
      <c r="ML75" t="s">
        <v>891</v>
      </c>
      <c r="MM75" t="s">
        <v>438</v>
      </c>
      <c r="MN75" t="s">
        <v>320</v>
      </c>
      <c r="MO75" t="s">
        <v>337</v>
      </c>
      <c r="MP75" t="s">
        <v>338</v>
      </c>
      <c r="MQ75" t="s">
        <v>339</v>
      </c>
      <c r="MR75">
        <v>0.01</v>
      </c>
      <c r="MS75" t="s">
        <v>439</v>
      </c>
      <c r="MT75" t="s">
        <v>440</v>
      </c>
      <c r="MU75" t="s">
        <v>441</v>
      </c>
      <c r="MV75">
        <v>20600</v>
      </c>
      <c r="MW75" s="13">
        <v>405</v>
      </c>
      <c r="MX75" s="13" t="s">
        <v>442</v>
      </c>
      <c r="MY75" t="s">
        <v>240</v>
      </c>
      <c r="MZ75" t="s">
        <v>241</v>
      </c>
      <c r="NA75" t="s">
        <v>242</v>
      </c>
      <c r="NB75" t="s">
        <v>297</v>
      </c>
      <c r="ND75" s="18">
        <v>43272</v>
      </c>
      <c r="NE75" s="19">
        <v>0.16111111111111112</v>
      </c>
      <c r="NF75" t="s">
        <v>443</v>
      </c>
      <c r="NG75" t="s">
        <v>136</v>
      </c>
      <c r="NH75" t="s">
        <v>246</v>
      </c>
      <c r="NI75">
        <v>86</v>
      </c>
      <c r="NJ75" t="s">
        <v>244</v>
      </c>
      <c r="NK75">
        <v>6</v>
      </c>
      <c r="NL75" t="s">
        <v>248</v>
      </c>
      <c r="NM75">
        <v>29.636479999999999</v>
      </c>
      <c r="NN75">
        <v>-84.914010000000005</v>
      </c>
      <c r="NO75" t="s">
        <v>248</v>
      </c>
      <c r="NP75" t="s">
        <v>330</v>
      </c>
      <c r="NQ75" t="s">
        <v>244</v>
      </c>
      <c r="NR75" t="s">
        <v>247</v>
      </c>
      <c r="NS75" t="s">
        <v>444</v>
      </c>
      <c r="NT75" t="s">
        <v>244</v>
      </c>
      <c r="NU75" t="s">
        <v>244</v>
      </c>
      <c r="NV75" t="s">
        <v>248</v>
      </c>
      <c r="NW75" t="s">
        <v>440</v>
      </c>
      <c r="NX75" t="s">
        <v>441</v>
      </c>
      <c r="NY75">
        <v>94.5</v>
      </c>
      <c r="NZ75">
        <v>94</v>
      </c>
      <c r="OA75">
        <v>84</v>
      </c>
      <c r="OB75" s="14">
        <v>6234.4906210489444</v>
      </c>
      <c r="OC75" t="s">
        <v>248</v>
      </c>
      <c r="OD75" t="s">
        <v>247</v>
      </c>
      <c r="OE75" t="s">
        <v>248</v>
      </c>
      <c r="OF75" t="s">
        <v>445</v>
      </c>
      <c r="OG75" t="s">
        <v>247</v>
      </c>
      <c r="OH75">
        <v>70</v>
      </c>
      <c r="OI75" t="s">
        <v>440</v>
      </c>
      <c r="OJ75" t="s">
        <v>446</v>
      </c>
      <c r="OK75">
        <v>87</v>
      </c>
      <c r="OL75">
        <v>0.9885057471264368</v>
      </c>
      <c r="OM75">
        <v>1</v>
      </c>
      <c r="ON75">
        <v>-13.43</v>
      </c>
      <c r="OO75">
        <v>10.36</v>
      </c>
      <c r="OP75" s="25">
        <v>2.9534247163619574</v>
      </c>
      <c r="OQ75" s="25">
        <v>3.4452523127586199</v>
      </c>
      <c r="OR75" t="s">
        <v>909</v>
      </c>
      <c r="OS75" t="s">
        <v>909</v>
      </c>
    </row>
    <row r="76" spans="1:409" x14ac:dyDescent="0.25">
      <c r="A76">
        <v>75</v>
      </c>
      <c r="B76" s="1">
        <v>110</v>
      </c>
      <c r="C76" s="1">
        <v>71</v>
      </c>
      <c r="D76" s="1">
        <v>97</v>
      </c>
      <c r="E76" s="1">
        <v>0</v>
      </c>
      <c r="F76" s="1">
        <v>46</v>
      </c>
      <c r="G76" s="1">
        <v>0</v>
      </c>
      <c r="H76" s="1">
        <v>0</v>
      </c>
      <c r="I76" s="1">
        <v>0</v>
      </c>
      <c r="J76" s="1">
        <v>107</v>
      </c>
      <c r="K76" s="1">
        <v>0</v>
      </c>
      <c r="L76" s="1">
        <v>0</v>
      </c>
      <c r="M76" s="1">
        <v>0</v>
      </c>
      <c r="N76" s="1">
        <v>17</v>
      </c>
      <c r="O76" s="1">
        <v>0</v>
      </c>
      <c r="P76" s="1">
        <v>0</v>
      </c>
      <c r="Q76" s="1">
        <v>7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2">
        <v>455</v>
      </c>
      <c r="Y76" s="3"/>
      <c r="Z76" s="15">
        <f t="shared" si="307"/>
        <v>1.7839573388061964</v>
      </c>
      <c r="AA76" s="15">
        <f t="shared" si="308"/>
        <v>1.1514633732294541</v>
      </c>
      <c r="AB76" s="15">
        <f t="shared" si="309"/>
        <v>1.5731260169472825</v>
      </c>
      <c r="AC76" s="15">
        <f t="shared" si="310"/>
        <v>0</v>
      </c>
      <c r="AD76" s="15">
        <f t="shared" si="311"/>
        <v>0.74601852350077313</v>
      </c>
      <c r="AE76" s="15">
        <f t="shared" si="312"/>
        <v>0</v>
      </c>
      <c r="AF76" s="15">
        <f t="shared" si="313"/>
        <v>0</v>
      </c>
      <c r="AG76" s="15">
        <f t="shared" si="314"/>
        <v>0</v>
      </c>
      <c r="AH76" s="15">
        <f t="shared" si="315"/>
        <v>1.7353039568387545</v>
      </c>
      <c r="AI76" s="15">
        <f t="shared" si="316"/>
        <v>0</v>
      </c>
      <c r="AJ76" s="15">
        <f t="shared" si="317"/>
        <v>0</v>
      </c>
      <c r="AK76" s="15">
        <f t="shared" si="318"/>
        <v>0</v>
      </c>
      <c r="AL76" s="15">
        <f t="shared" si="319"/>
        <v>0.2757024978155031</v>
      </c>
      <c r="AM76" s="15">
        <f t="shared" si="320"/>
        <v>0</v>
      </c>
      <c r="AN76" s="15">
        <f t="shared" si="321"/>
        <v>0</v>
      </c>
      <c r="AO76" s="15">
        <f t="shared" si="322"/>
        <v>0.11352455792403068</v>
      </c>
      <c r="AP76" s="15">
        <f t="shared" si="323"/>
        <v>0</v>
      </c>
      <c r="AQ76" s="15">
        <f t="shared" si="324"/>
        <v>0</v>
      </c>
      <c r="AR76" s="15">
        <f t="shared" si="325"/>
        <v>0</v>
      </c>
      <c r="AS76" s="15">
        <f t="shared" si="326"/>
        <v>0</v>
      </c>
      <c r="AT76" s="15">
        <f t="shared" si="327"/>
        <v>0</v>
      </c>
      <c r="AU76" s="15">
        <f t="shared" si="328"/>
        <v>0</v>
      </c>
      <c r="AV76" s="5">
        <f t="shared" si="329"/>
        <v>7.3790962650619942</v>
      </c>
      <c r="AW76" s="16"/>
      <c r="AX76" s="6">
        <v>1100</v>
      </c>
      <c r="AY76" s="6">
        <v>710</v>
      </c>
      <c r="AZ76" s="6">
        <v>970</v>
      </c>
      <c r="BA76" s="6">
        <v>0</v>
      </c>
      <c r="BB76" s="6">
        <v>460</v>
      </c>
      <c r="BC76" s="6">
        <v>0</v>
      </c>
      <c r="BD76" s="6">
        <v>0</v>
      </c>
      <c r="BE76" s="6">
        <v>0</v>
      </c>
      <c r="BF76" s="6">
        <v>1070</v>
      </c>
      <c r="BG76" s="6">
        <v>0</v>
      </c>
      <c r="BH76" s="6">
        <v>0</v>
      </c>
      <c r="BI76" s="6">
        <v>0</v>
      </c>
      <c r="BJ76" s="6">
        <v>170</v>
      </c>
      <c r="BK76" s="6">
        <v>0</v>
      </c>
      <c r="BL76" s="6">
        <v>0</v>
      </c>
      <c r="BM76" s="6">
        <v>70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7">
        <v>4550</v>
      </c>
      <c r="BU76" s="16"/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93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0.99999999999999989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0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0</v>
      </c>
      <c r="ET76" s="8">
        <v>0</v>
      </c>
      <c r="EU76" s="8">
        <v>0</v>
      </c>
      <c r="EV76" s="8">
        <v>0</v>
      </c>
      <c r="EW76" s="8">
        <v>0</v>
      </c>
      <c r="EX76" s="8">
        <v>0</v>
      </c>
      <c r="EY76" s="8">
        <v>0</v>
      </c>
      <c r="EZ76" s="8">
        <v>0</v>
      </c>
      <c r="FA76" s="8">
        <v>0</v>
      </c>
      <c r="FB76" s="8">
        <v>0</v>
      </c>
      <c r="FC76" s="8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3.9999999999999996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9">
        <v>98</v>
      </c>
      <c r="GG76" s="3"/>
      <c r="GH76" s="10">
        <f t="shared" si="195"/>
        <v>0</v>
      </c>
      <c r="GI76" s="10">
        <f t="shared" si="196"/>
        <v>0</v>
      </c>
      <c r="GJ76" s="10">
        <f t="shared" si="197"/>
        <v>0</v>
      </c>
      <c r="GK76" s="10">
        <f t="shared" si="198"/>
        <v>0</v>
      </c>
      <c r="GL76" s="10">
        <f t="shared" si="199"/>
        <v>0</v>
      </c>
      <c r="GM76" s="10">
        <f t="shared" si="200"/>
        <v>0</v>
      </c>
      <c r="GN76" s="10">
        <f t="shared" si="201"/>
        <v>0</v>
      </c>
      <c r="GO76" s="10">
        <f t="shared" si="202"/>
        <v>0</v>
      </c>
      <c r="GP76" s="10">
        <f t="shared" si="203"/>
        <v>0</v>
      </c>
      <c r="GQ76" s="10">
        <f t="shared" si="204"/>
        <v>0</v>
      </c>
      <c r="GR76" s="10">
        <f t="shared" si="205"/>
        <v>0</v>
      </c>
      <c r="GS76" s="10">
        <f t="shared" si="206"/>
        <v>0</v>
      </c>
      <c r="GT76" s="10">
        <f t="shared" si="207"/>
        <v>0</v>
      </c>
      <c r="GU76" s="10">
        <f t="shared" si="208"/>
        <v>0</v>
      </c>
      <c r="GV76" s="10">
        <f t="shared" si="209"/>
        <v>0</v>
      </c>
      <c r="GW76" s="10">
        <f t="shared" si="210"/>
        <v>0</v>
      </c>
      <c r="GX76" s="10">
        <f t="shared" si="211"/>
        <v>0</v>
      </c>
      <c r="GY76" s="10">
        <f t="shared" si="212"/>
        <v>0</v>
      </c>
      <c r="GZ76" s="10">
        <f t="shared" si="213"/>
        <v>1043.8775510204082</v>
      </c>
      <c r="HA76" s="10">
        <f t="shared" si="214"/>
        <v>0</v>
      </c>
      <c r="HB76" s="10">
        <f t="shared" si="215"/>
        <v>0</v>
      </c>
      <c r="HC76" s="10">
        <f t="shared" si="216"/>
        <v>0</v>
      </c>
      <c r="HD76" s="10">
        <f t="shared" si="217"/>
        <v>0</v>
      </c>
      <c r="HE76" s="10">
        <f t="shared" si="218"/>
        <v>0</v>
      </c>
      <c r="HF76" s="10">
        <f t="shared" si="219"/>
        <v>0</v>
      </c>
      <c r="HG76" s="10">
        <f t="shared" si="220"/>
        <v>0</v>
      </c>
      <c r="HH76" s="10">
        <f t="shared" si="221"/>
        <v>0</v>
      </c>
      <c r="HI76" s="10">
        <f t="shared" si="222"/>
        <v>0</v>
      </c>
      <c r="HJ76" s="10">
        <f t="shared" si="223"/>
        <v>0</v>
      </c>
      <c r="HK76" s="10">
        <f t="shared" si="224"/>
        <v>0</v>
      </c>
      <c r="HL76" s="10">
        <f t="shared" si="225"/>
        <v>0</v>
      </c>
      <c r="HM76" s="10">
        <f t="shared" si="226"/>
        <v>0</v>
      </c>
      <c r="HN76" s="10">
        <f t="shared" si="227"/>
        <v>0</v>
      </c>
      <c r="HO76" s="10">
        <f t="shared" si="228"/>
        <v>0</v>
      </c>
      <c r="HP76" s="10">
        <f t="shared" si="229"/>
        <v>0</v>
      </c>
      <c r="HQ76" s="10">
        <f t="shared" si="230"/>
        <v>0</v>
      </c>
      <c r="HR76" s="10">
        <f t="shared" si="231"/>
        <v>0</v>
      </c>
      <c r="HS76" s="10">
        <f t="shared" si="232"/>
        <v>0</v>
      </c>
      <c r="HT76" s="10">
        <f t="shared" si="233"/>
        <v>0</v>
      </c>
      <c r="HU76" s="10">
        <f t="shared" si="234"/>
        <v>0</v>
      </c>
      <c r="HV76" s="10">
        <f t="shared" si="235"/>
        <v>0</v>
      </c>
      <c r="HW76" s="10">
        <f t="shared" si="236"/>
        <v>0</v>
      </c>
      <c r="HX76" s="10">
        <f t="shared" si="237"/>
        <v>0</v>
      </c>
      <c r="HY76" s="10">
        <f t="shared" si="238"/>
        <v>11.224489795918366</v>
      </c>
      <c r="HZ76" s="10">
        <f t="shared" si="239"/>
        <v>0</v>
      </c>
      <c r="IA76" s="10">
        <f t="shared" si="240"/>
        <v>0</v>
      </c>
      <c r="IB76" s="10">
        <f t="shared" si="241"/>
        <v>0</v>
      </c>
      <c r="IC76" s="10">
        <f t="shared" si="242"/>
        <v>0</v>
      </c>
      <c r="ID76" s="10">
        <f t="shared" si="243"/>
        <v>0</v>
      </c>
      <c r="IE76" s="10">
        <f t="shared" si="244"/>
        <v>0</v>
      </c>
      <c r="IF76" s="10">
        <f t="shared" si="245"/>
        <v>0</v>
      </c>
      <c r="IG76" s="10">
        <f t="shared" si="246"/>
        <v>0</v>
      </c>
      <c r="IH76" s="10">
        <f t="shared" si="247"/>
        <v>0</v>
      </c>
      <c r="II76" s="10">
        <f t="shared" si="248"/>
        <v>0</v>
      </c>
      <c r="IJ76" s="10">
        <f t="shared" si="249"/>
        <v>0</v>
      </c>
      <c r="IK76" s="10">
        <f t="shared" si="250"/>
        <v>0</v>
      </c>
      <c r="IL76" s="10">
        <f t="shared" si="251"/>
        <v>0</v>
      </c>
      <c r="IM76" s="10">
        <f t="shared" si="252"/>
        <v>0</v>
      </c>
      <c r="IN76" s="10">
        <f t="shared" si="253"/>
        <v>0</v>
      </c>
      <c r="IO76" s="10">
        <f t="shared" si="254"/>
        <v>0</v>
      </c>
      <c r="IP76" s="10">
        <f t="shared" si="255"/>
        <v>0</v>
      </c>
      <c r="IQ76" s="10">
        <f t="shared" si="256"/>
        <v>0</v>
      </c>
      <c r="IR76" s="10">
        <f t="shared" si="257"/>
        <v>0</v>
      </c>
      <c r="IS76" s="10">
        <f t="shared" si="258"/>
        <v>0</v>
      </c>
      <c r="IT76" s="10">
        <f t="shared" si="259"/>
        <v>0</v>
      </c>
      <c r="IU76" s="10">
        <f t="shared" si="260"/>
        <v>0</v>
      </c>
      <c r="IV76" s="10">
        <f t="shared" si="261"/>
        <v>0</v>
      </c>
      <c r="IW76" s="10">
        <f t="shared" si="262"/>
        <v>0</v>
      </c>
      <c r="IX76" s="10">
        <f t="shared" si="263"/>
        <v>0</v>
      </c>
      <c r="IY76" s="10">
        <f t="shared" si="264"/>
        <v>0</v>
      </c>
      <c r="IZ76" s="10">
        <f t="shared" si="265"/>
        <v>0</v>
      </c>
      <c r="JA76" s="10">
        <f t="shared" si="266"/>
        <v>0</v>
      </c>
      <c r="JB76" s="10">
        <f t="shared" si="267"/>
        <v>0</v>
      </c>
      <c r="JC76" s="10">
        <f t="shared" si="268"/>
        <v>0</v>
      </c>
      <c r="JD76" s="10">
        <f t="shared" si="269"/>
        <v>0</v>
      </c>
      <c r="JE76" s="10">
        <f t="shared" si="270"/>
        <v>0</v>
      </c>
      <c r="JF76" s="10">
        <f t="shared" si="271"/>
        <v>0</v>
      </c>
      <c r="JG76" s="10">
        <v>0</v>
      </c>
      <c r="JH76" s="10">
        <f t="shared" si="272"/>
        <v>0</v>
      </c>
      <c r="JI76" s="10">
        <f t="shared" si="273"/>
        <v>0</v>
      </c>
      <c r="JJ76" s="10">
        <f t="shared" si="274"/>
        <v>0</v>
      </c>
      <c r="JK76" s="10">
        <f t="shared" si="275"/>
        <v>0</v>
      </c>
      <c r="JL76" s="10">
        <f t="shared" si="276"/>
        <v>0</v>
      </c>
      <c r="JM76" s="10">
        <f t="shared" si="277"/>
        <v>0</v>
      </c>
      <c r="JN76" s="10">
        <f t="shared" si="278"/>
        <v>0</v>
      </c>
      <c r="JO76" s="10">
        <f t="shared" si="279"/>
        <v>0</v>
      </c>
      <c r="JP76" s="10">
        <f t="shared" si="280"/>
        <v>0</v>
      </c>
      <c r="JQ76" s="10">
        <f t="shared" si="281"/>
        <v>0</v>
      </c>
      <c r="JR76" s="10">
        <f t="shared" si="282"/>
        <v>0</v>
      </c>
      <c r="JS76" s="10">
        <f t="shared" si="283"/>
        <v>0</v>
      </c>
      <c r="JT76" s="10">
        <f t="shared" si="284"/>
        <v>0</v>
      </c>
      <c r="JU76" s="10">
        <f t="shared" si="285"/>
        <v>0</v>
      </c>
      <c r="JV76" s="10">
        <f t="shared" si="286"/>
        <v>0</v>
      </c>
      <c r="JW76" s="10">
        <f t="shared" si="287"/>
        <v>0</v>
      </c>
      <c r="JX76" s="10">
        <f t="shared" si="288"/>
        <v>0</v>
      </c>
      <c r="JY76" s="10">
        <f t="shared" si="289"/>
        <v>0</v>
      </c>
      <c r="JZ76" s="10">
        <f t="shared" si="290"/>
        <v>0</v>
      </c>
      <c r="KA76" s="10">
        <f t="shared" si="291"/>
        <v>0</v>
      </c>
      <c r="KB76" s="10">
        <f t="shared" si="292"/>
        <v>0</v>
      </c>
      <c r="KC76" s="10">
        <f t="shared" si="293"/>
        <v>0</v>
      </c>
      <c r="KD76" s="10">
        <f t="shared" si="294"/>
        <v>0</v>
      </c>
      <c r="KE76" s="10">
        <f t="shared" si="295"/>
        <v>0</v>
      </c>
      <c r="KF76" s="10">
        <f t="shared" si="296"/>
        <v>44.897959183673464</v>
      </c>
      <c r="KG76" s="10">
        <f t="shared" si="297"/>
        <v>0</v>
      </c>
      <c r="KH76" s="10">
        <f t="shared" si="298"/>
        <v>0</v>
      </c>
      <c r="KI76" s="10">
        <f t="shared" si="299"/>
        <v>0</v>
      </c>
      <c r="KJ76" s="10">
        <f t="shared" si="300"/>
        <v>0</v>
      </c>
      <c r="KK76" s="10">
        <f t="shared" si="301"/>
        <v>0</v>
      </c>
      <c r="KL76" s="10">
        <f t="shared" si="302"/>
        <v>0</v>
      </c>
      <c r="KM76" s="10">
        <f t="shared" si="303"/>
        <v>0</v>
      </c>
      <c r="KN76" s="10">
        <f t="shared" si="304"/>
        <v>0</v>
      </c>
      <c r="KO76" s="10">
        <f t="shared" si="305"/>
        <v>0</v>
      </c>
      <c r="KP76" s="10">
        <f t="shared" si="306"/>
        <v>0</v>
      </c>
      <c r="KQ76" s="11">
        <v>1100</v>
      </c>
      <c r="KR76" s="16"/>
      <c r="KS76" s="12">
        <v>6166.0667330537581</v>
      </c>
      <c r="KT76" s="26">
        <v>55</v>
      </c>
      <c r="KU76" s="26">
        <v>0.16363636363636364</v>
      </c>
      <c r="KV76" s="26">
        <v>1</v>
      </c>
      <c r="KW76" s="26">
        <v>-14.61</v>
      </c>
      <c r="KX76" s="26">
        <v>12.66</v>
      </c>
      <c r="KY76" s="27">
        <v>2.7920904751211442</v>
      </c>
      <c r="KZ76" s="27">
        <v>3.2570514201871128</v>
      </c>
      <c r="LA76" s="17"/>
      <c r="LB76" s="2">
        <v>164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26</v>
      </c>
      <c r="LM76" s="1">
        <v>70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16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52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28"/>
      <c r="ML76" t="s">
        <v>892</v>
      </c>
      <c r="MM76" t="s">
        <v>447</v>
      </c>
      <c r="MN76" t="s">
        <v>320</v>
      </c>
      <c r="MO76" t="s">
        <v>321</v>
      </c>
      <c r="MP76" t="s">
        <v>322</v>
      </c>
      <c r="MQ76" t="s">
        <v>323</v>
      </c>
      <c r="MR76">
        <v>0.1</v>
      </c>
      <c r="MS76" t="s">
        <v>448</v>
      </c>
      <c r="MT76" t="s">
        <v>449</v>
      </c>
      <c r="MU76" t="s">
        <v>450</v>
      </c>
      <c r="MV76">
        <v>4550</v>
      </c>
      <c r="MW76" s="13">
        <v>421</v>
      </c>
      <c r="MX76" s="13" t="s">
        <v>451</v>
      </c>
      <c r="MY76" t="s">
        <v>240</v>
      </c>
      <c r="MZ76" t="s">
        <v>241</v>
      </c>
      <c r="NA76" t="s">
        <v>242</v>
      </c>
      <c r="NB76" t="s">
        <v>328</v>
      </c>
      <c r="ND76" s="18">
        <v>43278</v>
      </c>
      <c r="NE76" s="19">
        <v>2.9861111111111113E-2</v>
      </c>
      <c r="NF76" t="s">
        <v>452</v>
      </c>
      <c r="NG76" t="s">
        <v>245</v>
      </c>
      <c r="NH76" t="s">
        <v>246</v>
      </c>
      <c r="NI76">
        <v>83</v>
      </c>
      <c r="NJ76" t="s">
        <v>244</v>
      </c>
      <c r="NK76">
        <v>5</v>
      </c>
      <c r="NL76" t="s">
        <v>247</v>
      </c>
      <c r="NM76">
        <v>29.653410000000001</v>
      </c>
      <c r="NN76">
        <v>-84.88176</v>
      </c>
      <c r="NO76" t="s">
        <v>248</v>
      </c>
      <c r="NP76" t="s">
        <v>307</v>
      </c>
      <c r="NQ76">
        <v>12</v>
      </c>
      <c r="NR76" t="s">
        <v>247</v>
      </c>
      <c r="NS76" t="s">
        <v>453</v>
      </c>
      <c r="NT76" t="s">
        <v>244</v>
      </c>
      <c r="NU76" t="s">
        <v>244</v>
      </c>
      <c r="NV76" t="s">
        <v>248</v>
      </c>
      <c r="NW76" t="s">
        <v>449</v>
      </c>
      <c r="NX76" t="s">
        <v>450</v>
      </c>
      <c r="NY76">
        <v>92.8</v>
      </c>
      <c r="NZ76">
        <v>91.25</v>
      </c>
      <c r="OA76">
        <v>84.6</v>
      </c>
      <c r="OB76" s="14">
        <v>6166.0667330537581</v>
      </c>
      <c r="OC76" t="s">
        <v>248</v>
      </c>
      <c r="OD76" t="s">
        <v>247</v>
      </c>
      <c r="OE76" t="s">
        <v>248</v>
      </c>
      <c r="OF76" t="s">
        <v>454</v>
      </c>
      <c r="OG76" t="s">
        <v>247</v>
      </c>
      <c r="OH76">
        <v>74</v>
      </c>
      <c r="OI76" t="s">
        <v>449</v>
      </c>
      <c r="OJ76" t="s">
        <v>455</v>
      </c>
      <c r="OK76">
        <v>55</v>
      </c>
      <c r="OL76">
        <v>0.16363636363636364</v>
      </c>
      <c r="OM76">
        <v>1</v>
      </c>
      <c r="ON76">
        <v>-14.61</v>
      </c>
      <c r="OO76">
        <v>12.66</v>
      </c>
      <c r="OP76" s="25">
        <v>2.7920904751211442</v>
      </c>
      <c r="OQ76" s="25">
        <v>3.2570514201871128</v>
      </c>
      <c r="OR76" t="s">
        <v>909</v>
      </c>
      <c r="OS76" t="s">
        <v>909</v>
      </c>
    </row>
    <row r="77" spans="1:409" x14ac:dyDescent="0.25">
      <c r="A77">
        <v>76</v>
      </c>
      <c r="B77" s="1">
        <v>153</v>
      </c>
      <c r="C77" s="1">
        <v>45</v>
      </c>
      <c r="D77" s="1">
        <v>42</v>
      </c>
      <c r="E77" s="1">
        <v>1</v>
      </c>
      <c r="F77" s="1">
        <v>46</v>
      </c>
      <c r="G77" s="1">
        <v>3</v>
      </c>
      <c r="H77" s="1">
        <v>0</v>
      </c>
      <c r="I77" s="1">
        <v>0</v>
      </c>
      <c r="J77" s="1">
        <v>18</v>
      </c>
      <c r="K77" s="1">
        <v>0</v>
      </c>
      <c r="L77" s="1">
        <v>7</v>
      </c>
      <c r="M77" s="1">
        <v>0</v>
      </c>
      <c r="N77" s="1">
        <v>51</v>
      </c>
      <c r="O77" s="1">
        <v>0</v>
      </c>
      <c r="P77" s="1">
        <v>0</v>
      </c>
      <c r="Q77" s="1">
        <v>11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2">
        <v>377</v>
      </c>
      <c r="Y77" s="3"/>
      <c r="Z77" s="15">
        <f t="shared" si="307"/>
        <v>6.2033062008488198</v>
      </c>
      <c r="AA77" s="15">
        <f t="shared" si="308"/>
        <v>1.8245018237790644</v>
      </c>
      <c r="AB77" s="15">
        <f t="shared" si="309"/>
        <v>1.7028683688604604</v>
      </c>
      <c r="AC77" s="15">
        <f t="shared" si="310"/>
        <v>4.0544484972868104E-2</v>
      </c>
      <c r="AD77" s="15">
        <f t="shared" si="311"/>
        <v>1.8650463087519324</v>
      </c>
      <c r="AE77" s="15">
        <f t="shared" si="312"/>
        <v>0.12163345491860431</v>
      </c>
      <c r="AF77" s="15">
        <f t="shared" si="313"/>
        <v>0</v>
      </c>
      <c r="AG77" s="15">
        <f t="shared" si="314"/>
        <v>0</v>
      </c>
      <c r="AH77" s="15">
        <f t="shared" si="315"/>
        <v>0.72980072951162589</v>
      </c>
      <c r="AI77" s="15">
        <f t="shared" si="316"/>
        <v>0</v>
      </c>
      <c r="AJ77" s="15">
        <f t="shared" si="317"/>
        <v>0.28381139481007672</v>
      </c>
      <c r="AK77" s="15">
        <f t="shared" si="318"/>
        <v>0</v>
      </c>
      <c r="AL77" s="15">
        <f t="shared" si="319"/>
        <v>2.0677687336162731</v>
      </c>
      <c r="AM77" s="15">
        <f t="shared" si="320"/>
        <v>0</v>
      </c>
      <c r="AN77" s="15">
        <f t="shared" si="321"/>
        <v>0</v>
      </c>
      <c r="AO77" s="15">
        <f t="shared" si="322"/>
        <v>0.44598933470154911</v>
      </c>
      <c r="AP77" s="15">
        <f t="shared" si="323"/>
        <v>0</v>
      </c>
      <c r="AQ77" s="15">
        <f t="shared" si="324"/>
        <v>0</v>
      </c>
      <c r="AR77" s="15">
        <f t="shared" si="325"/>
        <v>0</v>
      </c>
      <c r="AS77" s="15">
        <f t="shared" si="326"/>
        <v>0</v>
      </c>
      <c r="AT77" s="15">
        <f t="shared" si="327"/>
        <v>0</v>
      </c>
      <c r="AU77" s="15">
        <f t="shared" si="328"/>
        <v>0</v>
      </c>
      <c r="AV77" s="5">
        <f t="shared" si="329"/>
        <v>15.285270834771275</v>
      </c>
      <c r="AW77" s="16"/>
      <c r="AX77" s="6">
        <v>3825</v>
      </c>
      <c r="AY77" s="6">
        <v>1125</v>
      </c>
      <c r="AZ77" s="6">
        <v>1050</v>
      </c>
      <c r="BA77" s="6">
        <v>25</v>
      </c>
      <c r="BB77" s="6">
        <v>1150</v>
      </c>
      <c r="BC77" s="6">
        <v>75</v>
      </c>
      <c r="BD77" s="6">
        <v>0</v>
      </c>
      <c r="BE77" s="6">
        <v>0</v>
      </c>
      <c r="BF77" s="6">
        <v>450</v>
      </c>
      <c r="BG77" s="6">
        <v>0</v>
      </c>
      <c r="BH77" s="6">
        <v>175</v>
      </c>
      <c r="BI77" s="6">
        <v>0</v>
      </c>
      <c r="BJ77" s="6">
        <v>1275</v>
      </c>
      <c r="BK77" s="6">
        <v>0</v>
      </c>
      <c r="BL77" s="6">
        <v>0</v>
      </c>
      <c r="BM77" s="6">
        <v>275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7">
        <v>9425</v>
      </c>
      <c r="BU77" s="16"/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85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1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1</v>
      </c>
      <c r="FS77" s="8">
        <v>0</v>
      </c>
      <c r="FT77" s="8">
        <v>0</v>
      </c>
      <c r="FU77" s="8">
        <v>20</v>
      </c>
      <c r="FV77" s="8">
        <v>0</v>
      </c>
      <c r="FW77" s="8">
        <v>0</v>
      </c>
      <c r="FX77" s="8">
        <v>0</v>
      </c>
      <c r="FY77" s="8">
        <v>1</v>
      </c>
      <c r="FZ77" s="8">
        <v>0</v>
      </c>
      <c r="GA77" s="8">
        <v>3</v>
      </c>
      <c r="GB77" s="8">
        <v>0</v>
      </c>
      <c r="GC77" s="8">
        <v>0</v>
      </c>
      <c r="GD77" s="8">
        <v>0</v>
      </c>
      <c r="GE77" s="8">
        <v>0</v>
      </c>
      <c r="GF77" s="9">
        <v>111</v>
      </c>
      <c r="GG77" s="3"/>
      <c r="GH77" s="10">
        <f t="shared" si="195"/>
        <v>0</v>
      </c>
      <c r="GI77" s="10">
        <f t="shared" si="196"/>
        <v>0</v>
      </c>
      <c r="GJ77" s="10">
        <f t="shared" si="197"/>
        <v>0</v>
      </c>
      <c r="GK77" s="10">
        <f t="shared" si="198"/>
        <v>0</v>
      </c>
      <c r="GL77" s="10">
        <f t="shared" si="199"/>
        <v>0</v>
      </c>
      <c r="GM77" s="10">
        <f t="shared" si="200"/>
        <v>0</v>
      </c>
      <c r="GN77" s="10">
        <f t="shared" si="201"/>
        <v>0</v>
      </c>
      <c r="GO77" s="10">
        <f t="shared" si="202"/>
        <v>0</v>
      </c>
      <c r="GP77" s="10">
        <f t="shared" si="203"/>
        <v>0</v>
      </c>
      <c r="GQ77" s="10">
        <f t="shared" si="204"/>
        <v>0</v>
      </c>
      <c r="GR77" s="10">
        <f t="shared" si="205"/>
        <v>0</v>
      </c>
      <c r="GS77" s="10">
        <f t="shared" si="206"/>
        <v>0</v>
      </c>
      <c r="GT77" s="10">
        <f t="shared" si="207"/>
        <v>0</v>
      </c>
      <c r="GU77" s="10">
        <f t="shared" si="208"/>
        <v>0</v>
      </c>
      <c r="GV77" s="10">
        <f t="shared" si="209"/>
        <v>0</v>
      </c>
      <c r="GW77" s="10">
        <f t="shared" si="210"/>
        <v>0</v>
      </c>
      <c r="GX77" s="10">
        <f t="shared" si="211"/>
        <v>0</v>
      </c>
      <c r="GY77" s="10">
        <f t="shared" si="212"/>
        <v>0</v>
      </c>
      <c r="GZ77" s="10">
        <f t="shared" si="213"/>
        <v>2929.0540540540537</v>
      </c>
      <c r="HA77" s="10">
        <f t="shared" si="214"/>
        <v>0</v>
      </c>
      <c r="HB77" s="10">
        <f t="shared" si="215"/>
        <v>0</v>
      </c>
      <c r="HC77" s="10">
        <f t="shared" si="216"/>
        <v>0</v>
      </c>
      <c r="HD77" s="10">
        <f t="shared" si="217"/>
        <v>0</v>
      </c>
      <c r="HE77" s="10">
        <f t="shared" si="218"/>
        <v>0</v>
      </c>
      <c r="HF77" s="10">
        <f t="shared" si="219"/>
        <v>0</v>
      </c>
      <c r="HG77" s="10">
        <f t="shared" si="220"/>
        <v>0</v>
      </c>
      <c r="HH77" s="10">
        <f t="shared" si="221"/>
        <v>0</v>
      </c>
      <c r="HI77" s="10">
        <f t="shared" si="222"/>
        <v>0</v>
      </c>
      <c r="HJ77" s="10">
        <f t="shared" si="223"/>
        <v>0</v>
      </c>
      <c r="HK77" s="10">
        <f t="shared" si="224"/>
        <v>0</v>
      </c>
      <c r="HL77" s="10">
        <f t="shared" si="225"/>
        <v>0</v>
      </c>
      <c r="HM77" s="10">
        <f t="shared" si="226"/>
        <v>0</v>
      </c>
      <c r="HN77" s="10">
        <f t="shared" si="227"/>
        <v>0</v>
      </c>
      <c r="HO77" s="10">
        <f t="shared" si="228"/>
        <v>0</v>
      </c>
      <c r="HP77" s="10">
        <f t="shared" si="229"/>
        <v>0</v>
      </c>
      <c r="HQ77" s="10">
        <f t="shared" si="230"/>
        <v>0</v>
      </c>
      <c r="HR77" s="10">
        <f t="shared" si="231"/>
        <v>0</v>
      </c>
      <c r="HS77" s="10">
        <f t="shared" si="232"/>
        <v>0</v>
      </c>
      <c r="HT77" s="10">
        <f t="shared" si="233"/>
        <v>0</v>
      </c>
      <c r="HU77" s="10">
        <f t="shared" si="234"/>
        <v>0</v>
      </c>
      <c r="HV77" s="10">
        <f t="shared" si="235"/>
        <v>0</v>
      </c>
      <c r="HW77" s="10">
        <f t="shared" si="236"/>
        <v>0</v>
      </c>
      <c r="HX77" s="10">
        <f t="shared" si="237"/>
        <v>0</v>
      </c>
      <c r="HY77" s="10">
        <f t="shared" si="238"/>
        <v>0</v>
      </c>
      <c r="HZ77" s="10">
        <f t="shared" si="239"/>
        <v>0</v>
      </c>
      <c r="IA77" s="10">
        <f t="shared" si="240"/>
        <v>0</v>
      </c>
      <c r="IB77" s="10">
        <f t="shared" si="241"/>
        <v>34.45945945945946</v>
      </c>
      <c r="IC77" s="10">
        <f t="shared" si="242"/>
        <v>0</v>
      </c>
      <c r="ID77" s="10">
        <f t="shared" si="243"/>
        <v>0</v>
      </c>
      <c r="IE77" s="10">
        <f t="shared" si="244"/>
        <v>0</v>
      </c>
      <c r="IF77" s="10">
        <f t="shared" si="245"/>
        <v>0</v>
      </c>
      <c r="IG77" s="10">
        <f t="shared" si="246"/>
        <v>0</v>
      </c>
      <c r="IH77" s="10">
        <f t="shared" si="247"/>
        <v>0</v>
      </c>
      <c r="II77" s="10">
        <f t="shared" si="248"/>
        <v>0</v>
      </c>
      <c r="IJ77" s="10">
        <f t="shared" si="249"/>
        <v>0</v>
      </c>
      <c r="IK77" s="10">
        <f t="shared" si="250"/>
        <v>0</v>
      </c>
      <c r="IL77" s="10">
        <f t="shared" si="251"/>
        <v>0</v>
      </c>
      <c r="IM77" s="10">
        <f t="shared" si="252"/>
        <v>0</v>
      </c>
      <c r="IN77" s="10">
        <f t="shared" si="253"/>
        <v>0</v>
      </c>
      <c r="IO77" s="10">
        <f t="shared" si="254"/>
        <v>0</v>
      </c>
      <c r="IP77" s="10">
        <f t="shared" si="255"/>
        <v>0</v>
      </c>
      <c r="IQ77" s="10">
        <f t="shared" si="256"/>
        <v>0</v>
      </c>
      <c r="IR77" s="10">
        <f t="shared" si="257"/>
        <v>0</v>
      </c>
      <c r="IS77" s="10">
        <f t="shared" si="258"/>
        <v>0</v>
      </c>
      <c r="IT77" s="10">
        <f t="shared" si="259"/>
        <v>0</v>
      </c>
      <c r="IU77" s="10">
        <f t="shared" si="260"/>
        <v>0</v>
      </c>
      <c r="IV77" s="10">
        <f t="shared" si="261"/>
        <v>0</v>
      </c>
      <c r="IW77" s="10">
        <f t="shared" si="262"/>
        <v>0</v>
      </c>
      <c r="IX77" s="10">
        <f t="shared" si="263"/>
        <v>0</v>
      </c>
      <c r="IY77" s="10">
        <f t="shared" si="264"/>
        <v>0</v>
      </c>
      <c r="IZ77" s="10">
        <f t="shared" si="265"/>
        <v>0</v>
      </c>
      <c r="JA77" s="10">
        <f t="shared" si="266"/>
        <v>0</v>
      </c>
      <c r="JB77" s="10">
        <f t="shared" si="267"/>
        <v>0</v>
      </c>
      <c r="JC77" s="10">
        <f t="shared" si="268"/>
        <v>0</v>
      </c>
      <c r="JD77" s="10">
        <f t="shared" si="269"/>
        <v>0</v>
      </c>
      <c r="JE77" s="10">
        <f t="shared" si="270"/>
        <v>0</v>
      </c>
      <c r="JF77" s="10">
        <f t="shared" si="271"/>
        <v>0</v>
      </c>
      <c r="JG77" s="10">
        <v>0</v>
      </c>
      <c r="JH77" s="10">
        <f t="shared" si="272"/>
        <v>0</v>
      </c>
      <c r="JI77" s="10">
        <f t="shared" si="273"/>
        <v>0</v>
      </c>
      <c r="JJ77" s="10">
        <f t="shared" si="274"/>
        <v>0</v>
      </c>
      <c r="JK77" s="10">
        <f t="shared" si="275"/>
        <v>0</v>
      </c>
      <c r="JL77" s="10">
        <f t="shared" si="276"/>
        <v>0</v>
      </c>
      <c r="JM77" s="10">
        <f t="shared" si="277"/>
        <v>0</v>
      </c>
      <c r="JN77" s="10">
        <f t="shared" si="278"/>
        <v>0</v>
      </c>
      <c r="JO77" s="10">
        <f t="shared" si="279"/>
        <v>0</v>
      </c>
      <c r="JP77" s="10">
        <f t="shared" si="280"/>
        <v>0</v>
      </c>
      <c r="JQ77" s="10">
        <f t="shared" si="281"/>
        <v>0</v>
      </c>
      <c r="JR77" s="10">
        <f t="shared" si="282"/>
        <v>0</v>
      </c>
      <c r="JS77" s="10">
        <f t="shared" si="283"/>
        <v>0</v>
      </c>
      <c r="JT77" s="10">
        <f t="shared" si="284"/>
        <v>0</v>
      </c>
      <c r="JU77" s="10">
        <f t="shared" si="285"/>
        <v>0</v>
      </c>
      <c r="JV77" s="10">
        <f t="shared" si="286"/>
        <v>0</v>
      </c>
      <c r="JW77" s="10">
        <f t="shared" si="287"/>
        <v>0</v>
      </c>
      <c r="JX77" s="10">
        <f t="shared" si="288"/>
        <v>0</v>
      </c>
      <c r="JY77" s="10">
        <f t="shared" si="289"/>
        <v>0</v>
      </c>
      <c r="JZ77" s="10">
        <f t="shared" si="290"/>
        <v>0</v>
      </c>
      <c r="KA77" s="10">
        <f t="shared" si="291"/>
        <v>0</v>
      </c>
      <c r="KB77" s="10">
        <f t="shared" si="292"/>
        <v>0</v>
      </c>
      <c r="KC77" s="10">
        <f t="shared" si="293"/>
        <v>34.45945945945946</v>
      </c>
      <c r="KD77" s="10">
        <f t="shared" si="294"/>
        <v>0</v>
      </c>
      <c r="KE77" s="10">
        <f t="shared" si="295"/>
        <v>0</v>
      </c>
      <c r="KF77" s="10">
        <f t="shared" si="296"/>
        <v>689.18918918918916</v>
      </c>
      <c r="KG77" s="10">
        <f t="shared" si="297"/>
        <v>0</v>
      </c>
      <c r="KH77" s="10">
        <f t="shared" si="298"/>
        <v>0</v>
      </c>
      <c r="KI77" s="10">
        <f t="shared" si="299"/>
        <v>0</v>
      </c>
      <c r="KJ77" s="10">
        <f t="shared" si="300"/>
        <v>34.45945945945946</v>
      </c>
      <c r="KK77" s="10">
        <f t="shared" si="301"/>
        <v>0</v>
      </c>
      <c r="KL77" s="10">
        <f t="shared" si="302"/>
        <v>103.37837837837839</v>
      </c>
      <c r="KM77" s="10">
        <f t="shared" si="303"/>
        <v>0</v>
      </c>
      <c r="KN77" s="10">
        <f t="shared" si="304"/>
        <v>0</v>
      </c>
      <c r="KO77" s="10">
        <f t="shared" si="305"/>
        <v>0</v>
      </c>
      <c r="KP77" s="10">
        <f t="shared" si="306"/>
        <v>0</v>
      </c>
      <c r="KQ77" s="11">
        <v>3825</v>
      </c>
      <c r="KR77" s="16"/>
      <c r="KS77" s="12">
        <v>6166.0667330537581</v>
      </c>
      <c r="KT77" s="26">
        <v>55</v>
      </c>
      <c r="KU77" s="26">
        <v>0.16363636363636364</v>
      </c>
      <c r="KV77" s="26">
        <v>1</v>
      </c>
      <c r="KW77" s="26">
        <v>-14.61</v>
      </c>
      <c r="KX77" s="26">
        <v>12.66</v>
      </c>
      <c r="KY77" s="27">
        <v>2.7920904751211442</v>
      </c>
      <c r="KZ77" s="27">
        <v>3.2570514201871128</v>
      </c>
      <c r="LA77" s="17"/>
      <c r="LB77" s="2">
        <v>362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183</v>
      </c>
      <c r="LM77" s="1">
        <v>26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62</v>
      </c>
      <c r="LU77" s="1">
        <v>0</v>
      </c>
      <c r="LV77" s="1">
        <v>0</v>
      </c>
      <c r="LW77" s="1">
        <v>1</v>
      </c>
      <c r="LX77" s="1">
        <v>1</v>
      </c>
      <c r="LY77" s="1">
        <v>2</v>
      </c>
      <c r="LZ77" s="1">
        <v>1</v>
      </c>
      <c r="MA77" s="1">
        <v>0</v>
      </c>
      <c r="MB77" s="1">
        <v>0</v>
      </c>
      <c r="MC77" s="1">
        <v>0</v>
      </c>
      <c r="MD77" s="1">
        <v>86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28"/>
      <c r="ML77" t="s">
        <v>893</v>
      </c>
      <c r="MM77" t="s">
        <v>456</v>
      </c>
      <c r="MN77" t="s">
        <v>320</v>
      </c>
      <c r="MO77" t="s">
        <v>334</v>
      </c>
      <c r="MP77" t="s">
        <v>335</v>
      </c>
      <c r="MQ77" t="s">
        <v>336</v>
      </c>
      <c r="MR77">
        <v>0.04</v>
      </c>
      <c r="MS77" t="s">
        <v>448</v>
      </c>
      <c r="MT77" t="s">
        <v>449</v>
      </c>
      <c r="MU77" t="s">
        <v>450</v>
      </c>
      <c r="MV77">
        <v>9425</v>
      </c>
      <c r="MW77" s="13">
        <v>421</v>
      </c>
      <c r="MX77" s="13" t="s">
        <v>451</v>
      </c>
      <c r="MY77" t="s">
        <v>240</v>
      </c>
      <c r="MZ77" t="s">
        <v>241</v>
      </c>
      <c r="NA77" t="s">
        <v>242</v>
      </c>
      <c r="NB77" t="s">
        <v>328</v>
      </c>
      <c r="ND77" s="18">
        <v>43278</v>
      </c>
      <c r="NE77" s="19">
        <v>2.9861111111111113E-2</v>
      </c>
      <c r="NF77" t="s">
        <v>452</v>
      </c>
      <c r="NG77" t="s">
        <v>245</v>
      </c>
      <c r="NH77" t="s">
        <v>246</v>
      </c>
      <c r="NI77">
        <v>83</v>
      </c>
      <c r="NJ77" t="s">
        <v>244</v>
      </c>
      <c r="NK77">
        <v>5</v>
      </c>
      <c r="NL77" t="s">
        <v>247</v>
      </c>
      <c r="NM77">
        <v>29.653410000000001</v>
      </c>
      <c r="NN77">
        <v>-84.88176</v>
      </c>
      <c r="NO77" t="s">
        <v>248</v>
      </c>
      <c r="NP77" t="s">
        <v>307</v>
      </c>
      <c r="NQ77">
        <v>12</v>
      </c>
      <c r="NR77" t="s">
        <v>247</v>
      </c>
      <c r="NS77" t="s">
        <v>453</v>
      </c>
      <c r="NT77" t="s">
        <v>244</v>
      </c>
      <c r="NU77" t="s">
        <v>244</v>
      </c>
      <c r="NV77" t="s">
        <v>248</v>
      </c>
      <c r="NW77" t="s">
        <v>449</v>
      </c>
      <c r="NX77" t="s">
        <v>450</v>
      </c>
      <c r="NY77">
        <v>92.8</v>
      </c>
      <c r="NZ77">
        <v>91.25</v>
      </c>
      <c r="OA77">
        <v>84.6</v>
      </c>
      <c r="OB77" s="14">
        <v>6166.0667330537581</v>
      </c>
      <c r="OC77" t="s">
        <v>248</v>
      </c>
      <c r="OD77" t="s">
        <v>247</v>
      </c>
      <c r="OE77" t="s">
        <v>248</v>
      </c>
      <c r="OF77" t="s">
        <v>454</v>
      </c>
      <c r="OG77" t="s">
        <v>247</v>
      </c>
      <c r="OH77">
        <v>73</v>
      </c>
      <c r="OI77" t="s">
        <v>449</v>
      </c>
      <c r="OJ77" t="s">
        <v>455</v>
      </c>
      <c r="OK77">
        <v>55</v>
      </c>
      <c r="OL77">
        <v>0.16363636363636364</v>
      </c>
      <c r="OM77">
        <v>1</v>
      </c>
      <c r="ON77">
        <v>-14.61</v>
      </c>
      <c r="OO77">
        <v>12.66</v>
      </c>
      <c r="OP77" s="25">
        <v>2.7920904751211442</v>
      </c>
      <c r="OQ77" s="25">
        <v>3.2570514201871128</v>
      </c>
      <c r="OR77" t="s">
        <v>909</v>
      </c>
      <c r="OS77" t="s">
        <v>909</v>
      </c>
    </row>
    <row r="78" spans="1:409" x14ac:dyDescent="0.25">
      <c r="A78">
        <v>77</v>
      </c>
      <c r="B78" s="1">
        <v>162</v>
      </c>
      <c r="C78" s="1">
        <v>92</v>
      </c>
      <c r="D78" s="1">
        <v>7</v>
      </c>
      <c r="E78" s="1">
        <v>0</v>
      </c>
      <c r="F78" s="1">
        <v>108</v>
      </c>
      <c r="G78" s="1">
        <v>0</v>
      </c>
      <c r="H78" s="1">
        <v>0</v>
      </c>
      <c r="I78" s="1">
        <v>28</v>
      </c>
      <c r="J78" s="1">
        <v>26</v>
      </c>
      <c r="K78" s="1">
        <v>0</v>
      </c>
      <c r="L78" s="1">
        <v>2225</v>
      </c>
      <c r="M78" s="1">
        <v>0</v>
      </c>
      <c r="N78" s="1">
        <v>0</v>
      </c>
      <c r="O78" s="1">
        <v>0</v>
      </c>
      <c r="P78" s="1">
        <v>0</v>
      </c>
      <c r="Q78" s="1">
        <v>18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2">
        <v>2666</v>
      </c>
      <c r="Y78" s="3"/>
      <c r="Z78" s="15">
        <f t="shared" si="307"/>
        <v>1.3136413131209266</v>
      </c>
      <c r="AA78" s="15">
        <f t="shared" si="308"/>
        <v>0.74601852350077313</v>
      </c>
      <c r="AB78" s="15">
        <f t="shared" si="309"/>
        <v>5.6762278962015342E-2</v>
      </c>
      <c r="AC78" s="15">
        <f t="shared" si="310"/>
        <v>0</v>
      </c>
      <c r="AD78" s="15">
        <f t="shared" si="311"/>
        <v>0.87576087541395098</v>
      </c>
      <c r="AE78" s="15">
        <f t="shared" si="312"/>
        <v>0</v>
      </c>
      <c r="AF78" s="15">
        <f t="shared" si="313"/>
        <v>0</v>
      </c>
      <c r="AG78" s="15">
        <f t="shared" si="314"/>
        <v>0.22704911584806137</v>
      </c>
      <c r="AH78" s="15">
        <f t="shared" si="315"/>
        <v>0.21083132185891415</v>
      </c>
      <c r="AI78" s="15">
        <f t="shared" si="316"/>
        <v>0</v>
      </c>
      <c r="AJ78" s="15">
        <f t="shared" si="317"/>
        <v>18.042295812926305</v>
      </c>
      <c r="AK78" s="15">
        <f t="shared" si="318"/>
        <v>0</v>
      </c>
      <c r="AL78" s="15">
        <f t="shared" si="319"/>
        <v>0</v>
      </c>
      <c r="AM78" s="15">
        <f t="shared" si="320"/>
        <v>0</v>
      </c>
      <c r="AN78" s="15">
        <f t="shared" si="321"/>
        <v>0</v>
      </c>
      <c r="AO78" s="15">
        <f t="shared" si="322"/>
        <v>0.14596014590232517</v>
      </c>
      <c r="AP78" s="15">
        <f t="shared" si="323"/>
        <v>0</v>
      </c>
      <c r="AQ78" s="15">
        <f t="shared" si="324"/>
        <v>0</v>
      </c>
      <c r="AR78" s="15">
        <f t="shared" si="325"/>
        <v>0</v>
      </c>
      <c r="AS78" s="15">
        <f t="shared" si="326"/>
        <v>0</v>
      </c>
      <c r="AT78" s="15">
        <f t="shared" si="327"/>
        <v>0</v>
      </c>
      <c r="AU78" s="15">
        <f t="shared" si="328"/>
        <v>0</v>
      </c>
      <c r="AV78" s="5">
        <f t="shared" si="329"/>
        <v>21.618319387533273</v>
      </c>
      <c r="AW78" s="16"/>
      <c r="AX78" s="6">
        <v>810</v>
      </c>
      <c r="AY78" s="6">
        <v>460</v>
      </c>
      <c r="AZ78" s="6">
        <v>35</v>
      </c>
      <c r="BA78" s="6">
        <v>0</v>
      </c>
      <c r="BB78" s="6">
        <v>540</v>
      </c>
      <c r="BC78" s="6">
        <v>0</v>
      </c>
      <c r="BD78" s="6">
        <v>0</v>
      </c>
      <c r="BE78" s="6">
        <v>140</v>
      </c>
      <c r="BF78" s="6">
        <v>130</v>
      </c>
      <c r="BG78" s="6">
        <v>0</v>
      </c>
      <c r="BH78" s="6">
        <v>11125</v>
      </c>
      <c r="BI78" s="6">
        <v>0</v>
      </c>
      <c r="BJ78" s="6">
        <v>0</v>
      </c>
      <c r="BK78" s="6">
        <v>0</v>
      </c>
      <c r="BL78" s="6">
        <v>0</v>
      </c>
      <c r="BM78" s="6">
        <v>90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7">
        <v>13330</v>
      </c>
      <c r="BU78" s="16"/>
      <c r="BV78" s="8">
        <v>0</v>
      </c>
      <c r="BW78" s="8">
        <v>22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4</v>
      </c>
      <c r="CG78" s="8">
        <v>0</v>
      </c>
      <c r="CH78" s="8">
        <v>0</v>
      </c>
      <c r="CI78" s="8">
        <v>0</v>
      </c>
      <c r="CJ78" s="8">
        <v>1</v>
      </c>
      <c r="CK78" s="8">
        <v>0</v>
      </c>
      <c r="CL78" s="8">
        <v>0</v>
      </c>
      <c r="CM78" s="8">
        <v>0</v>
      </c>
      <c r="CN78" s="8">
        <v>90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1</v>
      </c>
      <c r="DN78" s="8">
        <v>3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3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1</v>
      </c>
      <c r="EQ78" s="8">
        <v>0</v>
      </c>
      <c r="ER78" s="8">
        <v>0</v>
      </c>
      <c r="ES78" s="8">
        <v>0</v>
      </c>
      <c r="ET78" s="8">
        <v>0</v>
      </c>
      <c r="EU78" s="8">
        <v>0</v>
      </c>
      <c r="EV78" s="8">
        <v>0</v>
      </c>
      <c r="EW78" s="8">
        <v>0</v>
      </c>
      <c r="EX78" s="8">
        <v>0</v>
      </c>
      <c r="EY78" s="8">
        <v>0</v>
      </c>
      <c r="EZ78" s="8">
        <v>0</v>
      </c>
      <c r="FA78" s="8">
        <v>0</v>
      </c>
      <c r="FB78" s="8">
        <v>0</v>
      </c>
      <c r="FC78" s="8">
        <v>1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8">
        <v>1</v>
      </c>
      <c r="FR78" s="8">
        <v>0</v>
      </c>
      <c r="FS78" s="8">
        <v>0</v>
      </c>
      <c r="FT78" s="8">
        <v>0</v>
      </c>
      <c r="FU78" s="8">
        <v>0</v>
      </c>
      <c r="FV78" s="8">
        <v>0</v>
      </c>
      <c r="FW78" s="8">
        <v>0</v>
      </c>
      <c r="FX78" s="8">
        <v>0</v>
      </c>
      <c r="FY78" s="8">
        <v>0</v>
      </c>
      <c r="FZ78" s="8">
        <v>0</v>
      </c>
      <c r="GA78" s="8">
        <v>0</v>
      </c>
      <c r="GB78" s="8">
        <v>0</v>
      </c>
      <c r="GC78" s="8">
        <v>1</v>
      </c>
      <c r="GD78" s="8">
        <v>0</v>
      </c>
      <c r="GE78" s="8">
        <v>0</v>
      </c>
      <c r="GF78" s="9">
        <v>128</v>
      </c>
      <c r="GG78" s="3"/>
      <c r="GH78" s="10">
        <f t="shared" si="195"/>
        <v>0</v>
      </c>
      <c r="GI78" s="10">
        <f t="shared" si="196"/>
        <v>139.21875</v>
      </c>
      <c r="GJ78" s="10">
        <f t="shared" si="197"/>
        <v>0</v>
      </c>
      <c r="GK78" s="10">
        <f t="shared" si="198"/>
        <v>0</v>
      </c>
      <c r="GL78" s="10">
        <f t="shared" si="199"/>
        <v>0</v>
      </c>
      <c r="GM78" s="10">
        <f t="shared" si="200"/>
        <v>0</v>
      </c>
      <c r="GN78" s="10">
        <f t="shared" si="201"/>
        <v>0</v>
      </c>
      <c r="GO78" s="10">
        <f t="shared" si="202"/>
        <v>0</v>
      </c>
      <c r="GP78" s="10">
        <f t="shared" si="203"/>
        <v>0</v>
      </c>
      <c r="GQ78" s="10">
        <f t="shared" si="204"/>
        <v>0</v>
      </c>
      <c r="GR78" s="10">
        <f t="shared" si="205"/>
        <v>25.3125</v>
      </c>
      <c r="GS78" s="10">
        <f t="shared" si="206"/>
        <v>0</v>
      </c>
      <c r="GT78" s="10">
        <f t="shared" si="207"/>
        <v>0</v>
      </c>
      <c r="GU78" s="10">
        <f t="shared" si="208"/>
        <v>0</v>
      </c>
      <c r="GV78" s="10">
        <f t="shared" si="209"/>
        <v>6.328125</v>
      </c>
      <c r="GW78" s="10">
        <f t="shared" si="210"/>
        <v>0</v>
      </c>
      <c r="GX78" s="10">
        <f t="shared" si="211"/>
        <v>0</v>
      </c>
      <c r="GY78" s="10">
        <f t="shared" si="212"/>
        <v>0</v>
      </c>
      <c r="GZ78" s="10">
        <f t="shared" si="213"/>
        <v>569.53125</v>
      </c>
      <c r="HA78" s="10">
        <f t="shared" si="214"/>
        <v>0</v>
      </c>
      <c r="HB78" s="10">
        <f t="shared" si="215"/>
        <v>0</v>
      </c>
      <c r="HC78" s="10">
        <f t="shared" si="216"/>
        <v>0</v>
      </c>
      <c r="HD78" s="10">
        <f t="shared" si="217"/>
        <v>0</v>
      </c>
      <c r="HE78" s="10">
        <f t="shared" si="218"/>
        <v>0</v>
      </c>
      <c r="HF78" s="10">
        <f t="shared" si="219"/>
        <v>0</v>
      </c>
      <c r="HG78" s="10">
        <f t="shared" si="220"/>
        <v>0</v>
      </c>
      <c r="HH78" s="10">
        <f t="shared" si="221"/>
        <v>0</v>
      </c>
      <c r="HI78" s="10">
        <f t="shared" si="222"/>
        <v>0</v>
      </c>
      <c r="HJ78" s="10">
        <f t="shared" si="223"/>
        <v>0</v>
      </c>
      <c r="HK78" s="10">
        <f t="shared" si="224"/>
        <v>0</v>
      </c>
      <c r="HL78" s="10">
        <f t="shared" si="225"/>
        <v>0</v>
      </c>
      <c r="HM78" s="10">
        <f t="shared" si="226"/>
        <v>0</v>
      </c>
      <c r="HN78" s="10">
        <f t="shared" si="227"/>
        <v>0</v>
      </c>
      <c r="HO78" s="10">
        <f t="shared" si="228"/>
        <v>0</v>
      </c>
      <c r="HP78" s="10">
        <f t="shared" si="229"/>
        <v>0</v>
      </c>
      <c r="HQ78" s="10">
        <f t="shared" si="230"/>
        <v>0</v>
      </c>
      <c r="HR78" s="10">
        <f t="shared" si="231"/>
        <v>0</v>
      </c>
      <c r="HS78" s="10">
        <f t="shared" si="232"/>
        <v>0</v>
      </c>
      <c r="HT78" s="10">
        <f t="shared" si="233"/>
        <v>0</v>
      </c>
      <c r="HU78" s="10">
        <f t="shared" si="234"/>
        <v>0</v>
      </c>
      <c r="HV78" s="10">
        <f t="shared" si="235"/>
        <v>0</v>
      </c>
      <c r="HW78" s="10">
        <f t="shared" si="236"/>
        <v>0</v>
      </c>
      <c r="HX78" s="10">
        <f t="shared" si="237"/>
        <v>0</v>
      </c>
      <c r="HY78" s="10">
        <f t="shared" si="238"/>
        <v>6.328125</v>
      </c>
      <c r="HZ78" s="10">
        <f t="shared" si="239"/>
        <v>18.984375</v>
      </c>
      <c r="IA78" s="10">
        <f t="shared" si="240"/>
        <v>0</v>
      </c>
      <c r="IB78" s="10">
        <f t="shared" si="241"/>
        <v>0</v>
      </c>
      <c r="IC78" s="10">
        <f t="shared" si="242"/>
        <v>0</v>
      </c>
      <c r="ID78" s="10">
        <f t="shared" si="243"/>
        <v>0</v>
      </c>
      <c r="IE78" s="10">
        <f t="shared" si="244"/>
        <v>0</v>
      </c>
      <c r="IF78" s="10">
        <f t="shared" si="245"/>
        <v>0</v>
      </c>
      <c r="IG78" s="10">
        <f t="shared" si="246"/>
        <v>0</v>
      </c>
      <c r="IH78" s="10">
        <f t="shared" si="247"/>
        <v>0</v>
      </c>
      <c r="II78" s="10">
        <f t="shared" si="248"/>
        <v>0</v>
      </c>
      <c r="IJ78" s="10">
        <f t="shared" si="249"/>
        <v>0</v>
      </c>
      <c r="IK78" s="10">
        <f t="shared" si="250"/>
        <v>0</v>
      </c>
      <c r="IL78" s="10">
        <f t="shared" si="251"/>
        <v>0</v>
      </c>
      <c r="IM78" s="10">
        <f t="shared" si="252"/>
        <v>0</v>
      </c>
      <c r="IN78" s="10">
        <f t="shared" si="253"/>
        <v>0</v>
      </c>
      <c r="IO78" s="10">
        <f t="shared" si="254"/>
        <v>0</v>
      </c>
      <c r="IP78" s="10">
        <f t="shared" si="255"/>
        <v>0</v>
      </c>
      <c r="IQ78" s="10">
        <f t="shared" si="256"/>
        <v>18.984375</v>
      </c>
      <c r="IR78" s="10">
        <f t="shared" si="257"/>
        <v>0</v>
      </c>
      <c r="IS78" s="10">
        <f t="shared" si="258"/>
        <v>0</v>
      </c>
      <c r="IT78" s="10">
        <f t="shared" si="259"/>
        <v>0</v>
      </c>
      <c r="IU78" s="10">
        <f t="shared" si="260"/>
        <v>0</v>
      </c>
      <c r="IV78" s="10">
        <f t="shared" si="261"/>
        <v>0</v>
      </c>
      <c r="IW78" s="10">
        <f t="shared" si="262"/>
        <v>0</v>
      </c>
      <c r="IX78" s="10">
        <f t="shared" si="263"/>
        <v>0</v>
      </c>
      <c r="IY78" s="10">
        <f t="shared" si="264"/>
        <v>0</v>
      </c>
      <c r="IZ78" s="10">
        <f t="shared" si="265"/>
        <v>0</v>
      </c>
      <c r="JA78" s="10">
        <f t="shared" si="266"/>
        <v>0</v>
      </c>
      <c r="JB78" s="10">
        <f t="shared" si="267"/>
        <v>6.328125</v>
      </c>
      <c r="JC78" s="10">
        <f t="shared" si="268"/>
        <v>0</v>
      </c>
      <c r="JD78" s="10">
        <f t="shared" si="269"/>
        <v>0</v>
      </c>
      <c r="JE78" s="10">
        <f t="shared" si="270"/>
        <v>0</v>
      </c>
      <c r="JF78" s="10">
        <f t="shared" si="271"/>
        <v>0</v>
      </c>
      <c r="JG78" s="10">
        <v>0</v>
      </c>
      <c r="JH78" s="10">
        <f t="shared" si="272"/>
        <v>0</v>
      </c>
      <c r="JI78" s="10">
        <f t="shared" si="273"/>
        <v>0</v>
      </c>
      <c r="JJ78" s="10">
        <f t="shared" si="274"/>
        <v>0</v>
      </c>
      <c r="JK78" s="10">
        <f t="shared" si="275"/>
        <v>0</v>
      </c>
      <c r="JL78" s="10">
        <f t="shared" si="276"/>
        <v>0</v>
      </c>
      <c r="JM78" s="10">
        <f t="shared" si="277"/>
        <v>0</v>
      </c>
      <c r="JN78" s="10">
        <f t="shared" si="278"/>
        <v>6.328125</v>
      </c>
      <c r="JO78" s="10">
        <f t="shared" si="279"/>
        <v>0</v>
      </c>
      <c r="JP78" s="10">
        <f t="shared" si="280"/>
        <v>0</v>
      </c>
      <c r="JQ78" s="10">
        <f t="shared" si="281"/>
        <v>0</v>
      </c>
      <c r="JR78" s="10">
        <f t="shared" si="282"/>
        <v>0</v>
      </c>
      <c r="JS78" s="10">
        <f t="shared" si="283"/>
        <v>0</v>
      </c>
      <c r="JT78" s="10">
        <f t="shared" si="284"/>
        <v>0</v>
      </c>
      <c r="JU78" s="10">
        <f t="shared" si="285"/>
        <v>0</v>
      </c>
      <c r="JV78" s="10">
        <f t="shared" si="286"/>
        <v>0</v>
      </c>
      <c r="JW78" s="10">
        <f t="shared" si="287"/>
        <v>0</v>
      </c>
      <c r="JX78" s="10">
        <f t="shared" si="288"/>
        <v>0</v>
      </c>
      <c r="JY78" s="10">
        <f t="shared" si="289"/>
        <v>0</v>
      </c>
      <c r="JZ78" s="10">
        <f t="shared" si="290"/>
        <v>0</v>
      </c>
      <c r="KA78" s="10">
        <f t="shared" si="291"/>
        <v>0</v>
      </c>
      <c r="KB78" s="10">
        <f t="shared" si="292"/>
        <v>6.328125</v>
      </c>
      <c r="KC78" s="10">
        <f t="shared" si="293"/>
        <v>0</v>
      </c>
      <c r="KD78" s="10">
        <f t="shared" si="294"/>
        <v>0</v>
      </c>
      <c r="KE78" s="10">
        <f t="shared" si="295"/>
        <v>0</v>
      </c>
      <c r="KF78" s="10">
        <f t="shared" si="296"/>
        <v>0</v>
      </c>
      <c r="KG78" s="10">
        <f t="shared" si="297"/>
        <v>0</v>
      </c>
      <c r="KH78" s="10">
        <f t="shared" si="298"/>
        <v>0</v>
      </c>
      <c r="KI78" s="10">
        <f t="shared" si="299"/>
        <v>0</v>
      </c>
      <c r="KJ78" s="10">
        <f t="shared" si="300"/>
        <v>0</v>
      </c>
      <c r="KK78" s="10">
        <f t="shared" si="301"/>
        <v>0</v>
      </c>
      <c r="KL78" s="10">
        <f t="shared" si="302"/>
        <v>0</v>
      </c>
      <c r="KM78" s="10">
        <f t="shared" si="303"/>
        <v>0</v>
      </c>
      <c r="KN78" s="10">
        <f t="shared" si="304"/>
        <v>6.328125</v>
      </c>
      <c r="KO78" s="10">
        <f t="shared" si="305"/>
        <v>0</v>
      </c>
      <c r="KP78" s="10">
        <f t="shared" si="306"/>
        <v>0</v>
      </c>
      <c r="KQ78" s="11">
        <v>810</v>
      </c>
      <c r="KR78" s="16"/>
      <c r="KS78" s="12">
        <v>6166.0667330537581</v>
      </c>
      <c r="KT78" s="26">
        <v>55</v>
      </c>
      <c r="KU78" s="26">
        <v>0.16363636363636364</v>
      </c>
      <c r="KV78" s="26">
        <v>1</v>
      </c>
      <c r="KW78" s="26">
        <v>-14.61</v>
      </c>
      <c r="KX78" s="26">
        <v>12.66</v>
      </c>
      <c r="KY78" s="27">
        <v>2.7920904751211442</v>
      </c>
      <c r="KZ78" s="27">
        <v>3.2570514201871128</v>
      </c>
      <c r="LA78" s="17"/>
      <c r="LB78" s="2">
        <v>536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4</v>
      </c>
      <c r="LM78" s="1">
        <v>60</v>
      </c>
      <c r="LN78" s="1">
        <v>158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76</v>
      </c>
      <c r="LU78" s="1">
        <v>0</v>
      </c>
      <c r="LV78" s="1">
        <v>0</v>
      </c>
      <c r="LW78" s="1">
        <v>8</v>
      </c>
      <c r="LX78" s="1">
        <v>0</v>
      </c>
      <c r="LY78" s="1">
        <v>6</v>
      </c>
      <c r="LZ78" s="1">
        <v>6</v>
      </c>
      <c r="MA78" s="1">
        <v>110</v>
      </c>
      <c r="MB78" s="1">
        <v>0</v>
      </c>
      <c r="MC78" s="1">
        <v>0</v>
      </c>
      <c r="MD78" s="1">
        <v>106</v>
      </c>
      <c r="ME78" s="1">
        <v>0</v>
      </c>
      <c r="MF78" s="1">
        <v>2</v>
      </c>
      <c r="MG78" s="1">
        <v>0</v>
      </c>
      <c r="MH78" s="1">
        <v>0</v>
      </c>
      <c r="MI78" s="1">
        <v>0</v>
      </c>
      <c r="MJ78" s="1">
        <v>0</v>
      </c>
      <c r="MK78" s="28"/>
      <c r="ML78" t="s">
        <v>894</v>
      </c>
      <c r="MM78" t="s">
        <v>457</v>
      </c>
      <c r="MN78" t="s">
        <v>320</v>
      </c>
      <c r="MO78" t="s">
        <v>337</v>
      </c>
      <c r="MP78" t="s">
        <v>338</v>
      </c>
      <c r="MQ78" t="s">
        <v>339</v>
      </c>
      <c r="MR78">
        <v>0.2</v>
      </c>
      <c r="MS78" t="s">
        <v>448</v>
      </c>
      <c r="MT78" t="s">
        <v>449</v>
      </c>
      <c r="MU78" t="s">
        <v>450</v>
      </c>
      <c r="MV78">
        <v>13330</v>
      </c>
      <c r="MW78" s="13">
        <v>421</v>
      </c>
      <c r="MX78" s="13" t="s">
        <v>451</v>
      </c>
      <c r="MY78" t="s">
        <v>240</v>
      </c>
      <c r="MZ78" t="s">
        <v>241</v>
      </c>
      <c r="NA78" t="s">
        <v>242</v>
      </c>
      <c r="NB78" t="s">
        <v>328</v>
      </c>
      <c r="ND78" s="18">
        <v>43278</v>
      </c>
      <c r="NE78" s="19">
        <v>2.9861111111111113E-2</v>
      </c>
      <c r="NF78" t="s">
        <v>452</v>
      </c>
      <c r="NG78" t="s">
        <v>245</v>
      </c>
      <c r="NH78" t="s">
        <v>246</v>
      </c>
      <c r="NI78">
        <v>83</v>
      </c>
      <c r="NJ78" t="s">
        <v>244</v>
      </c>
      <c r="NK78">
        <v>5</v>
      </c>
      <c r="NL78" t="s">
        <v>247</v>
      </c>
      <c r="NM78">
        <v>29.653410000000001</v>
      </c>
      <c r="NN78">
        <v>-84.88176</v>
      </c>
      <c r="NO78" t="s">
        <v>248</v>
      </c>
      <c r="NP78" t="s">
        <v>307</v>
      </c>
      <c r="NQ78">
        <v>12</v>
      </c>
      <c r="NR78" t="s">
        <v>247</v>
      </c>
      <c r="NS78" t="s">
        <v>453</v>
      </c>
      <c r="NT78" t="s">
        <v>244</v>
      </c>
      <c r="NU78" t="s">
        <v>244</v>
      </c>
      <c r="NV78" t="s">
        <v>248</v>
      </c>
      <c r="NW78" t="s">
        <v>449</v>
      </c>
      <c r="NX78" t="s">
        <v>450</v>
      </c>
      <c r="NY78">
        <v>92.8</v>
      </c>
      <c r="NZ78">
        <v>91.25</v>
      </c>
      <c r="OA78">
        <v>84.6</v>
      </c>
      <c r="OB78" s="14">
        <v>6166.0667330537581</v>
      </c>
      <c r="OC78" t="s">
        <v>248</v>
      </c>
      <c r="OD78" t="s">
        <v>247</v>
      </c>
      <c r="OE78" t="s">
        <v>248</v>
      </c>
      <c r="OF78" t="s">
        <v>454</v>
      </c>
      <c r="OG78" t="s">
        <v>247</v>
      </c>
      <c r="OH78">
        <v>72</v>
      </c>
      <c r="OI78" t="s">
        <v>449</v>
      </c>
      <c r="OJ78" t="s">
        <v>455</v>
      </c>
      <c r="OK78">
        <v>55</v>
      </c>
      <c r="OL78">
        <v>0.16363636363636364</v>
      </c>
      <c r="OM78">
        <v>1</v>
      </c>
      <c r="ON78">
        <v>-14.61</v>
      </c>
      <c r="OO78">
        <v>12.66</v>
      </c>
      <c r="OP78" s="25">
        <v>2.7920904751211442</v>
      </c>
      <c r="OQ78" s="25">
        <v>3.2570514201871128</v>
      </c>
      <c r="OR78" t="s">
        <v>909</v>
      </c>
      <c r="OS78" t="s">
        <v>909</v>
      </c>
    </row>
    <row r="79" spans="1:409" x14ac:dyDescent="0.25">
      <c r="A79">
        <v>78</v>
      </c>
      <c r="B79" s="1">
        <v>122</v>
      </c>
      <c r="C79" s="1">
        <v>24</v>
      </c>
      <c r="D79" s="1">
        <v>65</v>
      </c>
      <c r="E79" s="1">
        <v>0</v>
      </c>
      <c r="F79" s="1">
        <v>21</v>
      </c>
      <c r="G79" s="1">
        <v>6</v>
      </c>
      <c r="H79" s="1">
        <v>0</v>
      </c>
      <c r="I79" s="1">
        <v>0</v>
      </c>
      <c r="J79" s="1">
        <v>22</v>
      </c>
      <c r="K79" s="1">
        <v>0</v>
      </c>
      <c r="L79" s="1">
        <v>1</v>
      </c>
      <c r="M79" s="1">
        <v>0</v>
      </c>
      <c r="N79" s="1">
        <v>2</v>
      </c>
      <c r="O79" s="1">
        <v>0</v>
      </c>
      <c r="P79" s="1">
        <v>0</v>
      </c>
      <c r="Q79" s="1">
        <v>6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2">
        <v>269</v>
      </c>
      <c r="Y79" s="3"/>
      <c r="Z79" s="15">
        <f t="shared" si="307"/>
        <v>3.7112261102528903</v>
      </c>
      <c r="AA79" s="15">
        <f t="shared" si="308"/>
        <v>0.73007726759073255</v>
      </c>
      <c r="AB79" s="15">
        <f t="shared" si="309"/>
        <v>1.9772925997249007</v>
      </c>
      <c r="AC79" s="15">
        <f t="shared" si="310"/>
        <v>0</v>
      </c>
      <c r="AD79" s="15">
        <f t="shared" si="311"/>
        <v>0.6388176091418909</v>
      </c>
      <c r="AE79" s="15">
        <f t="shared" si="312"/>
        <v>0.18251931689768314</v>
      </c>
      <c r="AF79" s="15">
        <f t="shared" si="313"/>
        <v>0</v>
      </c>
      <c r="AG79" s="15">
        <f t="shared" si="314"/>
        <v>0</v>
      </c>
      <c r="AH79" s="15">
        <f t="shared" si="315"/>
        <v>0.66923749529150478</v>
      </c>
      <c r="AI79" s="15">
        <f t="shared" si="316"/>
        <v>0</v>
      </c>
      <c r="AJ79" s="15">
        <f t="shared" si="317"/>
        <v>3.0419886149613856E-2</v>
      </c>
      <c r="AK79" s="15">
        <f t="shared" si="318"/>
        <v>0</v>
      </c>
      <c r="AL79" s="15">
        <f t="shared" si="319"/>
        <v>6.0839772299227712E-2</v>
      </c>
      <c r="AM79" s="15">
        <f t="shared" si="320"/>
        <v>0</v>
      </c>
      <c r="AN79" s="15">
        <f t="shared" si="321"/>
        <v>0</v>
      </c>
      <c r="AO79" s="15">
        <f t="shared" si="322"/>
        <v>0.18251931689768314</v>
      </c>
      <c r="AP79" s="15">
        <f t="shared" si="323"/>
        <v>0</v>
      </c>
      <c r="AQ79" s="15">
        <f t="shared" si="324"/>
        <v>0</v>
      </c>
      <c r="AR79" s="15">
        <f t="shared" si="325"/>
        <v>0</v>
      </c>
      <c r="AS79" s="15">
        <f t="shared" si="326"/>
        <v>0</v>
      </c>
      <c r="AT79" s="15">
        <f t="shared" si="327"/>
        <v>0</v>
      </c>
      <c r="AU79" s="15">
        <f t="shared" si="328"/>
        <v>0</v>
      </c>
      <c r="AV79" s="5">
        <f t="shared" si="329"/>
        <v>8.1829493742461281</v>
      </c>
      <c r="AW79" s="16"/>
      <c r="AX79" s="6">
        <v>2440</v>
      </c>
      <c r="AY79" s="6">
        <v>480</v>
      </c>
      <c r="AZ79" s="6">
        <v>1300</v>
      </c>
      <c r="BA79" s="6">
        <v>0</v>
      </c>
      <c r="BB79" s="6">
        <v>420</v>
      </c>
      <c r="BC79" s="6">
        <v>120</v>
      </c>
      <c r="BD79" s="6">
        <v>0</v>
      </c>
      <c r="BE79" s="6">
        <v>0</v>
      </c>
      <c r="BF79" s="6">
        <v>440</v>
      </c>
      <c r="BG79" s="6">
        <v>0</v>
      </c>
      <c r="BH79" s="6">
        <v>20</v>
      </c>
      <c r="BI79" s="6">
        <v>0</v>
      </c>
      <c r="BJ79" s="6">
        <v>40</v>
      </c>
      <c r="BK79" s="6">
        <v>0</v>
      </c>
      <c r="BL79" s="6">
        <v>0</v>
      </c>
      <c r="BM79" s="6">
        <v>120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7">
        <v>5380</v>
      </c>
      <c r="BU79" s="16"/>
      <c r="BV79" s="8">
        <v>0</v>
      </c>
      <c r="BW79" s="8">
        <v>0</v>
      </c>
      <c r="BX79" s="8">
        <v>1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1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66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2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2</v>
      </c>
      <c r="DT79" s="8">
        <v>0</v>
      </c>
      <c r="DU79" s="8">
        <v>0</v>
      </c>
      <c r="DV79" s="8">
        <v>0</v>
      </c>
      <c r="DW79" s="8">
        <v>0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0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8">
        <v>0</v>
      </c>
      <c r="FH79" s="8">
        <v>0</v>
      </c>
      <c r="FI79" s="8">
        <v>0</v>
      </c>
      <c r="FJ79" s="8">
        <v>0</v>
      </c>
      <c r="FK79" s="8">
        <v>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8">
        <v>0</v>
      </c>
      <c r="FR79" s="8">
        <v>0</v>
      </c>
      <c r="FS79" s="8">
        <v>0</v>
      </c>
      <c r="FT79" s="8">
        <v>0</v>
      </c>
      <c r="FU79" s="8">
        <v>21.999999999999996</v>
      </c>
      <c r="FV79" s="8">
        <v>0</v>
      </c>
      <c r="FW79" s="8">
        <v>0</v>
      </c>
      <c r="FX79" s="8">
        <v>0</v>
      </c>
      <c r="FY79" s="8">
        <v>0</v>
      </c>
      <c r="FZ79" s="8">
        <v>0</v>
      </c>
      <c r="GA79" s="8">
        <v>0</v>
      </c>
      <c r="GB79" s="8">
        <v>0</v>
      </c>
      <c r="GC79" s="8">
        <v>0</v>
      </c>
      <c r="GD79" s="8">
        <v>0</v>
      </c>
      <c r="GE79" s="8">
        <v>0</v>
      </c>
      <c r="GF79" s="9">
        <v>94</v>
      </c>
      <c r="GG79" s="3"/>
      <c r="GH79" s="10">
        <f t="shared" si="195"/>
        <v>0</v>
      </c>
      <c r="GI79" s="10">
        <f t="shared" si="196"/>
        <v>0</v>
      </c>
      <c r="GJ79" s="10">
        <f t="shared" si="197"/>
        <v>25.957446808510639</v>
      </c>
      <c r="GK79" s="10">
        <f t="shared" si="198"/>
        <v>0</v>
      </c>
      <c r="GL79" s="10">
        <f t="shared" si="199"/>
        <v>0</v>
      </c>
      <c r="GM79" s="10">
        <f t="shared" si="200"/>
        <v>0</v>
      </c>
      <c r="GN79" s="10">
        <f t="shared" si="201"/>
        <v>0</v>
      </c>
      <c r="GO79" s="10">
        <f t="shared" si="202"/>
        <v>0</v>
      </c>
      <c r="GP79" s="10">
        <f t="shared" si="203"/>
        <v>0</v>
      </c>
      <c r="GQ79" s="10">
        <f t="shared" si="204"/>
        <v>0</v>
      </c>
      <c r="GR79" s="10">
        <f t="shared" si="205"/>
        <v>25.957446808510639</v>
      </c>
      <c r="GS79" s="10">
        <f t="shared" si="206"/>
        <v>0</v>
      </c>
      <c r="GT79" s="10">
        <f t="shared" si="207"/>
        <v>0</v>
      </c>
      <c r="GU79" s="10">
        <f t="shared" si="208"/>
        <v>0</v>
      </c>
      <c r="GV79" s="10">
        <f t="shared" si="209"/>
        <v>0</v>
      </c>
      <c r="GW79" s="10">
        <f t="shared" si="210"/>
        <v>0</v>
      </c>
      <c r="GX79" s="10">
        <f t="shared" si="211"/>
        <v>0</v>
      </c>
      <c r="GY79" s="10">
        <f t="shared" si="212"/>
        <v>0</v>
      </c>
      <c r="GZ79" s="10">
        <f t="shared" si="213"/>
        <v>1713.1914893617022</v>
      </c>
      <c r="HA79" s="10">
        <f t="shared" si="214"/>
        <v>0</v>
      </c>
      <c r="HB79" s="10">
        <f t="shared" si="215"/>
        <v>0</v>
      </c>
      <c r="HC79" s="10">
        <f t="shared" si="216"/>
        <v>0</v>
      </c>
      <c r="HD79" s="10">
        <f t="shared" si="217"/>
        <v>0</v>
      </c>
      <c r="HE79" s="10">
        <f t="shared" si="218"/>
        <v>0</v>
      </c>
      <c r="HF79" s="10">
        <f t="shared" si="219"/>
        <v>0</v>
      </c>
      <c r="HG79" s="10">
        <f t="shared" si="220"/>
        <v>0</v>
      </c>
      <c r="HH79" s="10">
        <f t="shared" si="221"/>
        <v>0</v>
      </c>
      <c r="HI79" s="10">
        <f t="shared" si="222"/>
        <v>0</v>
      </c>
      <c r="HJ79" s="10">
        <f t="shared" si="223"/>
        <v>0</v>
      </c>
      <c r="HK79" s="10">
        <f t="shared" si="224"/>
        <v>0</v>
      </c>
      <c r="HL79" s="10">
        <f t="shared" si="225"/>
        <v>0</v>
      </c>
      <c r="HM79" s="10">
        <f t="shared" si="226"/>
        <v>0</v>
      </c>
      <c r="HN79" s="10">
        <f t="shared" si="227"/>
        <v>0</v>
      </c>
      <c r="HO79" s="10">
        <f t="shared" si="228"/>
        <v>0</v>
      </c>
      <c r="HP79" s="10">
        <f t="shared" si="229"/>
        <v>0</v>
      </c>
      <c r="HQ79" s="10">
        <f t="shared" si="230"/>
        <v>0</v>
      </c>
      <c r="HR79" s="10">
        <f t="shared" si="231"/>
        <v>0</v>
      </c>
      <c r="HS79" s="10">
        <f t="shared" si="232"/>
        <v>0</v>
      </c>
      <c r="HT79" s="10">
        <f t="shared" si="233"/>
        <v>0</v>
      </c>
      <c r="HU79" s="10">
        <f t="shared" si="234"/>
        <v>0</v>
      </c>
      <c r="HV79" s="10">
        <f t="shared" si="235"/>
        <v>0</v>
      </c>
      <c r="HW79" s="10">
        <f t="shared" si="236"/>
        <v>0</v>
      </c>
      <c r="HX79" s="10">
        <f t="shared" si="237"/>
        <v>0</v>
      </c>
      <c r="HY79" s="10">
        <f t="shared" si="238"/>
        <v>51.914893617021278</v>
      </c>
      <c r="HZ79" s="10">
        <f t="shared" si="239"/>
        <v>0</v>
      </c>
      <c r="IA79" s="10">
        <f t="shared" si="240"/>
        <v>0</v>
      </c>
      <c r="IB79" s="10">
        <f t="shared" si="241"/>
        <v>0</v>
      </c>
      <c r="IC79" s="10">
        <f t="shared" si="242"/>
        <v>0</v>
      </c>
      <c r="ID79" s="10">
        <f t="shared" si="243"/>
        <v>0</v>
      </c>
      <c r="IE79" s="10">
        <f t="shared" si="244"/>
        <v>51.914893617021278</v>
      </c>
      <c r="IF79" s="10">
        <f t="shared" si="245"/>
        <v>0</v>
      </c>
      <c r="IG79" s="10">
        <f t="shared" si="246"/>
        <v>0</v>
      </c>
      <c r="IH79" s="10">
        <f t="shared" si="247"/>
        <v>0</v>
      </c>
      <c r="II79" s="10">
        <f t="shared" si="248"/>
        <v>0</v>
      </c>
      <c r="IJ79" s="10">
        <f t="shared" si="249"/>
        <v>0</v>
      </c>
      <c r="IK79" s="10">
        <f t="shared" si="250"/>
        <v>0</v>
      </c>
      <c r="IL79" s="10">
        <f t="shared" si="251"/>
        <v>0</v>
      </c>
      <c r="IM79" s="10">
        <f t="shared" si="252"/>
        <v>0</v>
      </c>
      <c r="IN79" s="10">
        <f t="shared" si="253"/>
        <v>0</v>
      </c>
      <c r="IO79" s="10">
        <f t="shared" si="254"/>
        <v>0</v>
      </c>
      <c r="IP79" s="10">
        <f t="shared" si="255"/>
        <v>0</v>
      </c>
      <c r="IQ79" s="10">
        <f t="shared" si="256"/>
        <v>0</v>
      </c>
      <c r="IR79" s="10">
        <f t="shared" si="257"/>
        <v>0</v>
      </c>
      <c r="IS79" s="10">
        <f t="shared" si="258"/>
        <v>0</v>
      </c>
      <c r="IT79" s="10">
        <f t="shared" si="259"/>
        <v>0</v>
      </c>
      <c r="IU79" s="10">
        <f t="shared" si="260"/>
        <v>0</v>
      </c>
      <c r="IV79" s="10">
        <f t="shared" si="261"/>
        <v>0</v>
      </c>
      <c r="IW79" s="10">
        <f t="shared" si="262"/>
        <v>0</v>
      </c>
      <c r="IX79" s="10">
        <f t="shared" si="263"/>
        <v>0</v>
      </c>
      <c r="IY79" s="10">
        <f t="shared" si="264"/>
        <v>0</v>
      </c>
      <c r="IZ79" s="10">
        <f t="shared" si="265"/>
        <v>0</v>
      </c>
      <c r="JA79" s="10">
        <f t="shared" si="266"/>
        <v>0</v>
      </c>
      <c r="JB79" s="10">
        <f t="shared" si="267"/>
        <v>0</v>
      </c>
      <c r="JC79" s="10">
        <f t="shared" si="268"/>
        <v>0</v>
      </c>
      <c r="JD79" s="10">
        <f t="shared" si="269"/>
        <v>0</v>
      </c>
      <c r="JE79" s="10">
        <f t="shared" si="270"/>
        <v>0</v>
      </c>
      <c r="JF79" s="10">
        <f t="shared" si="271"/>
        <v>0</v>
      </c>
      <c r="JG79" s="10">
        <v>0</v>
      </c>
      <c r="JH79" s="10">
        <f t="shared" si="272"/>
        <v>0</v>
      </c>
      <c r="JI79" s="10">
        <f t="shared" si="273"/>
        <v>0</v>
      </c>
      <c r="JJ79" s="10">
        <f t="shared" si="274"/>
        <v>0</v>
      </c>
      <c r="JK79" s="10">
        <f t="shared" si="275"/>
        <v>0</v>
      </c>
      <c r="JL79" s="10">
        <f t="shared" si="276"/>
        <v>0</v>
      </c>
      <c r="JM79" s="10">
        <f t="shared" si="277"/>
        <v>0</v>
      </c>
      <c r="JN79" s="10">
        <f t="shared" si="278"/>
        <v>0</v>
      </c>
      <c r="JO79" s="10">
        <f t="shared" si="279"/>
        <v>0</v>
      </c>
      <c r="JP79" s="10">
        <f t="shared" si="280"/>
        <v>0</v>
      </c>
      <c r="JQ79" s="10">
        <f t="shared" si="281"/>
        <v>0</v>
      </c>
      <c r="JR79" s="10">
        <f t="shared" si="282"/>
        <v>0</v>
      </c>
      <c r="JS79" s="10">
        <f t="shared" si="283"/>
        <v>0</v>
      </c>
      <c r="JT79" s="10">
        <f t="shared" si="284"/>
        <v>0</v>
      </c>
      <c r="JU79" s="10">
        <f t="shared" si="285"/>
        <v>0</v>
      </c>
      <c r="JV79" s="10">
        <f t="shared" si="286"/>
        <v>0</v>
      </c>
      <c r="JW79" s="10">
        <f t="shared" si="287"/>
        <v>0</v>
      </c>
      <c r="JX79" s="10">
        <f t="shared" si="288"/>
        <v>0</v>
      </c>
      <c r="JY79" s="10">
        <f t="shared" si="289"/>
        <v>0</v>
      </c>
      <c r="JZ79" s="10">
        <f t="shared" si="290"/>
        <v>0</v>
      </c>
      <c r="KA79" s="10">
        <f t="shared" si="291"/>
        <v>0</v>
      </c>
      <c r="KB79" s="10">
        <f t="shared" si="292"/>
        <v>0</v>
      </c>
      <c r="KC79" s="10">
        <f t="shared" si="293"/>
        <v>0</v>
      </c>
      <c r="KD79" s="10">
        <f t="shared" si="294"/>
        <v>0</v>
      </c>
      <c r="KE79" s="10">
        <f t="shared" si="295"/>
        <v>0</v>
      </c>
      <c r="KF79" s="10">
        <f t="shared" si="296"/>
        <v>571.06382978723389</v>
      </c>
      <c r="KG79" s="10">
        <f t="shared" si="297"/>
        <v>0</v>
      </c>
      <c r="KH79" s="10">
        <f t="shared" si="298"/>
        <v>0</v>
      </c>
      <c r="KI79" s="10">
        <f t="shared" si="299"/>
        <v>0</v>
      </c>
      <c r="KJ79" s="10">
        <f t="shared" si="300"/>
        <v>0</v>
      </c>
      <c r="KK79" s="10">
        <f t="shared" si="301"/>
        <v>0</v>
      </c>
      <c r="KL79" s="10">
        <f t="shared" si="302"/>
        <v>0</v>
      </c>
      <c r="KM79" s="10">
        <f t="shared" si="303"/>
        <v>0</v>
      </c>
      <c r="KN79" s="10">
        <f t="shared" si="304"/>
        <v>0</v>
      </c>
      <c r="KO79" s="10">
        <f t="shared" si="305"/>
        <v>0</v>
      </c>
      <c r="KP79" s="10">
        <f t="shared" si="306"/>
        <v>0</v>
      </c>
      <c r="KQ79" s="11">
        <v>2440</v>
      </c>
      <c r="KR79" s="16"/>
      <c r="KS79" s="12">
        <v>6574.6465656163791</v>
      </c>
      <c r="KT79" s="26">
        <v>72</v>
      </c>
      <c r="KU79" s="26">
        <v>0.19444444444444445</v>
      </c>
      <c r="KV79" s="26">
        <v>1</v>
      </c>
      <c r="KW79" s="26"/>
      <c r="KX79" s="26"/>
      <c r="KY79" s="26"/>
      <c r="KZ79" s="26"/>
      <c r="LA79" s="17"/>
      <c r="LB79" s="2">
        <v>165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48</v>
      </c>
      <c r="LM79" s="1">
        <v>9</v>
      </c>
      <c r="LN79" s="1">
        <v>62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41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4</v>
      </c>
      <c r="ME79" s="1">
        <v>1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28"/>
      <c r="ML79" t="s">
        <v>895</v>
      </c>
      <c r="MM79" t="s">
        <v>458</v>
      </c>
      <c r="MN79" t="s">
        <v>320</v>
      </c>
      <c r="MO79" t="s">
        <v>321</v>
      </c>
      <c r="MP79" t="s">
        <v>322</v>
      </c>
      <c r="MQ79" t="s">
        <v>323</v>
      </c>
      <c r="MR79">
        <v>0.05</v>
      </c>
      <c r="MS79" t="s">
        <v>459</v>
      </c>
      <c r="MT79" t="s">
        <v>460</v>
      </c>
      <c r="MU79" t="s">
        <v>461</v>
      </c>
      <c r="MV79">
        <v>5380</v>
      </c>
      <c r="MW79" s="13">
        <v>388</v>
      </c>
      <c r="MX79" s="13" t="s">
        <v>462</v>
      </c>
      <c r="MY79" t="s">
        <v>240</v>
      </c>
      <c r="MZ79" t="s">
        <v>241</v>
      </c>
      <c r="NA79" t="s">
        <v>242</v>
      </c>
      <c r="NB79" t="s">
        <v>282</v>
      </c>
      <c r="ND79" s="18">
        <v>43271</v>
      </c>
      <c r="NE79" s="19">
        <v>5.5555555555555552E-2</v>
      </c>
      <c r="NF79" t="s">
        <v>463</v>
      </c>
      <c r="NG79" t="s">
        <v>245</v>
      </c>
      <c r="NH79" t="s">
        <v>246</v>
      </c>
      <c r="NI79">
        <v>94.2</v>
      </c>
      <c r="NJ79" t="s">
        <v>244</v>
      </c>
      <c r="NK79">
        <v>4</v>
      </c>
      <c r="NL79" t="s">
        <v>247</v>
      </c>
      <c r="NM79">
        <v>29.656079999999999</v>
      </c>
      <c r="NN79">
        <v>84.875770000000003</v>
      </c>
      <c r="NO79" t="s">
        <v>248</v>
      </c>
      <c r="NP79" t="s">
        <v>249</v>
      </c>
      <c r="NQ79">
        <v>12</v>
      </c>
      <c r="NR79" t="s">
        <v>247</v>
      </c>
      <c r="NS79" t="s">
        <v>464</v>
      </c>
      <c r="NT79" t="s">
        <v>244</v>
      </c>
      <c r="NU79" t="s">
        <v>244</v>
      </c>
      <c r="NV79" t="s">
        <v>248</v>
      </c>
      <c r="NW79" t="s">
        <v>460</v>
      </c>
      <c r="NX79" t="s">
        <v>461</v>
      </c>
      <c r="NY79">
        <v>97</v>
      </c>
      <c r="NZ79">
        <v>96</v>
      </c>
      <c r="OA79">
        <v>86.3</v>
      </c>
      <c r="OB79" s="14">
        <v>6574.6465656163791</v>
      </c>
      <c r="OC79" t="s">
        <v>248</v>
      </c>
      <c r="OD79" t="s">
        <v>247</v>
      </c>
      <c r="OE79" t="s">
        <v>371</v>
      </c>
      <c r="OF79" t="s">
        <v>465</v>
      </c>
      <c r="OG79" t="s">
        <v>247</v>
      </c>
      <c r="OH79">
        <v>77</v>
      </c>
      <c r="OI79" t="s">
        <v>460</v>
      </c>
      <c r="OJ79" t="s">
        <v>466</v>
      </c>
      <c r="OK79">
        <v>72</v>
      </c>
      <c r="OL79">
        <v>0.19444444444444445</v>
      </c>
      <c r="OM79">
        <v>1</v>
      </c>
      <c r="OR79" t="s">
        <v>911</v>
      </c>
      <c r="OS79" t="s">
        <v>911</v>
      </c>
    </row>
    <row r="80" spans="1:409" x14ac:dyDescent="0.25">
      <c r="A80">
        <v>79</v>
      </c>
      <c r="B80" s="1">
        <v>123</v>
      </c>
      <c r="C80" s="1">
        <v>34</v>
      </c>
      <c r="D80" s="1">
        <v>56</v>
      </c>
      <c r="E80" s="1">
        <v>6</v>
      </c>
      <c r="F80" s="1">
        <v>38</v>
      </c>
      <c r="G80" s="1">
        <v>8</v>
      </c>
      <c r="H80" s="1">
        <v>0</v>
      </c>
      <c r="I80" s="1">
        <v>0</v>
      </c>
      <c r="J80" s="1">
        <v>3</v>
      </c>
      <c r="K80" s="1">
        <v>1</v>
      </c>
      <c r="L80" s="1">
        <v>8</v>
      </c>
      <c r="M80" s="1">
        <v>0</v>
      </c>
      <c r="N80" s="1">
        <v>18</v>
      </c>
      <c r="O80" s="1">
        <v>0</v>
      </c>
      <c r="P80" s="1">
        <v>0</v>
      </c>
      <c r="Q80" s="1">
        <v>17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2">
        <v>312</v>
      </c>
      <c r="Y80" s="3"/>
      <c r="Z80" s="15">
        <f t="shared" si="307"/>
        <v>3.7416459964025046</v>
      </c>
      <c r="AA80" s="15">
        <f t="shared" si="308"/>
        <v>1.0342761290868712</v>
      </c>
      <c r="AB80" s="15">
        <f t="shared" si="309"/>
        <v>1.7035136243783762</v>
      </c>
      <c r="AC80" s="15">
        <f t="shared" si="310"/>
        <v>0.18251931689768314</v>
      </c>
      <c r="AD80" s="15">
        <f t="shared" si="311"/>
        <v>1.1559556736853267</v>
      </c>
      <c r="AE80" s="15">
        <f t="shared" si="312"/>
        <v>0.24335908919691085</v>
      </c>
      <c r="AF80" s="15">
        <f t="shared" si="313"/>
        <v>0</v>
      </c>
      <c r="AG80" s="15">
        <f t="shared" si="314"/>
        <v>0</v>
      </c>
      <c r="AH80" s="15">
        <f t="shared" si="315"/>
        <v>9.1259658448841569E-2</v>
      </c>
      <c r="AI80" s="15">
        <f t="shared" si="316"/>
        <v>3.0419886149613856E-2</v>
      </c>
      <c r="AJ80" s="15">
        <f t="shared" si="317"/>
        <v>0.24335908919691085</v>
      </c>
      <c r="AK80" s="15">
        <f t="shared" si="318"/>
        <v>0</v>
      </c>
      <c r="AL80" s="15">
        <f t="shared" si="319"/>
        <v>0.54755795069304936</v>
      </c>
      <c r="AM80" s="15">
        <f t="shared" si="320"/>
        <v>0</v>
      </c>
      <c r="AN80" s="15">
        <f t="shared" si="321"/>
        <v>0</v>
      </c>
      <c r="AO80" s="15">
        <f t="shared" si="322"/>
        <v>0.51713806454343558</v>
      </c>
      <c r="AP80" s="15">
        <f t="shared" si="323"/>
        <v>0</v>
      </c>
      <c r="AQ80" s="15">
        <f t="shared" si="324"/>
        <v>0</v>
      </c>
      <c r="AR80" s="15">
        <f t="shared" si="325"/>
        <v>0</v>
      </c>
      <c r="AS80" s="15">
        <f t="shared" si="326"/>
        <v>0</v>
      </c>
      <c r="AT80" s="15">
        <f t="shared" si="327"/>
        <v>0</v>
      </c>
      <c r="AU80" s="15">
        <f t="shared" si="328"/>
        <v>0</v>
      </c>
      <c r="AV80" s="5">
        <f t="shared" si="329"/>
        <v>9.4910044786795229</v>
      </c>
      <c r="AW80" s="16"/>
      <c r="AX80" s="6">
        <v>2460</v>
      </c>
      <c r="AY80" s="6">
        <v>680</v>
      </c>
      <c r="AZ80" s="6">
        <v>1120</v>
      </c>
      <c r="BA80" s="6">
        <v>120</v>
      </c>
      <c r="BB80" s="6">
        <v>760</v>
      </c>
      <c r="BC80" s="6">
        <v>160</v>
      </c>
      <c r="BD80" s="6">
        <v>0</v>
      </c>
      <c r="BE80" s="6">
        <v>0</v>
      </c>
      <c r="BF80" s="6">
        <v>60</v>
      </c>
      <c r="BG80" s="6">
        <v>20</v>
      </c>
      <c r="BH80" s="6">
        <v>160</v>
      </c>
      <c r="BI80" s="6">
        <v>0</v>
      </c>
      <c r="BJ80" s="6">
        <v>360</v>
      </c>
      <c r="BK80" s="6">
        <v>0</v>
      </c>
      <c r="BL80" s="6">
        <v>0</v>
      </c>
      <c r="BM80" s="6">
        <v>340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7">
        <v>6240</v>
      </c>
      <c r="BU80" s="16"/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106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9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0.99999999999999989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8">
        <v>0</v>
      </c>
      <c r="FR80" s="8">
        <v>0.99999999999999989</v>
      </c>
      <c r="FS80" s="8">
        <v>0</v>
      </c>
      <c r="FT80" s="8">
        <v>0</v>
      </c>
      <c r="FU80" s="8">
        <v>14.000000000000002</v>
      </c>
      <c r="FV80" s="8">
        <v>0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0</v>
      </c>
      <c r="GC80" s="8">
        <v>0</v>
      </c>
      <c r="GD80" s="8">
        <v>0</v>
      </c>
      <c r="GE80" s="8">
        <v>0</v>
      </c>
      <c r="GF80" s="9">
        <v>131</v>
      </c>
      <c r="GG80" s="3"/>
      <c r="GH80" s="10">
        <f t="shared" si="195"/>
        <v>0</v>
      </c>
      <c r="GI80" s="10">
        <f t="shared" si="196"/>
        <v>0</v>
      </c>
      <c r="GJ80" s="10">
        <f t="shared" si="197"/>
        <v>0</v>
      </c>
      <c r="GK80" s="10">
        <f t="shared" si="198"/>
        <v>0</v>
      </c>
      <c r="GL80" s="10">
        <f t="shared" si="199"/>
        <v>0</v>
      </c>
      <c r="GM80" s="10">
        <f t="shared" si="200"/>
        <v>0</v>
      </c>
      <c r="GN80" s="10">
        <f t="shared" si="201"/>
        <v>0</v>
      </c>
      <c r="GO80" s="10">
        <f t="shared" si="202"/>
        <v>0</v>
      </c>
      <c r="GP80" s="10">
        <f t="shared" si="203"/>
        <v>0</v>
      </c>
      <c r="GQ80" s="10">
        <f t="shared" si="204"/>
        <v>0</v>
      </c>
      <c r="GR80" s="10">
        <f t="shared" si="205"/>
        <v>0</v>
      </c>
      <c r="GS80" s="10">
        <f t="shared" si="206"/>
        <v>0</v>
      </c>
      <c r="GT80" s="10">
        <f t="shared" si="207"/>
        <v>0</v>
      </c>
      <c r="GU80" s="10">
        <f t="shared" si="208"/>
        <v>0</v>
      </c>
      <c r="GV80" s="10">
        <f t="shared" si="209"/>
        <v>0</v>
      </c>
      <c r="GW80" s="10">
        <f t="shared" si="210"/>
        <v>0</v>
      </c>
      <c r="GX80" s="10">
        <f t="shared" si="211"/>
        <v>0</v>
      </c>
      <c r="GY80" s="10">
        <f t="shared" si="212"/>
        <v>0</v>
      </c>
      <c r="GZ80" s="10">
        <f t="shared" si="213"/>
        <v>1990.5343511450383</v>
      </c>
      <c r="HA80" s="10">
        <f t="shared" si="214"/>
        <v>0</v>
      </c>
      <c r="HB80" s="10">
        <f t="shared" si="215"/>
        <v>0</v>
      </c>
      <c r="HC80" s="10">
        <f t="shared" si="216"/>
        <v>0</v>
      </c>
      <c r="HD80" s="10">
        <f t="shared" si="217"/>
        <v>0</v>
      </c>
      <c r="HE80" s="10">
        <f t="shared" si="218"/>
        <v>0</v>
      </c>
      <c r="HF80" s="10">
        <f t="shared" si="219"/>
        <v>0</v>
      </c>
      <c r="HG80" s="10">
        <f t="shared" si="220"/>
        <v>0</v>
      </c>
      <c r="HH80" s="10">
        <f t="shared" si="221"/>
        <v>0</v>
      </c>
      <c r="HI80" s="10">
        <f t="shared" si="222"/>
        <v>0</v>
      </c>
      <c r="HJ80" s="10">
        <f t="shared" si="223"/>
        <v>0</v>
      </c>
      <c r="HK80" s="10">
        <f t="shared" si="224"/>
        <v>0</v>
      </c>
      <c r="HL80" s="10">
        <f t="shared" si="225"/>
        <v>0</v>
      </c>
      <c r="HM80" s="10">
        <f t="shared" si="226"/>
        <v>0</v>
      </c>
      <c r="HN80" s="10">
        <f t="shared" si="227"/>
        <v>0</v>
      </c>
      <c r="HO80" s="10">
        <f t="shared" si="228"/>
        <v>0</v>
      </c>
      <c r="HP80" s="10">
        <f t="shared" si="229"/>
        <v>0</v>
      </c>
      <c r="HQ80" s="10">
        <f t="shared" si="230"/>
        <v>0</v>
      </c>
      <c r="HR80" s="10">
        <f t="shared" si="231"/>
        <v>0</v>
      </c>
      <c r="HS80" s="10">
        <f t="shared" si="232"/>
        <v>0</v>
      </c>
      <c r="HT80" s="10">
        <f t="shared" si="233"/>
        <v>0</v>
      </c>
      <c r="HU80" s="10">
        <f t="shared" si="234"/>
        <v>0</v>
      </c>
      <c r="HV80" s="10">
        <f t="shared" si="235"/>
        <v>0</v>
      </c>
      <c r="HW80" s="10">
        <f t="shared" si="236"/>
        <v>0</v>
      </c>
      <c r="HX80" s="10">
        <f t="shared" si="237"/>
        <v>0</v>
      </c>
      <c r="HY80" s="10">
        <f t="shared" si="238"/>
        <v>169.00763358778627</v>
      </c>
      <c r="HZ80" s="10">
        <f t="shared" si="239"/>
        <v>0</v>
      </c>
      <c r="IA80" s="10">
        <f t="shared" si="240"/>
        <v>0</v>
      </c>
      <c r="IB80" s="10">
        <f t="shared" si="241"/>
        <v>0</v>
      </c>
      <c r="IC80" s="10">
        <f t="shared" si="242"/>
        <v>0</v>
      </c>
      <c r="ID80" s="10">
        <f t="shared" si="243"/>
        <v>0</v>
      </c>
      <c r="IE80" s="10">
        <f t="shared" si="244"/>
        <v>0</v>
      </c>
      <c r="IF80" s="10">
        <f t="shared" si="245"/>
        <v>0</v>
      </c>
      <c r="IG80" s="10">
        <f t="shared" si="246"/>
        <v>0</v>
      </c>
      <c r="IH80" s="10">
        <f t="shared" si="247"/>
        <v>0</v>
      </c>
      <c r="II80" s="10">
        <f t="shared" si="248"/>
        <v>0</v>
      </c>
      <c r="IJ80" s="10">
        <f t="shared" si="249"/>
        <v>0</v>
      </c>
      <c r="IK80" s="10">
        <f t="shared" si="250"/>
        <v>0</v>
      </c>
      <c r="IL80" s="10">
        <f t="shared" si="251"/>
        <v>0</v>
      </c>
      <c r="IM80" s="10">
        <f t="shared" si="252"/>
        <v>0</v>
      </c>
      <c r="IN80" s="10">
        <f t="shared" si="253"/>
        <v>0</v>
      </c>
      <c r="IO80" s="10">
        <f t="shared" si="254"/>
        <v>0</v>
      </c>
      <c r="IP80" s="10">
        <f t="shared" si="255"/>
        <v>0</v>
      </c>
      <c r="IQ80" s="10">
        <f t="shared" si="256"/>
        <v>0</v>
      </c>
      <c r="IR80" s="10">
        <f t="shared" si="257"/>
        <v>0</v>
      </c>
      <c r="IS80" s="10">
        <f t="shared" si="258"/>
        <v>0</v>
      </c>
      <c r="IT80" s="10">
        <f t="shared" si="259"/>
        <v>0</v>
      </c>
      <c r="IU80" s="10">
        <f t="shared" si="260"/>
        <v>0</v>
      </c>
      <c r="IV80" s="10">
        <f t="shared" si="261"/>
        <v>0</v>
      </c>
      <c r="IW80" s="10">
        <f t="shared" si="262"/>
        <v>0</v>
      </c>
      <c r="IX80" s="10">
        <f t="shared" si="263"/>
        <v>0</v>
      </c>
      <c r="IY80" s="10">
        <f t="shared" si="264"/>
        <v>0</v>
      </c>
      <c r="IZ80" s="10">
        <f t="shared" si="265"/>
        <v>0</v>
      </c>
      <c r="JA80" s="10">
        <f t="shared" si="266"/>
        <v>0</v>
      </c>
      <c r="JB80" s="10">
        <f t="shared" si="267"/>
        <v>18.778625954198471</v>
      </c>
      <c r="JC80" s="10">
        <f t="shared" si="268"/>
        <v>0</v>
      </c>
      <c r="JD80" s="10">
        <f t="shared" si="269"/>
        <v>0</v>
      </c>
      <c r="JE80" s="10">
        <f t="shared" si="270"/>
        <v>0</v>
      </c>
      <c r="JF80" s="10">
        <f t="shared" si="271"/>
        <v>0</v>
      </c>
      <c r="JG80" s="10">
        <v>0</v>
      </c>
      <c r="JH80" s="10">
        <f t="shared" si="272"/>
        <v>0</v>
      </c>
      <c r="JI80" s="10">
        <f t="shared" si="273"/>
        <v>0</v>
      </c>
      <c r="JJ80" s="10">
        <f t="shared" si="274"/>
        <v>0</v>
      </c>
      <c r="JK80" s="10">
        <f t="shared" si="275"/>
        <v>0</v>
      </c>
      <c r="JL80" s="10">
        <f t="shared" si="276"/>
        <v>0</v>
      </c>
      <c r="JM80" s="10">
        <f t="shared" si="277"/>
        <v>0</v>
      </c>
      <c r="JN80" s="10">
        <f t="shared" si="278"/>
        <v>0</v>
      </c>
      <c r="JO80" s="10">
        <f t="shared" si="279"/>
        <v>0</v>
      </c>
      <c r="JP80" s="10">
        <f t="shared" si="280"/>
        <v>0</v>
      </c>
      <c r="JQ80" s="10">
        <f t="shared" si="281"/>
        <v>0</v>
      </c>
      <c r="JR80" s="10">
        <f t="shared" si="282"/>
        <v>0</v>
      </c>
      <c r="JS80" s="10">
        <f t="shared" si="283"/>
        <v>0</v>
      </c>
      <c r="JT80" s="10">
        <f t="shared" si="284"/>
        <v>0</v>
      </c>
      <c r="JU80" s="10">
        <f t="shared" si="285"/>
        <v>0</v>
      </c>
      <c r="JV80" s="10">
        <f t="shared" si="286"/>
        <v>0</v>
      </c>
      <c r="JW80" s="10">
        <f t="shared" si="287"/>
        <v>0</v>
      </c>
      <c r="JX80" s="10">
        <f t="shared" si="288"/>
        <v>0</v>
      </c>
      <c r="JY80" s="10">
        <f t="shared" si="289"/>
        <v>0</v>
      </c>
      <c r="JZ80" s="10">
        <f t="shared" si="290"/>
        <v>0</v>
      </c>
      <c r="KA80" s="10">
        <f t="shared" si="291"/>
        <v>0</v>
      </c>
      <c r="KB80" s="10">
        <f t="shared" si="292"/>
        <v>0</v>
      </c>
      <c r="KC80" s="10">
        <f t="shared" si="293"/>
        <v>18.778625954198471</v>
      </c>
      <c r="KD80" s="10">
        <f t="shared" si="294"/>
        <v>0</v>
      </c>
      <c r="KE80" s="10">
        <f t="shared" si="295"/>
        <v>0</v>
      </c>
      <c r="KF80" s="10">
        <f t="shared" si="296"/>
        <v>262.90076335877865</v>
      </c>
      <c r="KG80" s="10">
        <f t="shared" si="297"/>
        <v>0</v>
      </c>
      <c r="KH80" s="10">
        <f t="shared" si="298"/>
        <v>0</v>
      </c>
      <c r="KI80" s="10">
        <f t="shared" si="299"/>
        <v>0</v>
      </c>
      <c r="KJ80" s="10">
        <f t="shared" si="300"/>
        <v>0</v>
      </c>
      <c r="KK80" s="10">
        <f t="shared" si="301"/>
        <v>0</v>
      </c>
      <c r="KL80" s="10">
        <f t="shared" si="302"/>
        <v>0</v>
      </c>
      <c r="KM80" s="10">
        <f t="shared" si="303"/>
        <v>0</v>
      </c>
      <c r="KN80" s="10">
        <f t="shared" si="304"/>
        <v>0</v>
      </c>
      <c r="KO80" s="10">
        <f t="shared" si="305"/>
        <v>0</v>
      </c>
      <c r="KP80" s="10">
        <f t="shared" si="306"/>
        <v>0</v>
      </c>
      <c r="KQ80" s="11">
        <v>2460</v>
      </c>
      <c r="KR80" s="16"/>
      <c r="KS80" s="12">
        <v>6574.6465656163791</v>
      </c>
      <c r="KT80" s="26">
        <v>72</v>
      </c>
      <c r="KU80" s="26">
        <v>0.19444444444444445</v>
      </c>
      <c r="KV80" s="26">
        <v>1</v>
      </c>
      <c r="KW80" s="26"/>
      <c r="KX80" s="26"/>
      <c r="KY80" s="26"/>
      <c r="KZ80" s="26"/>
      <c r="LA80" s="17"/>
      <c r="LB80" s="2">
        <v>99</v>
      </c>
      <c r="LC80" s="1">
        <v>6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23</v>
      </c>
      <c r="LM80" s="1">
        <v>0</v>
      </c>
      <c r="LN80" s="1">
        <v>40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27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3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28"/>
      <c r="ML80" t="s">
        <v>896</v>
      </c>
      <c r="MM80" t="s">
        <v>458</v>
      </c>
      <c r="MN80" t="s">
        <v>320</v>
      </c>
      <c r="MO80" t="s">
        <v>334</v>
      </c>
      <c r="MP80" t="s">
        <v>335</v>
      </c>
      <c r="MQ80" t="s">
        <v>336</v>
      </c>
      <c r="MR80">
        <v>0.05</v>
      </c>
      <c r="MS80" t="s">
        <v>459</v>
      </c>
      <c r="MT80" t="s">
        <v>460</v>
      </c>
      <c r="MU80" t="s">
        <v>461</v>
      </c>
      <c r="MV80">
        <v>6240</v>
      </c>
      <c r="MW80" s="13">
        <v>388</v>
      </c>
      <c r="MX80" s="13" t="s">
        <v>462</v>
      </c>
      <c r="MY80" t="s">
        <v>240</v>
      </c>
      <c r="MZ80" t="s">
        <v>241</v>
      </c>
      <c r="NA80" t="s">
        <v>242</v>
      </c>
      <c r="NB80" t="s">
        <v>282</v>
      </c>
      <c r="ND80" s="18">
        <v>43271</v>
      </c>
      <c r="NE80" s="19">
        <v>5.5555555555555552E-2</v>
      </c>
      <c r="NF80" t="s">
        <v>463</v>
      </c>
      <c r="NG80" t="s">
        <v>245</v>
      </c>
      <c r="NH80" t="s">
        <v>246</v>
      </c>
      <c r="NI80">
        <v>94.2</v>
      </c>
      <c r="NJ80" t="s">
        <v>244</v>
      </c>
      <c r="NK80">
        <v>4</v>
      </c>
      <c r="NL80" t="s">
        <v>247</v>
      </c>
      <c r="NM80">
        <v>29.656079999999999</v>
      </c>
      <c r="NN80">
        <v>84.875770000000003</v>
      </c>
      <c r="NO80" t="s">
        <v>248</v>
      </c>
      <c r="NP80" t="s">
        <v>249</v>
      </c>
      <c r="NQ80">
        <v>12</v>
      </c>
      <c r="NR80" t="s">
        <v>247</v>
      </c>
      <c r="NS80" t="s">
        <v>464</v>
      </c>
      <c r="NT80" t="s">
        <v>244</v>
      </c>
      <c r="NU80" t="s">
        <v>244</v>
      </c>
      <c r="NV80" t="s">
        <v>248</v>
      </c>
      <c r="NW80" t="s">
        <v>460</v>
      </c>
      <c r="NX80" t="s">
        <v>461</v>
      </c>
      <c r="NY80">
        <v>97</v>
      </c>
      <c r="NZ80">
        <v>96</v>
      </c>
      <c r="OA80">
        <v>86.3</v>
      </c>
      <c r="OB80" s="14">
        <v>6574.6465656163791</v>
      </c>
      <c r="OC80" t="s">
        <v>248</v>
      </c>
      <c r="OD80" t="s">
        <v>247</v>
      </c>
      <c r="OE80" t="s">
        <v>371</v>
      </c>
      <c r="OF80" t="s">
        <v>465</v>
      </c>
      <c r="OG80" t="s">
        <v>247</v>
      </c>
      <c r="OH80">
        <v>76</v>
      </c>
      <c r="OI80" t="s">
        <v>460</v>
      </c>
      <c r="OJ80" t="s">
        <v>466</v>
      </c>
      <c r="OK80">
        <v>72</v>
      </c>
      <c r="OL80">
        <v>0.19444444444444445</v>
      </c>
      <c r="OM80">
        <v>1</v>
      </c>
      <c r="OR80" t="s">
        <v>911</v>
      </c>
      <c r="OS80" t="s">
        <v>911</v>
      </c>
    </row>
    <row r="81" spans="1:409" x14ac:dyDescent="0.25">
      <c r="A81">
        <v>80</v>
      </c>
      <c r="B81" s="1">
        <v>124</v>
      </c>
      <c r="C81" s="1">
        <v>8</v>
      </c>
      <c r="D81" s="1">
        <v>7</v>
      </c>
      <c r="E81" s="1">
        <v>0</v>
      </c>
      <c r="F81" s="1">
        <v>76</v>
      </c>
      <c r="G81" s="1">
        <v>11</v>
      </c>
      <c r="H81" s="1">
        <v>0</v>
      </c>
      <c r="I81" s="1">
        <v>0</v>
      </c>
      <c r="J81" s="1">
        <v>30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7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2">
        <v>263</v>
      </c>
      <c r="Y81" s="3"/>
      <c r="Z81" s="15">
        <f t="shared" si="307"/>
        <v>1.886032941276059</v>
      </c>
      <c r="AA81" s="15">
        <f t="shared" si="308"/>
        <v>0.12167954459845542</v>
      </c>
      <c r="AB81" s="15">
        <f t="shared" si="309"/>
        <v>0.10646960152364851</v>
      </c>
      <c r="AC81" s="15">
        <f t="shared" si="310"/>
        <v>0</v>
      </c>
      <c r="AD81" s="15">
        <f t="shared" si="311"/>
        <v>1.1559556736853267</v>
      </c>
      <c r="AE81" s="15">
        <f t="shared" si="312"/>
        <v>0.1673093738228762</v>
      </c>
      <c r="AF81" s="15">
        <f t="shared" si="313"/>
        <v>0</v>
      </c>
      <c r="AG81" s="15">
        <f t="shared" si="314"/>
        <v>0</v>
      </c>
      <c r="AH81" s="15">
        <f t="shared" si="315"/>
        <v>0.45629829224420781</v>
      </c>
      <c r="AI81" s="15">
        <f t="shared" si="316"/>
        <v>0</v>
      </c>
      <c r="AJ81" s="15">
        <f t="shared" si="317"/>
        <v>0</v>
      </c>
      <c r="AK81" s="15">
        <f t="shared" si="318"/>
        <v>0</v>
      </c>
      <c r="AL81" s="15">
        <f t="shared" si="319"/>
        <v>0</v>
      </c>
      <c r="AM81" s="15">
        <f t="shared" si="320"/>
        <v>0</v>
      </c>
      <c r="AN81" s="15">
        <f t="shared" si="321"/>
        <v>0</v>
      </c>
      <c r="AO81" s="15">
        <f t="shared" si="322"/>
        <v>0.10646960152364851</v>
      </c>
      <c r="AP81" s="15">
        <f t="shared" si="323"/>
        <v>0</v>
      </c>
      <c r="AQ81" s="15">
        <f t="shared" si="324"/>
        <v>0</v>
      </c>
      <c r="AR81" s="15">
        <f t="shared" si="325"/>
        <v>0</v>
      </c>
      <c r="AS81" s="15">
        <f t="shared" si="326"/>
        <v>0</v>
      </c>
      <c r="AT81" s="15">
        <f t="shared" si="327"/>
        <v>0</v>
      </c>
      <c r="AU81" s="15">
        <f t="shared" si="328"/>
        <v>0</v>
      </c>
      <c r="AV81" s="5">
        <f t="shared" si="329"/>
        <v>4.000215028674222</v>
      </c>
      <c r="AW81" s="16"/>
      <c r="AX81" s="6">
        <v>1240</v>
      </c>
      <c r="AY81" s="6">
        <v>80</v>
      </c>
      <c r="AZ81" s="6">
        <v>70</v>
      </c>
      <c r="BA81" s="6">
        <v>0</v>
      </c>
      <c r="BB81" s="6">
        <v>760</v>
      </c>
      <c r="BC81" s="6">
        <v>110</v>
      </c>
      <c r="BD81" s="6">
        <v>0</v>
      </c>
      <c r="BE81" s="6">
        <v>0</v>
      </c>
      <c r="BF81" s="6">
        <v>300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70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7">
        <v>2630</v>
      </c>
      <c r="BU81" s="16"/>
      <c r="BV81" s="8">
        <v>0</v>
      </c>
      <c r="BW81" s="8">
        <v>1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2</v>
      </c>
      <c r="CM81" s="8">
        <v>0</v>
      </c>
      <c r="CN81" s="8">
        <v>68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1</v>
      </c>
      <c r="DJ81" s="8">
        <v>1</v>
      </c>
      <c r="DK81" s="8">
        <v>0</v>
      </c>
      <c r="DL81" s="8">
        <v>0</v>
      </c>
      <c r="DM81" s="8">
        <v>3.0000000000000004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1</v>
      </c>
      <c r="EQ81" s="8">
        <v>0</v>
      </c>
      <c r="ER81" s="8">
        <v>1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1</v>
      </c>
      <c r="FD81" s="8">
        <v>0</v>
      </c>
      <c r="FE81" s="8">
        <v>0</v>
      </c>
      <c r="FF81" s="8">
        <v>0</v>
      </c>
      <c r="FG81" s="8">
        <v>1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8">
        <v>5</v>
      </c>
      <c r="FR81" s="8">
        <v>23</v>
      </c>
      <c r="FS81" s="8">
        <v>1</v>
      </c>
      <c r="FT81" s="8">
        <v>0</v>
      </c>
      <c r="FU81" s="8">
        <v>2</v>
      </c>
      <c r="FV81" s="8">
        <v>0</v>
      </c>
      <c r="FW81" s="8">
        <v>0</v>
      </c>
      <c r="FX81" s="8">
        <v>1</v>
      </c>
      <c r="FY81" s="8">
        <v>0</v>
      </c>
      <c r="FZ81" s="8">
        <v>0</v>
      </c>
      <c r="GA81" s="8">
        <v>2</v>
      </c>
      <c r="GB81" s="8">
        <v>0</v>
      </c>
      <c r="GC81" s="8">
        <v>1</v>
      </c>
      <c r="GD81" s="8">
        <v>0</v>
      </c>
      <c r="GE81" s="8">
        <v>0</v>
      </c>
      <c r="GF81" s="9">
        <v>115</v>
      </c>
      <c r="GG81" s="3"/>
      <c r="GH81" s="10">
        <f t="shared" ref="GH81:GH90" si="330">(BV81/$GF81)*$AX81</f>
        <v>0</v>
      </c>
      <c r="GI81" s="10">
        <f t="shared" ref="GI81:GI90" si="331">(BW81/$GF81)*$AX81</f>
        <v>10.782608695652174</v>
      </c>
      <c r="GJ81" s="10">
        <f t="shared" ref="GJ81:GJ90" si="332">(BX81/$GF81)*$AX81</f>
        <v>0</v>
      </c>
      <c r="GK81" s="10">
        <f t="shared" ref="GK81:GK90" si="333">(BY81/$GF81)*$AX81</f>
        <v>0</v>
      </c>
      <c r="GL81" s="10">
        <f t="shared" ref="GL81:GL90" si="334">(BZ81/$GF81)*$AX81</f>
        <v>0</v>
      </c>
      <c r="GM81" s="10">
        <f t="shared" ref="GM81:GM90" si="335">(CA81/$GF81)*$AX81</f>
        <v>0</v>
      </c>
      <c r="GN81" s="10">
        <f t="shared" ref="GN81:GN90" si="336">(CB81/$GF81)*$AX81</f>
        <v>0</v>
      </c>
      <c r="GO81" s="10">
        <f t="shared" ref="GO81:GO90" si="337">(CC81/$GF81)*$AX81</f>
        <v>0</v>
      </c>
      <c r="GP81" s="10">
        <f t="shared" ref="GP81:GP90" si="338">(CD81/$GF81)*$AX81</f>
        <v>0</v>
      </c>
      <c r="GQ81" s="10">
        <f t="shared" ref="GQ81:GQ90" si="339">(CE81/$GF81)*$AX81</f>
        <v>0</v>
      </c>
      <c r="GR81" s="10">
        <f t="shared" ref="GR81:GR90" si="340">(CF81/$GF81)*$AX81</f>
        <v>0</v>
      </c>
      <c r="GS81" s="10">
        <f t="shared" ref="GS81:GS90" si="341">(CG81/$GF81)*$AX81</f>
        <v>0</v>
      </c>
      <c r="GT81" s="10">
        <f t="shared" ref="GT81:GT90" si="342">(CH81/$GF81)*$AX81</f>
        <v>0</v>
      </c>
      <c r="GU81" s="10">
        <f t="shared" ref="GU81:GU90" si="343">(CI81/$GF81)*$AX81</f>
        <v>0</v>
      </c>
      <c r="GV81" s="10">
        <f t="shared" ref="GV81:GV90" si="344">(CJ81/$GF81)*$AX81</f>
        <v>0</v>
      </c>
      <c r="GW81" s="10">
        <f t="shared" ref="GW81:GW90" si="345">(CK81/$GF81)*$AX81</f>
        <v>0</v>
      </c>
      <c r="GX81" s="10">
        <f t="shared" ref="GX81:GX90" si="346">(CL81/$GF81)*$AX81</f>
        <v>21.565217391304348</v>
      </c>
      <c r="GY81" s="10">
        <f t="shared" ref="GY81:GY90" si="347">(CM81/$GF81)*$AX81</f>
        <v>0</v>
      </c>
      <c r="GZ81" s="10">
        <f t="shared" ref="GZ81:GZ90" si="348">(CN81/$GF81)*$AX81</f>
        <v>733.21739130434787</v>
      </c>
      <c r="HA81" s="10">
        <f t="shared" ref="HA81:HA90" si="349">(CO81/$GF81)*$AX81</f>
        <v>0</v>
      </c>
      <c r="HB81" s="10">
        <f t="shared" ref="HB81:HB90" si="350">(CP81/$GF81)*$AX81</f>
        <v>0</v>
      </c>
      <c r="HC81" s="10">
        <f t="shared" ref="HC81:HC90" si="351">(CQ81/$GF81)*$AX81</f>
        <v>0</v>
      </c>
      <c r="HD81" s="10">
        <f t="shared" ref="HD81:HD90" si="352">(CR81/$GF81)*$AX81</f>
        <v>0</v>
      </c>
      <c r="HE81" s="10">
        <f t="shared" ref="HE81:HE90" si="353">(CS81/$GF81)*$AX81</f>
        <v>0</v>
      </c>
      <c r="HF81" s="10">
        <f t="shared" ref="HF81:HF90" si="354">(CT81/$GF81)*$AX81</f>
        <v>0</v>
      </c>
      <c r="HG81" s="10">
        <f t="shared" ref="HG81:HG90" si="355">(CU81/$GF81)*$AX81</f>
        <v>0</v>
      </c>
      <c r="HH81" s="10">
        <f t="shared" ref="HH81:HH90" si="356">(CV81/$GF81)*$AX81</f>
        <v>0</v>
      </c>
      <c r="HI81" s="10">
        <f t="shared" ref="HI81:HI90" si="357">(CW81/$GF81)*$AX81</f>
        <v>0</v>
      </c>
      <c r="HJ81" s="10">
        <f t="shared" ref="HJ81:HJ90" si="358">(CX81/$GF81)*$AX81</f>
        <v>0</v>
      </c>
      <c r="HK81" s="10">
        <f t="shared" ref="HK81:HK90" si="359">(CY81/$GF81)*$AX81</f>
        <v>0</v>
      </c>
      <c r="HL81" s="10">
        <f t="shared" ref="HL81:HL90" si="360">(CZ81/$GF81)*$AX81</f>
        <v>0</v>
      </c>
      <c r="HM81" s="10">
        <f t="shared" ref="HM81:HM90" si="361">(DA81/$GF81)*$AX81</f>
        <v>0</v>
      </c>
      <c r="HN81" s="10">
        <f t="shared" ref="HN81:HN90" si="362">(DB81/$GF81)*$AX81</f>
        <v>0</v>
      </c>
      <c r="HO81" s="10">
        <f t="shared" ref="HO81:HO90" si="363">(DC81/$GF81)*$AX81</f>
        <v>0</v>
      </c>
      <c r="HP81" s="10">
        <f t="shared" ref="HP81:HP90" si="364">(DD81/$GF81)*$AX81</f>
        <v>0</v>
      </c>
      <c r="HQ81" s="10">
        <f t="shared" ref="HQ81:HQ90" si="365">(DE81/$GF81)*$AX81</f>
        <v>0</v>
      </c>
      <c r="HR81" s="10">
        <f t="shared" ref="HR81:HR90" si="366">(DF81/$GF81)*$AX81</f>
        <v>0</v>
      </c>
      <c r="HS81" s="10">
        <f t="shared" ref="HS81:HS90" si="367">(DG81/$GF81)*$AX81</f>
        <v>0</v>
      </c>
      <c r="HT81" s="10">
        <f t="shared" ref="HT81:HT90" si="368">(DH81/$GF81)*$AX81</f>
        <v>0</v>
      </c>
      <c r="HU81" s="10">
        <f t="shared" ref="HU81:HU90" si="369">(DI81/$GF81)*$AX81</f>
        <v>10.782608695652174</v>
      </c>
      <c r="HV81" s="10">
        <f t="shared" ref="HV81:HV90" si="370">(DJ81/$GF81)*$AX81</f>
        <v>10.782608695652174</v>
      </c>
      <c r="HW81" s="10">
        <f t="shared" ref="HW81:HW90" si="371">(DK81/$GF81)*$AX81</f>
        <v>0</v>
      </c>
      <c r="HX81" s="10">
        <f t="shared" ref="HX81:HX90" si="372">(DL81/$GF81)*$AX81</f>
        <v>0</v>
      </c>
      <c r="HY81" s="10">
        <f t="shared" ref="HY81:HY90" si="373">(DM81/$GF81)*$AX81</f>
        <v>32.34782608695653</v>
      </c>
      <c r="HZ81" s="10">
        <f t="shared" ref="HZ81:HZ90" si="374">(DN81/$GF81)*$AX81</f>
        <v>0</v>
      </c>
      <c r="IA81" s="10">
        <f t="shared" ref="IA81:IA90" si="375">(DO81/$GF81)*$AX81</f>
        <v>0</v>
      </c>
      <c r="IB81" s="10">
        <f t="shared" ref="IB81:IB90" si="376">(DP81/$GF81)*$AX81</f>
        <v>0</v>
      </c>
      <c r="IC81" s="10">
        <f t="shared" ref="IC81:IC90" si="377">(DQ81/$GF81)*$AX81</f>
        <v>0</v>
      </c>
      <c r="ID81" s="10">
        <f t="shared" ref="ID81:ID90" si="378">(DR81/$GF81)*$AX81</f>
        <v>0</v>
      </c>
      <c r="IE81" s="10">
        <f t="shared" ref="IE81:IE90" si="379">(DS81/$GF81)*$AX81</f>
        <v>0</v>
      </c>
      <c r="IF81" s="10">
        <f t="shared" ref="IF81:IF90" si="380">(DT81/$GF81)*$AX81</f>
        <v>0</v>
      </c>
      <c r="IG81" s="10">
        <f t="shared" ref="IG81:IG90" si="381">(DU81/$GF81)*$AX81</f>
        <v>0</v>
      </c>
      <c r="IH81" s="10">
        <f t="shared" ref="IH81:IH90" si="382">(DV81/$GF81)*$AX81</f>
        <v>0</v>
      </c>
      <c r="II81" s="10">
        <f t="shared" ref="II81:II90" si="383">(DW81/$GF81)*$AX81</f>
        <v>0</v>
      </c>
      <c r="IJ81" s="10">
        <f t="shared" ref="IJ81:IJ90" si="384">(DX81/$GF81)*$AX81</f>
        <v>0</v>
      </c>
      <c r="IK81" s="10">
        <f t="shared" ref="IK81:IK90" si="385">(DY81/$GF81)*$AX81</f>
        <v>0</v>
      </c>
      <c r="IL81" s="10">
        <f t="shared" ref="IL81:IL90" si="386">(DZ81/$GF81)*$AX81</f>
        <v>0</v>
      </c>
      <c r="IM81" s="10">
        <f t="shared" ref="IM81:IM90" si="387">(EA81/$GF81)*$AX81</f>
        <v>0</v>
      </c>
      <c r="IN81" s="10">
        <f t="shared" ref="IN81:IN90" si="388">(EB81/$GF81)*$AX81</f>
        <v>0</v>
      </c>
      <c r="IO81" s="10">
        <f t="shared" ref="IO81:IO90" si="389">(EC81/$GF81)*$AX81</f>
        <v>0</v>
      </c>
      <c r="IP81" s="10">
        <f t="shared" ref="IP81:IP90" si="390">(ED81/$GF81)*$AX81</f>
        <v>0</v>
      </c>
      <c r="IQ81" s="10">
        <f t="shared" ref="IQ81:IQ90" si="391">(EE81/$GF81)*$AX81</f>
        <v>0</v>
      </c>
      <c r="IR81" s="10">
        <f t="shared" ref="IR81:IR90" si="392">(EF81/$GF81)*$AX81</f>
        <v>0</v>
      </c>
      <c r="IS81" s="10">
        <f t="shared" ref="IS81:IS90" si="393">(EG81/$GF81)*$AX81</f>
        <v>0</v>
      </c>
      <c r="IT81" s="10">
        <f t="shared" ref="IT81:IT90" si="394">(EH81/$GF81)*$AX81</f>
        <v>0</v>
      </c>
      <c r="IU81" s="10">
        <f t="shared" ref="IU81:IU90" si="395">(EI81/$GF81)*$AX81</f>
        <v>0</v>
      </c>
      <c r="IV81" s="10">
        <f t="shared" ref="IV81:IV90" si="396">(EJ81/$GF81)*$AX81</f>
        <v>0</v>
      </c>
      <c r="IW81" s="10">
        <f t="shared" ref="IW81:IW90" si="397">(EK81/$GF81)*$AX81</f>
        <v>0</v>
      </c>
      <c r="IX81" s="10">
        <f t="shared" ref="IX81:IX90" si="398">(EL81/$GF81)*$AX81</f>
        <v>0</v>
      </c>
      <c r="IY81" s="10">
        <f t="shared" ref="IY81:IY90" si="399">(EM81/$GF81)*$AX81</f>
        <v>0</v>
      </c>
      <c r="IZ81" s="10">
        <f t="shared" ref="IZ81:IZ90" si="400">(EN81/$GF81)*$AX81</f>
        <v>0</v>
      </c>
      <c r="JA81" s="10">
        <f t="shared" ref="JA81:JA90" si="401">(EO81/$GF81)*$AX81</f>
        <v>0</v>
      </c>
      <c r="JB81" s="10">
        <f t="shared" ref="JB81:JB90" si="402">(EP81/$GF81)*$AX81</f>
        <v>10.782608695652174</v>
      </c>
      <c r="JC81" s="10">
        <f t="shared" ref="JC81:JC90" si="403">(EQ81/$GF81)*$AX81</f>
        <v>0</v>
      </c>
      <c r="JD81" s="10">
        <f t="shared" ref="JD81:JD90" si="404">(ER81/$GF81)*$AX81</f>
        <v>10.782608695652174</v>
      </c>
      <c r="JE81" s="10">
        <f t="shared" ref="JE81:JE90" si="405">(ES81/$GF81)*$AX81</f>
        <v>0</v>
      </c>
      <c r="JF81" s="10">
        <f t="shared" ref="JF81:JF90" si="406">(ET81/$GF81)*$AX81</f>
        <v>0</v>
      </c>
      <c r="JG81" s="10">
        <v>0</v>
      </c>
      <c r="JH81" s="10">
        <f t="shared" ref="JH81:JH90" si="407">(EV81/$GF81)*$AX81</f>
        <v>0</v>
      </c>
      <c r="JI81" s="10">
        <f t="shared" ref="JI81:JI90" si="408">(EX81/$GF81)*$AX81</f>
        <v>0</v>
      </c>
      <c r="JJ81" s="10">
        <f t="shared" ref="JJ81:JJ90" si="409">(EY81/$GF81)*$AX81</f>
        <v>0</v>
      </c>
      <c r="JK81" s="10">
        <f t="shared" ref="JK81:JK90" si="410">(EZ81/$GF81)*$AX81</f>
        <v>0</v>
      </c>
      <c r="JL81" s="10">
        <f t="shared" ref="JL81:JL90" si="411">(FA81/$GF81)*$AX81</f>
        <v>0</v>
      </c>
      <c r="JM81" s="10">
        <f t="shared" ref="JM81:JM90" si="412">(FB81/$GF81)*$AX81</f>
        <v>0</v>
      </c>
      <c r="JN81" s="10">
        <f t="shared" ref="JN81:JN90" si="413">(FC81/$GF81)*$AX81</f>
        <v>10.782608695652174</v>
      </c>
      <c r="JO81" s="10">
        <f t="shared" ref="JO81:JO90" si="414">(FD81/$GF81)*$AX81</f>
        <v>0</v>
      </c>
      <c r="JP81" s="10">
        <f t="shared" ref="JP81:JP90" si="415">(FE81/$GF81)*$AX81</f>
        <v>0</v>
      </c>
      <c r="JQ81" s="10">
        <f t="shared" ref="JQ81:JQ90" si="416">(FF81/$GF81)*$AX81</f>
        <v>0</v>
      </c>
      <c r="JR81" s="10">
        <f t="shared" ref="JR81:JR90" si="417">(FG81/$GF81)*$AX81</f>
        <v>10.782608695652174</v>
      </c>
      <c r="JS81" s="10">
        <f t="shared" ref="JS81:JS90" si="418">(FH81/$GF81)*$AX81</f>
        <v>0</v>
      </c>
      <c r="JT81" s="10">
        <f t="shared" ref="JT81:JT90" si="419">(FI81/$GF81)*$AX81</f>
        <v>0</v>
      </c>
      <c r="JU81" s="10">
        <f t="shared" ref="JU81:JU90" si="420">(FJ81/$GF81)*$AX81</f>
        <v>0</v>
      </c>
      <c r="JV81" s="10">
        <f t="shared" ref="JV81:JV90" si="421">(FK81/$GF81)*$AX81</f>
        <v>0</v>
      </c>
      <c r="JW81" s="10">
        <f t="shared" ref="JW81:JW90" si="422">(FL81/$GF81)*$AX81</f>
        <v>0</v>
      </c>
      <c r="JX81" s="10">
        <f t="shared" ref="JX81:JX90" si="423">(FM81/$GF81)*$AX81</f>
        <v>0</v>
      </c>
      <c r="JY81" s="10">
        <f t="shared" ref="JY81:JY90" si="424">(FN81/$GF81)*$AX81</f>
        <v>0</v>
      </c>
      <c r="JZ81" s="10">
        <f t="shared" ref="JZ81:JZ90" si="425">(FO81/$GF81)*$AX81</f>
        <v>0</v>
      </c>
      <c r="KA81" s="10">
        <f t="shared" ref="KA81:KA90" si="426">(FP81/$GF81)*$AX81</f>
        <v>0</v>
      </c>
      <c r="KB81" s="10">
        <f t="shared" ref="KB81:KB90" si="427">(FQ81/$GF81)*$AX81</f>
        <v>53.913043478260867</v>
      </c>
      <c r="KC81" s="10">
        <f t="shared" ref="KC81:KC90" si="428">(FR81/$GF81)*$AX81</f>
        <v>248</v>
      </c>
      <c r="KD81" s="10">
        <f t="shared" ref="KD81:KD90" si="429">(FS81/$GF81)*$AX81</f>
        <v>10.782608695652174</v>
      </c>
      <c r="KE81" s="10">
        <f t="shared" ref="KE81:KE90" si="430">(FT81/$GF81)*$AX81</f>
        <v>0</v>
      </c>
      <c r="KF81" s="10">
        <f t="shared" ref="KF81:KF90" si="431">(FU81/$GF81)*$AX81</f>
        <v>21.565217391304348</v>
      </c>
      <c r="KG81" s="10">
        <f t="shared" ref="KG81:KG90" si="432">(FV81/$GF81)*$AX81</f>
        <v>0</v>
      </c>
      <c r="KH81" s="10">
        <f t="shared" ref="KH81:KH90" si="433">(FW81/$GF81)*$AX81</f>
        <v>0</v>
      </c>
      <c r="KI81" s="10">
        <f t="shared" ref="KI81:KI90" si="434">(FX81/$GF81)*$AX81</f>
        <v>10.782608695652174</v>
      </c>
      <c r="KJ81" s="10">
        <f t="shared" ref="KJ81:KJ90" si="435">(FY81/$GF81)*$AX81</f>
        <v>0</v>
      </c>
      <c r="KK81" s="10">
        <f t="shared" ref="KK81:KK90" si="436">(FZ81/$GF81)*$AX81</f>
        <v>0</v>
      </c>
      <c r="KL81" s="10">
        <f t="shared" ref="KL81:KL90" si="437">(GA81/$GF81)*$AX81</f>
        <v>21.565217391304348</v>
      </c>
      <c r="KM81" s="10">
        <f t="shared" ref="KM81:KM90" si="438">(GB81/$GF81)*$AX81</f>
        <v>0</v>
      </c>
      <c r="KN81" s="10">
        <f t="shared" ref="KN81:KN90" si="439">(GC81/$GF81)*$AX81</f>
        <v>10.782608695652174</v>
      </c>
      <c r="KO81" s="10">
        <f t="shared" ref="KO81:KO90" si="440">(GD81/$GF81)*$AX81</f>
        <v>0</v>
      </c>
      <c r="KP81" s="10">
        <f t="shared" ref="KP81:KP90" si="441">(GE81/$GF81)*$AX81</f>
        <v>0</v>
      </c>
      <c r="KQ81" s="11">
        <v>1239.9999999999998</v>
      </c>
      <c r="KR81" s="16"/>
      <c r="KS81" s="12">
        <v>6574.6465656163791</v>
      </c>
      <c r="KT81" s="26">
        <v>72</v>
      </c>
      <c r="KU81" s="26">
        <v>0.19444444444444445</v>
      </c>
      <c r="KV81" s="26">
        <v>1</v>
      </c>
      <c r="KW81" s="26"/>
      <c r="KX81" s="26"/>
      <c r="KY81" s="26"/>
      <c r="KZ81" s="26"/>
      <c r="LA81" s="17"/>
      <c r="LB81" s="2">
        <v>180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62</v>
      </c>
      <c r="LM81" s="1">
        <v>5</v>
      </c>
      <c r="LN81" s="1">
        <v>70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34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8</v>
      </c>
      <c r="ME81" s="1">
        <v>0</v>
      </c>
      <c r="MF81" s="1">
        <v>0</v>
      </c>
      <c r="MG81" s="1">
        <v>0</v>
      </c>
      <c r="MH81" s="1">
        <v>0</v>
      </c>
      <c r="MI81" s="1">
        <v>1</v>
      </c>
      <c r="MJ81" s="1">
        <v>0</v>
      </c>
      <c r="MK81" s="28"/>
      <c r="ML81" t="s">
        <v>897</v>
      </c>
      <c r="MM81" t="s">
        <v>458</v>
      </c>
      <c r="MN81" t="s">
        <v>320</v>
      </c>
      <c r="MO81" t="s">
        <v>337</v>
      </c>
      <c r="MP81" t="s">
        <v>338</v>
      </c>
      <c r="MQ81" t="s">
        <v>339</v>
      </c>
      <c r="MR81">
        <v>0.1</v>
      </c>
      <c r="MS81" t="s">
        <v>459</v>
      </c>
      <c r="MT81" t="s">
        <v>460</v>
      </c>
      <c r="MU81" t="s">
        <v>461</v>
      </c>
      <c r="MV81">
        <v>2630</v>
      </c>
      <c r="MW81" s="13">
        <v>388</v>
      </c>
      <c r="MX81" s="13" t="s">
        <v>462</v>
      </c>
      <c r="MY81" t="s">
        <v>240</v>
      </c>
      <c r="MZ81" t="s">
        <v>241</v>
      </c>
      <c r="NA81" t="s">
        <v>242</v>
      </c>
      <c r="NB81" t="s">
        <v>282</v>
      </c>
      <c r="ND81" s="18">
        <v>43271</v>
      </c>
      <c r="NE81" s="19">
        <v>5.5555555555555552E-2</v>
      </c>
      <c r="NF81" t="s">
        <v>463</v>
      </c>
      <c r="NG81" t="s">
        <v>245</v>
      </c>
      <c r="NH81" t="s">
        <v>246</v>
      </c>
      <c r="NI81">
        <v>94.2</v>
      </c>
      <c r="NJ81" t="s">
        <v>244</v>
      </c>
      <c r="NK81">
        <v>4</v>
      </c>
      <c r="NL81" t="s">
        <v>247</v>
      </c>
      <c r="NM81">
        <v>29.656079999999999</v>
      </c>
      <c r="NN81">
        <v>84.875770000000003</v>
      </c>
      <c r="NO81" t="s">
        <v>248</v>
      </c>
      <c r="NP81" t="s">
        <v>249</v>
      </c>
      <c r="NQ81">
        <v>12</v>
      </c>
      <c r="NR81" t="s">
        <v>247</v>
      </c>
      <c r="NS81" t="s">
        <v>464</v>
      </c>
      <c r="NT81" t="s">
        <v>244</v>
      </c>
      <c r="NU81" t="s">
        <v>244</v>
      </c>
      <c r="NV81" t="s">
        <v>248</v>
      </c>
      <c r="NW81" t="s">
        <v>460</v>
      </c>
      <c r="NX81" t="s">
        <v>461</v>
      </c>
      <c r="NY81">
        <v>97</v>
      </c>
      <c r="NZ81">
        <v>96</v>
      </c>
      <c r="OA81">
        <v>86.3</v>
      </c>
      <c r="OB81" s="14">
        <v>6574.6465656163791</v>
      </c>
      <c r="OC81" t="s">
        <v>248</v>
      </c>
      <c r="OD81" t="s">
        <v>247</v>
      </c>
      <c r="OE81" t="s">
        <v>371</v>
      </c>
      <c r="OF81" t="s">
        <v>465</v>
      </c>
      <c r="OG81" t="s">
        <v>247</v>
      </c>
      <c r="OH81">
        <v>75</v>
      </c>
      <c r="OI81" t="s">
        <v>460</v>
      </c>
      <c r="OJ81" t="s">
        <v>466</v>
      </c>
      <c r="OK81">
        <v>72</v>
      </c>
      <c r="OL81">
        <v>0.19444444444444445</v>
      </c>
      <c r="OM81">
        <v>1</v>
      </c>
      <c r="OR81" t="s">
        <v>911</v>
      </c>
      <c r="OS81" t="s">
        <v>911</v>
      </c>
    </row>
    <row r="82" spans="1:409" x14ac:dyDescent="0.25">
      <c r="A82">
        <v>81</v>
      </c>
      <c r="B82" s="1">
        <v>182</v>
      </c>
      <c r="C82" s="1">
        <v>96</v>
      </c>
      <c r="D82" s="1">
        <v>67</v>
      </c>
      <c r="E82" s="1">
        <v>0</v>
      </c>
      <c r="F82" s="1">
        <v>21</v>
      </c>
      <c r="G82" s="1">
        <v>2</v>
      </c>
      <c r="H82" s="1">
        <v>0</v>
      </c>
      <c r="I82" s="1">
        <v>12</v>
      </c>
      <c r="J82" s="1">
        <v>51</v>
      </c>
      <c r="K82" s="1">
        <v>0</v>
      </c>
      <c r="L82" s="1">
        <v>0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2">
        <v>432</v>
      </c>
      <c r="Y82" s="3"/>
      <c r="Z82" s="15">
        <f t="shared" si="307"/>
        <v>9.5695490638690828</v>
      </c>
      <c r="AA82" s="15">
        <f t="shared" si="308"/>
        <v>5.0476742314913832</v>
      </c>
      <c r="AB82" s="15">
        <f t="shared" si="309"/>
        <v>3.5228559740616956</v>
      </c>
      <c r="AC82" s="15">
        <f t="shared" si="310"/>
        <v>0</v>
      </c>
      <c r="AD82" s="15">
        <f t="shared" si="311"/>
        <v>1.1041787381387402</v>
      </c>
      <c r="AE82" s="15">
        <f t="shared" si="312"/>
        <v>0.10515987982273718</v>
      </c>
      <c r="AF82" s="15">
        <f t="shared" si="313"/>
        <v>0</v>
      </c>
      <c r="AG82" s="15">
        <f t="shared" si="314"/>
        <v>0.6309592789364229</v>
      </c>
      <c r="AH82" s="15">
        <f t="shared" si="315"/>
        <v>2.6815769354797983</v>
      </c>
      <c r="AI82" s="15">
        <f t="shared" si="316"/>
        <v>0</v>
      </c>
      <c r="AJ82" s="15">
        <f t="shared" si="317"/>
        <v>0</v>
      </c>
      <c r="AK82" s="15">
        <f t="shared" si="318"/>
        <v>0</v>
      </c>
      <c r="AL82" s="15">
        <f t="shared" si="319"/>
        <v>5.2579939911368591E-2</v>
      </c>
      <c r="AM82" s="15">
        <f t="shared" si="320"/>
        <v>0</v>
      </c>
      <c r="AN82" s="15">
        <f t="shared" si="321"/>
        <v>0</v>
      </c>
      <c r="AO82" s="15">
        <f t="shared" si="322"/>
        <v>0</v>
      </c>
      <c r="AP82" s="15">
        <f t="shared" si="323"/>
        <v>0</v>
      </c>
      <c r="AQ82" s="15">
        <f t="shared" si="324"/>
        <v>0</v>
      </c>
      <c r="AR82" s="15">
        <f t="shared" si="325"/>
        <v>0</v>
      </c>
      <c r="AS82" s="15">
        <f t="shared" si="326"/>
        <v>0</v>
      </c>
      <c r="AT82" s="15">
        <f t="shared" si="327"/>
        <v>0</v>
      </c>
      <c r="AU82" s="15">
        <f t="shared" si="328"/>
        <v>0</v>
      </c>
      <c r="AV82" s="5">
        <f t="shared" si="329"/>
        <v>22.714534041711229</v>
      </c>
      <c r="AW82" s="16"/>
      <c r="AX82" s="6">
        <v>6066.666666666667</v>
      </c>
      <c r="AY82" s="6">
        <v>3200</v>
      </c>
      <c r="AZ82" s="6">
        <v>2233.3333333333335</v>
      </c>
      <c r="BA82" s="6">
        <v>0</v>
      </c>
      <c r="BB82" s="6">
        <v>700</v>
      </c>
      <c r="BC82" s="6">
        <v>66.666666666666671</v>
      </c>
      <c r="BD82" s="6">
        <v>0</v>
      </c>
      <c r="BE82" s="6">
        <v>400</v>
      </c>
      <c r="BF82" s="6">
        <v>1700</v>
      </c>
      <c r="BG82" s="6">
        <v>0</v>
      </c>
      <c r="BH82" s="6">
        <v>0</v>
      </c>
      <c r="BI82" s="6">
        <v>0</v>
      </c>
      <c r="BJ82" s="6">
        <v>33.333333333333336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7">
        <v>14400.000000000002</v>
      </c>
      <c r="BU82" s="16"/>
      <c r="BV82" s="8">
        <v>0</v>
      </c>
      <c r="BW82" s="8">
        <v>1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3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81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2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1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1</v>
      </c>
      <c r="FO82" s="8">
        <v>0</v>
      </c>
      <c r="FP82" s="8">
        <v>0</v>
      </c>
      <c r="FQ82" s="8">
        <v>10.000000000000002</v>
      </c>
      <c r="FR82" s="8">
        <v>0</v>
      </c>
      <c r="FS82" s="8">
        <v>1</v>
      </c>
      <c r="FT82" s="8">
        <v>0</v>
      </c>
      <c r="FU82" s="8">
        <v>13.999999999999998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1</v>
      </c>
      <c r="GF82" s="9">
        <v>115</v>
      </c>
      <c r="GG82" s="3"/>
      <c r="GH82" s="10">
        <f t="shared" si="330"/>
        <v>0</v>
      </c>
      <c r="GI82" s="10">
        <f t="shared" si="331"/>
        <v>52.753623188405797</v>
      </c>
      <c r="GJ82" s="10">
        <f t="shared" si="332"/>
        <v>0</v>
      </c>
      <c r="GK82" s="10">
        <f t="shared" si="333"/>
        <v>0</v>
      </c>
      <c r="GL82" s="10">
        <f t="shared" si="334"/>
        <v>0</v>
      </c>
      <c r="GM82" s="10">
        <f t="shared" si="335"/>
        <v>0</v>
      </c>
      <c r="GN82" s="10">
        <f t="shared" si="336"/>
        <v>0</v>
      </c>
      <c r="GO82" s="10">
        <f t="shared" si="337"/>
        <v>0</v>
      </c>
      <c r="GP82" s="10">
        <f t="shared" si="338"/>
        <v>0</v>
      </c>
      <c r="GQ82" s="10">
        <f t="shared" si="339"/>
        <v>0</v>
      </c>
      <c r="GR82" s="10">
        <f t="shared" si="340"/>
        <v>158.26086956521738</v>
      </c>
      <c r="GS82" s="10">
        <f t="shared" si="341"/>
        <v>0</v>
      </c>
      <c r="GT82" s="10">
        <f t="shared" si="342"/>
        <v>0</v>
      </c>
      <c r="GU82" s="10">
        <f t="shared" si="343"/>
        <v>0</v>
      </c>
      <c r="GV82" s="10">
        <f t="shared" si="344"/>
        <v>0</v>
      </c>
      <c r="GW82" s="10">
        <f t="shared" si="345"/>
        <v>0</v>
      </c>
      <c r="GX82" s="10">
        <f t="shared" si="346"/>
        <v>0</v>
      </c>
      <c r="GY82" s="10">
        <f t="shared" si="347"/>
        <v>0</v>
      </c>
      <c r="GZ82" s="10">
        <f t="shared" si="348"/>
        <v>4273.04347826087</v>
      </c>
      <c r="HA82" s="10">
        <f t="shared" si="349"/>
        <v>0</v>
      </c>
      <c r="HB82" s="10">
        <f t="shared" si="350"/>
        <v>0</v>
      </c>
      <c r="HC82" s="10">
        <f t="shared" si="351"/>
        <v>0</v>
      </c>
      <c r="HD82" s="10">
        <f t="shared" si="352"/>
        <v>0</v>
      </c>
      <c r="HE82" s="10">
        <f t="shared" si="353"/>
        <v>0</v>
      </c>
      <c r="HF82" s="10">
        <f t="shared" si="354"/>
        <v>0</v>
      </c>
      <c r="HG82" s="10">
        <f t="shared" si="355"/>
        <v>0</v>
      </c>
      <c r="HH82" s="10">
        <f t="shared" si="356"/>
        <v>0</v>
      </c>
      <c r="HI82" s="10">
        <f t="shared" si="357"/>
        <v>0</v>
      </c>
      <c r="HJ82" s="10">
        <f t="shared" si="358"/>
        <v>0</v>
      </c>
      <c r="HK82" s="10">
        <f t="shared" si="359"/>
        <v>0</v>
      </c>
      <c r="HL82" s="10">
        <f t="shared" si="360"/>
        <v>0</v>
      </c>
      <c r="HM82" s="10">
        <f t="shared" si="361"/>
        <v>0</v>
      </c>
      <c r="HN82" s="10">
        <f t="shared" si="362"/>
        <v>0</v>
      </c>
      <c r="HO82" s="10">
        <f t="shared" si="363"/>
        <v>0</v>
      </c>
      <c r="HP82" s="10">
        <f t="shared" si="364"/>
        <v>0</v>
      </c>
      <c r="HQ82" s="10">
        <f t="shared" si="365"/>
        <v>0</v>
      </c>
      <c r="HR82" s="10">
        <f t="shared" si="366"/>
        <v>0</v>
      </c>
      <c r="HS82" s="10">
        <f t="shared" si="367"/>
        <v>0</v>
      </c>
      <c r="HT82" s="10">
        <f t="shared" si="368"/>
        <v>0</v>
      </c>
      <c r="HU82" s="10">
        <f t="shared" si="369"/>
        <v>0</v>
      </c>
      <c r="HV82" s="10">
        <f t="shared" si="370"/>
        <v>0</v>
      </c>
      <c r="HW82" s="10">
        <f t="shared" si="371"/>
        <v>0</v>
      </c>
      <c r="HX82" s="10">
        <f t="shared" si="372"/>
        <v>0</v>
      </c>
      <c r="HY82" s="10">
        <f t="shared" si="373"/>
        <v>105.50724637681159</v>
      </c>
      <c r="HZ82" s="10">
        <f t="shared" si="374"/>
        <v>0</v>
      </c>
      <c r="IA82" s="10">
        <f t="shared" si="375"/>
        <v>0</v>
      </c>
      <c r="IB82" s="10">
        <f t="shared" si="376"/>
        <v>0</v>
      </c>
      <c r="IC82" s="10">
        <f t="shared" si="377"/>
        <v>0</v>
      </c>
      <c r="ID82" s="10">
        <f t="shared" si="378"/>
        <v>0</v>
      </c>
      <c r="IE82" s="10">
        <f t="shared" si="379"/>
        <v>0</v>
      </c>
      <c r="IF82" s="10">
        <f t="shared" si="380"/>
        <v>0</v>
      </c>
      <c r="IG82" s="10">
        <f t="shared" si="381"/>
        <v>0</v>
      </c>
      <c r="IH82" s="10">
        <f t="shared" si="382"/>
        <v>0</v>
      </c>
      <c r="II82" s="10">
        <f t="shared" si="383"/>
        <v>0</v>
      </c>
      <c r="IJ82" s="10">
        <f t="shared" si="384"/>
        <v>0</v>
      </c>
      <c r="IK82" s="10">
        <f t="shared" si="385"/>
        <v>0</v>
      </c>
      <c r="IL82" s="10">
        <f t="shared" si="386"/>
        <v>0</v>
      </c>
      <c r="IM82" s="10">
        <f t="shared" si="387"/>
        <v>0</v>
      </c>
      <c r="IN82" s="10">
        <f t="shared" si="388"/>
        <v>0</v>
      </c>
      <c r="IO82" s="10">
        <f t="shared" si="389"/>
        <v>0</v>
      </c>
      <c r="IP82" s="10">
        <f t="shared" si="390"/>
        <v>0</v>
      </c>
      <c r="IQ82" s="10">
        <f t="shared" si="391"/>
        <v>52.753623188405797</v>
      </c>
      <c r="IR82" s="10">
        <f t="shared" si="392"/>
        <v>0</v>
      </c>
      <c r="IS82" s="10">
        <f t="shared" si="393"/>
        <v>0</v>
      </c>
      <c r="IT82" s="10">
        <f t="shared" si="394"/>
        <v>0</v>
      </c>
      <c r="IU82" s="10">
        <f t="shared" si="395"/>
        <v>0</v>
      </c>
      <c r="IV82" s="10">
        <f t="shared" si="396"/>
        <v>0</v>
      </c>
      <c r="IW82" s="10">
        <f t="shared" si="397"/>
        <v>0</v>
      </c>
      <c r="IX82" s="10">
        <f t="shared" si="398"/>
        <v>0</v>
      </c>
      <c r="IY82" s="10">
        <f t="shared" si="399"/>
        <v>0</v>
      </c>
      <c r="IZ82" s="10">
        <f t="shared" si="400"/>
        <v>0</v>
      </c>
      <c r="JA82" s="10">
        <f t="shared" si="401"/>
        <v>0</v>
      </c>
      <c r="JB82" s="10">
        <f t="shared" si="402"/>
        <v>0</v>
      </c>
      <c r="JC82" s="10">
        <f t="shared" si="403"/>
        <v>0</v>
      </c>
      <c r="JD82" s="10">
        <f t="shared" si="404"/>
        <v>0</v>
      </c>
      <c r="JE82" s="10">
        <f t="shared" si="405"/>
        <v>0</v>
      </c>
      <c r="JF82" s="10">
        <f t="shared" si="406"/>
        <v>0</v>
      </c>
      <c r="JG82" s="10">
        <v>0</v>
      </c>
      <c r="JH82" s="10">
        <f t="shared" si="407"/>
        <v>0</v>
      </c>
      <c r="JI82" s="10">
        <f t="shared" si="408"/>
        <v>0</v>
      </c>
      <c r="JJ82" s="10">
        <f t="shared" si="409"/>
        <v>0</v>
      </c>
      <c r="JK82" s="10">
        <f t="shared" si="410"/>
        <v>0</v>
      </c>
      <c r="JL82" s="10">
        <f t="shared" si="411"/>
        <v>0</v>
      </c>
      <c r="JM82" s="10">
        <f t="shared" si="412"/>
        <v>0</v>
      </c>
      <c r="JN82" s="10">
        <f t="shared" si="413"/>
        <v>0</v>
      </c>
      <c r="JO82" s="10">
        <f t="shared" si="414"/>
        <v>0</v>
      </c>
      <c r="JP82" s="10">
        <f t="shared" si="415"/>
        <v>0</v>
      </c>
      <c r="JQ82" s="10">
        <f t="shared" si="416"/>
        <v>0</v>
      </c>
      <c r="JR82" s="10">
        <f t="shared" si="417"/>
        <v>0</v>
      </c>
      <c r="JS82" s="10">
        <f t="shared" si="418"/>
        <v>0</v>
      </c>
      <c r="JT82" s="10">
        <f t="shared" si="419"/>
        <v>0</v>
      </c>
      <c r="JU82" s="10">
        <f t="shared" si="420"/>
        <v>0</v>
      </c>
      <c r="JV82" s="10">
        <f t="shared" si="421"/>
        <v>0</v>
      </c>
      <c r="JW82" s="10">
        <f t="shared" si="422"/>
        <v>0</v>
      </c>
      <c r="JX82" s="10">
        <f t="shared" si="423"/>
        <v>0</v>
      </c>
      <c r="JY82" s="10">
        <f t="shared" si="424"/>
        <v>52.753623188405797</v>
      </c>
      <c r="JZ82" s="10">
        <f t="shared" si="425"/>
        <v>0</v>
      </c>
      <c r="KA82" s="10">
        <f t="shared" si="426"/>
        <v>0</v>
      </c>
      <c r="KB82" s="10">
        <f t="shared" si="427"/>
        <v>527.53623188405811</v>
      </c>
      <c r="KC82" s="10">
        <f t="shared" si="428"/>
        <v>0</v>
      </c>
      <c r="KD82" s="10">
        <f t="shared" si="429"/>
        <v>52.753623188405797</v>
      </c>
      <c r="KE82" s="10">
        <f t="shared" si="430"/>
        <v>0</v>
      </c>
      <c r="KF82" s="10">
        <f t="shared" si="431"/>
        <v>738.55072463768113</v>
      </c>
      <c r="KG82" s="10">
        <f t="shared" si="432"/>
        <v>0</v>
      </c>
      <c r="KH82" s="10">
        <f t="shared" si="433"/>
        <v>0</v>
      </c>
      <c r="KI82" s="10">
        <f t="shared" si="434"/>
        <v>0</v>
      </c>
      <c r="KJ82" s="10">
        <f t="shared" si="435"/>
        <v>0</v>
      </c>
      <c r="KK82" s="10">
        <f t="shared" si="436"/>
        <v>0</v>
      </c>
      <c r="KL82" s="10">
        <f t="shared" si="437"/>
        <v>0</v>
      </c>
      <c r="KM82" s="10">
        <f t="shared" si="438"/>
        <v>0</v>
      </c>
      <c r="KN82" s="10">
        <f t="shared" si="439"/>
        <v>0</v>
      </c>
      <c r="KO82" s="10">
        <f t="shared" si="440"/>
        <v>0</v>
      </c>
      <c r="KP82" s="10">
        <f t="shared" si="441"/>
        <v>52.753623188405797</v>
      </c>
      <c r="KQ82" s="11">
        <v>6066.6666666666679</v>
      </c>
      <c r="KR82" s="16"/>
      <c r="KS82" s="12">
        <v>6339.5533333666208</v>
      </c>
      <c r="KT82" s="26">
        <v>98</v>
      </c>
      <c r="KU82" s="26">
        <v>0</v>
      </c>
      <c r="KV82" s="26"/>
      <c r="KW82" s="26">
        <v>-14.95</v>
      </c>
      <c r="KX82" s="26">
        <v>12.53</v>
      </c>
      <c r="KY82" s="27">
        <v>2.8556744060968122</v>
      </c>
      <c r="KZ82" s="27">
        <v>3.3312238492436581</v>
      </c>
      <c r="LA82" s="17"/>
      <c r="LB82" s="2">
        <v>1268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368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80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820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28"/>
      <c r="ML82" t="s">
        <v>898</v>
      </c>
      <c r="MM82" t="s">
        <v>467</v>
      </c>
      <c r="MN82" t="s">
        <v>320</v>
      </c>
      <c r="MO82" t="s">
        <v>321</v>
      </c>
      <c r="MP82" t="s">
        <v>322</v>
      </c>
      <c r="MQ82" t="s">
        <v>323</v>
      </c>
      <c r="MR82">
        <v>0.03</v>
      </c>
      <c r="MS82" t="s">
        <v>468</v>
      </c>
      <c r="MT82" t="s">
        <v>469</v>
      </c>
      <c r="MU82" t="s">
        <v>470</v>
      </c>
      <c r="MV82">
        <v>14400</v>
      </c>
      <c r="MW82" s="13">
        <v>416</v>
      </c>
      <c r="MX82" s="13" t="s">
        <v>471</v>
      </c>
      <c r="MY82" t="s">
        <v>240</v>
      </c>
      <c r="MZ82" t="s">
        <v>241</v>
      </c>
      <c r="NA82" t="s">
        <v>242</v>
      </c>
      <c r="NB82" t="s">
        <v>264</v>
      </c>
      <c r="ND82" s="18">
        <v>43276</v>
      </c>
      <c r="NE82" s="19">
        <v>0.98611111111111116</v>
      </c>
      <c r="NF82" t="s">
        <v>472</v>
      </c>
      <c r="NG82" t="s">
        <v>245</v>
      </c>
      <c r="NH82" t="s">
        <v>246</v>
      </c>
      <c r="NI82">
        <v>76</v>
      </c>
      <c r="NJ82" t="s">
        <v>244</v>
      </c>
      <c r="NK82">
        <v>4</v>
      </c>
      <c r="NL82" t="s">
        <v>247</v>
      </c>
      <c r="NM82">
        <v>29.62454</v>
      </c>
      <c r="NN82">
        <v>-84.935640000000006</v>
      </c>
      <c r="NO82" t="s">
        <v>248</v>
      </c>
      <c r="NP82" t="s">
        <v>266</v>
      </c>
      <c r="NQ82" t="s">
        <v>244</v>
      </c>
      <c r="NR82" t="s">
        <v>247</v>
      </c>
      <c r="NS82" t="s">
        <v>244</v>
      </c>
      <c r="NT82" t="s">
        <v>473</v>
      </c>
      <c r="NU82" t="s">
        <v>244</v>
      </c>
      <c r="NV82" t="s">
        <v>247</v>
      </c>
      <c r="NW82" t="s">
        <v>469</v>
      </c>
      <c r="NX82" t="s">
        <v>470</v>
      </c>
      <c r="NY82">
        <v>93.1</v>
      </c>
      <c r="NZ82">
        <v>93.8</v>
      </c>
      <c r="OA82">
        <v>86.7</v>
      </c>
      <c r="OB82" s="14">
        <v>6339.5533333666208</v>
      </c>
      <c r="OC82" t="s">
        <v>248</v>
      </c>
      <c r="OD82" t="s">
        <v>247</v>
      </c>
      <c r="OE82" t="s">
        <v>248</v>
      </c>
      <c r="OF82" t="s">
        <v>474</v>
      </c>
      <c r="OG82" t="s">
        <v>247</v>
      </c>
      <c r="OH82">
        <v>80</v>
      </c>
      <c r="OI82" t="s">
        <v>469</v>
      </c>
      <c r="OJ82" t="s">
        <v>475</v>
      </c>
      <c r="OK82">
        <v>98</v>
      </c>
      <c r="OL82">
        <v>0</v>
      </c>
      <c r="ON82">
        <v>-14.95</v>
      </c>
      <c r="OO82">
        <v>12.53</v>
      </c>
      <c r="OP82" s="25">
        <v>2.8556744060968122</v>
      </c>
      <c r="OQ82" s="25">
        <v>3.3312238492436581</v>
      </c>
      <c r="OR82" t="s">
        <v>911</v>
      </c>
      <c r="OS82" t="s">
        <v>911</v>
      </c>
    </row>
    <row r="83" spans="1:409" x14ac:dyDescent="0.25">
      <c r="A83">
        <v>82</v>
      </c>
      <c r="B83" s="1">
        <v>210</v>
      </c>
      <c r="C83" s="1">
        <v>101</v>
      </c>
      <c r="D83" s="1">
        <v>35</v>
      </c>
      <c r="E83" s="1">
        <v>4</v>
      </c>
      <c r="F83" s="1">
        <v>44</v>
      </c>
      <c r="G83" s="1">
        <v>0</v>
      </c>
      <c r="H83" s="1">
        <v>0</v>
      </c>
      <c r="I83" s="1">
        <v>0</v>
      </c>
      <c r="J83" s="1">
        <v>32</v>
      </c>
      <c r="K83" s="1">
        <v>0</v>
      </c>
      <c r="L83" s="1">
        <v>0</v>
      </c>
      <c r="M83" s="1">
        <v>0</v>
      </c>
      <c r="N83" s="1">
        <v>33</v>
      </c>
      <c r="O83" s="1">
        <v>0</v>
      </c>
      <c r="P83" s="1">
        <v>0</v>
      </c>
      <c r="Q83" s="1">
        <v>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2">
        <v>464</v>
      </c>
      <c r="Y83" s="3"/>
      <c r="Z83" s="15">
        <f t="shared" si="307"/>
        <v>6.625072428832441</v>
      </c>
      <c r="AA83" s="15">
        <f t="shared" si="308"/>
        <v>3.1863443586289364</v>
      </c>
      <c r="AB83" s="15">
        <f t="shared" si="309"/>
        <v>1.1041787381387402</v>
      </c>
      <c r="AC83" s="15">
        <f t="shared" si="310"/>
        <v>0.12619185578728462</v>
      </c>
      <c r="AD83" s="15">
        <f t="shared" si="311"/>
        <v>1.3881104136601305</v>
      </c>
      <c r="AE83" s="15">
        <f t="shared" si="312"/>
        <v>0</v>
      </c>
      <c r="AF83" s="15">
        <f t="shared" si="313"/>
        <v>0</v>
      </c>
      <c r="AG83" s="15">
        <f t="shared" si="314"/>
        <v>0</v>
      </c>
      <c r="AH83" s="15">
        <f t="shared" si="315"/>
        <v>1.0095348462982769</v>
      </c>
      <c r="AI83" s="15">
        <f t="shared" si="316"/>
        <v>0</v>
      </c>
      <c r="AJ83" s="15">
        <f t="shared" si="317"/>
        <v>0</v>
      </c>
      <c r="AK83" s="15">
        <f t="shared" si="318"/>
        <v>0</v>
      </c>
      <c r="AL83" s="15">
        <f t="shared" si="319"/>
        <v>1.041082810245098</v>
      </c>
      <c r="AM83" s="15">
        <f t="shared" si="320"/>
        <v>0</v>
      </c>
      <c r="AN83" s="15">
        <f t="shared" si="321"/>
        <v>0</v>
      </c>
      <c r="AO83" s="15">
        <f t="shared" si="322"/>
        <v>0.15773981973410572</v>
      </c>
      <c r="AP83" s="15">
        <f t="shared" si="323"/>
        <v>0</v>
      </c>
      <c r="AQ83" s="15">
        <f t="shared" si="324"/>
        <v>0</v>
      </c>
      <c r="AR83" s="15">
        <f t="shared" si="325"/>
        <v>0</v>
      </c>
      <c r="AS83" s="15">
        <f t="shared" si="326"/>
        <v>0</v>
      </c>
      <c r="AT83" s="15">
        <f t="shared" si="327"/>
        <v>0</v>
      </c>
      <c r="AU83" s="15">
        <f t="shared" si="328"/>
        <v>0</v>
      </c>
      <c r="AV83" s="5">
        <f t="shared" si="329"/>
        <v>14.638255271325013</v>
      </c>
      <c r="AW83" s="16"/>
      <c r="AX83" s="6">
        <v>4200</v>
      </c>
      <c r="AY83" s="6">
        <v>2020</v>
      </c>
      <c r="AZ83" s="6">
        <v>700</v>
      </c>
      <c r="BA83" s="6">
        <v>80</v>
      </c>
      <c r="BB83" s="6">
        <v>880</v>
      </c>
      <c r="BC83" s="6">
        <v>0</v>
      </c>
      <c r="BD83" s="6">
        <v>0</v>
      </c>
      <c r="BE83" s="6">
        <v>0</v>
      </c>
      <c r="BF83" s="6">
        <v>640</v>
      </c>
      <c r="BG83" s="6">
        <v>0</v>
      </c>
      <c r="BH83" s="6">
        <v>0</v>
      </c>
      <c r="BI83" s="6">
        <v>0</v>
      </c>
      <c r="BJ83" s="6">
        <v>660</v>
      </c>
      <c r="BK83" s="6">
        <v>0</v>
      </c>
      <c r="BL83" s="6">
        <v>0</v>
      </c>
      <c r="BM83" s="6">
        <v>100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7">
        <v>9280</v>
      </c>
      <c r="BU83" s="16"/>
      <c r="BV83" s="8">
        <v>0</v>
      </c>
      <c r="BW83" s="8">
        <v>3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3</v>
      </c>
      <c r="CG83" s="8">
        <v>0</v>
      </c>
      <c r="CH83" s="8">
        <v>1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72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1</v>
      </c>
      <c r="DT83" s="8">
        <v>0</v>
      </c>
      <c r="DU83" s="8">
        <v>0</v>
      </c>
      <c r="DV83" s="8">
        <v>0</v>
      </c>
      <c r="DW83" s="8">
        <v>2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9</v>
      </c>
      <c r="FR83" s="8">
        <v>0</v>
      </c>
      <c r="FS83" s="8">
        <v>0</v>
      </c>
      <c r="FT83" s="8">
        <v>0</v>
      </c>
      <c r="FU83" s="8">
        <v>22</v>
      </c>
      <c r="FV83" s="8">
        <v>1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1</v>
      </c>
      <c r="GD83" s="8">
        <v>0</v>
      </c>
      <c r="GE83" s="8">
        <v>0</v>
      </c>
      <c r="GF83" s="9">
        <v>115</v>
      </c>
      <c r="GG83" s="3"/>
      <c r="GH83" s="10">
        <f t="shared" si="330"/>
        <v>0</v>
      </c>
      <c r="GI83" s="10">
        <f t="shared" si="331"/>
        <v>109.56521739130434</v>
      </c>
      <c r="GJ83" s="10">
        <f t="shared" si="332"/>
        <v>0</v>
      </c>
      <c r="GK83" s="10">
        <f t="shared" si="333"/>
        <v>0</v>
      </c>
      <c r="GL83" s="10">
        <f t="shared" si="334"/>
        <v>0</v>
      </c>
      <c r="GM83" s="10">
        <f t="shared" si="335"/>
        <v>0</v>
      </c>
      <c r="GN83" s="10">
        <f t="shared" si="336"/>
        <v>0</v>
      </c>
      <c r="GO83" s="10">
        <f t="shared" si="337"/>
        <v>0</v>
      </c>
      <c r="GP83" s="10">
        <f t="shared" si="338"/>
        <v>0</v>
      </c>
      <c r="GQ83" s="10">
        <f t="shared" si="339"/>
        <v>0</v>
      </c>
      <c r="GR83" s="10">
        <f t="shared" si="340"/>
        <v>109.56521739130434</v>
      </c>
      <c r="GS83" s="10">
        <f t="shared" si="341"/>
        <v>0</v>
      </c>
      <c r="GT83" s="10">
        <f t="shared" si="342"/>
        <v>36.521739130434781</v>
      </c>
      <c r="GU83" s="10">
        <f t="shared" si="343"/>
        <v>0</v>
      </c>
      <c r="GV83" s="10">
        <f t="shared" si="344"/>
        <v>0</v>
      </c>
      <c r="GW83" s="10">
        <f t="shared" si="345"/>
        <v>0</v>
      </c>
      <c r="GX83" s="10">
        <f t="shared" si="346"/>
        <v>0</v>
      </c>
      <c r="GY83" s="10">
        <f t="shared" si="347"/>
        <v>0</v>
      </c>
      <c r="GZ83" s="10">
        <f t="shared" si="348"/>
        <v>2629.5652173913045</v>
      </c>
      <c r="HA83" s="10">
        <f t="shared" si="349"/>
        <v>0</v>
      </c>
      <c r="HB83" s="10">
        <f t="shared" si="350"/>
        <v>0</v>
      </c>
      <c r="HC83" s="10">
        <f t="shared" si="351"/>
        <v>0</v>
      </c>
      <c r="HD83" s="10">
        <f t="shared" si="352"/>
        <v>0</v>
      </c>
      <c r="HE83" s="10">
        <f t="shared" si="353"/>
        <v>0</v>
      </c>
      <c r="HF83" s="10">
        <f t="shared" si="354"/>
        <v>0</v>
      </c>
      <c r="HG83" s="10">
        <f t="shared" si="355"/>
        <v>0</v>
      </c>
      <c r="HH83" s="10">
        <f t="shared" si="356"/>
        <v>0</v>
      </c>
      <c r="HI83" s="10">
        <f t="shared" si="357"/>
        <v>0</v>
      </c>
      <c r="HJ83" s="10">
        <f t="shared" si="358"/>
        <v>0</v>
      </c>
      <c r="HK83" s="10">
        <f t="shared" si="359"/>
        <v>0</v>
      </c>
      <c r="HL83" s="10">
        <f t="shared" si="360"/>
        <v>0</v>
      </c>
      <c r="HM83" s="10">
        <f t="shared" si="361"/>
        <v>0</v>
      </c>
      <c r="HN83" s="10">
        <f t="shared" si="362"/>
        <v>0</v>
      </c>
      <c r="HO83" s="10">
        <f t="shared" si="363"/>
        <v>0</v>
      </c>
      <c r="HP83" s="10">
        <f t="shared" si="364"/>
        <v>0</v>
      </c>
      <c r="HQ83" s="10">
        <f t="shared" si="365"/>
        <v>0</v>
      </c>
      <c r="HR83" s="10">
        <f t="shared" si="366"/>
        <v>0</v>
      </c>
      <c r="HS83" s="10">
        <f t="shared" si="367"/>
        <v>0</v>
      </c>
      <c r="HT83" s="10">
        <f t="shared" si="368"/>
        <v>0</v>
      </c>
      <c r="HU83" s="10">
        <f t="shared" si="369"/>
        <v>0</v>
      </c>
      <c r="HV83" s="10">
        <f t="shared" si="370"/>
        <v>0</v>
      </c>
      <c r="HW83" s="10">
        <f t="shared" si="371"/>
        <v>0</v>
      </c>
      <c r="HX83" s="10">
        <f t="shared" si="372"/>
        <v>0</v>
      </c>
      <c r="HY83" s="10">
        <f t="shared" si="373"/>
        <v>0</v>
      </c>
      <c r="HZ83" s="10">
        <f t="shared" si="374"/>
        <v>0</v>
      </c>
      <c r="IA83" s="10">
        <f t="shared" si="375"/>
        <v>0</v>
      </c>
      <c r="IB83" s="10">
        <f t="shared" si="376"/>
        <v>0</v>
      </c>
      <c r="IC83" s="10">
        <f t="shared" si="377"/>
        <v>0</v>
      </c>
      <c r="ID83" s="10">
        <f t="shared" si="378"/>
        <v>0</v>
      </c>
      <c r="IE83" s="10">
        <f t="shared" si="379"/>
        <v>36.521739130434781</v>
      </c>
      <c r="IF83" s="10">
        <f t="shared" si="380"/>
        <v>0</v>
      </c>
      <c r="IG83" s="10">
        <f t="shared" si="381"/>
        <v>0</v>
      </c>
      <c r="IH83" s="10">
        <f t="shared" si="382"/>
        <v>0</v>
      </c>
      <c r="II83" s="10">
        <f t="shared" si="383"/>
        <v>73.043478260869563</v>
      </c>
      <c r="IJ83" s="10">
        <f t="shared" si="384"/>
        <v>0</v>
      </c>
      <c r="IK83" s="10">
        <f t="shared" si="385"/>
        <v>0</v>
      </c>
      <c r="IL83" s="10">
        <f t="shared" si="386"/>
        <v>0</v>
      </c>
      <c r="IM83" s="10">
        <f t="shared" si="387"/>
        <v>0</v>
      </c>
      <c r="IN83" s="10">
        <f t="shared" si="388"/>
        <v>0</v>
      </c>
      <c r="IO83" s="10">
        <f t="shared" si="389"/>
        <v>0</v>
      </c>
      <c r="IP83" s="10">
        <f t="shared" si="390"/>
        <v>0</v>
      </c>
      <c r="IQ83" s="10">
        <f t="shared" si="391"/>
        <v>0</v>
      </c>
      <c r="IR83" s="10">
        <f t="shared" si="392"/>
        <v>0</v>
      </c>
      <c r="IS83" s="10">
        <f t="shared" si="393"/>
        <v>0</v>
      </c>
      <c r="IT83" s="10">
        <f t="shared" si="394"/>
        <v>0</v>
      </c>
      <c r="IU83" s="10">
        <f t="shared" si="395"/>
        <v>0</v>
      </c>
      <c r="IV83" s="10">
        <f t="shared" si="396"/>
        <v>0</v>
      </c>
      <c r="IW83" s="10">
        <f t="shared" si="397"/>
        <v>0</v>
      </c>
      <c r="IX83" s="10">
        <f t="shared" si="398"/>
        <v>0</v>
      </c>
      <c r="IY83" s="10">
        <f t="shared" si="399"/>
        <v>0</v>
      </c>
      <c r="IZ83" s="10">
        <f t="shared" si="400"/>
        <v>0</v>
      </c>
      <c r="JA83" s="10">
        <f t="shared" si="401"/>
        <v>0</v>
      </c>
      <c r="JB83" s="10">
        <f t="shared" si="402"/>
        <v>0</v>
      </c>
      <c r="JC83" s="10">
        <f t="shared" si="403"/>
        <v>0</v>
      </c>
      <c r="JD83" s="10">
        <f t="shared" si="404"/>
        <v>0</v>
      </c>
      <c r="JE83" s="10">
        <f t="shared" si="405"/>
        <v>0</v>
      </c>
      <c r="JF83" s="10">
        <f t="shared" si="406"/>
        <v>0</v>
      </c>
      <c r="JG83" s="10">
        <v>0</v>
      </c>
      <c r="JH83" s="10">
        <f t="shared" si="407"/>
        <v>0</v>
      </c>
      <c r="JI83" s="10">
        <f t="shared" si="408"/>
        <v>0</v>
      </c>
      <c r="JJ83" s="10">
        <f t="shared" si="409"/>
        <v>0</v>
      </c>
      <c r="JK83" s="10">
        <f t="shared" si="410"/>
        <v>0</v>
      </c>
      <c r="JL83" s="10">
        <f t="shared" si="411"/>
        <v>0</v>
      </c>
      <c r="JM83" s="10">
        <f t="shared" si="412"/>
        <v>0</v>
      </c>
      <c r="JN83" s="10">
        <f t="shared" si="413"/>
        <v>0</v>
      </c>
      <c r="JO83" s="10">
        <f t="shared" si="414"/>
        <v>0</v>
      </c>
      <c r="JP83" s="10">
        <f t="shared" si="415"/>
        <v>0</v>
      </c>
      <c r="JQ83" s="10">
        <f t="shared" si="416"/>
        <v>0</v>
      </c>
      <c r="JR83" s="10">
        <f t="shared" si="417"/>
        <v>0</v>
      </c>
      <c r="JS83" s="10">
        <f t="shared" si="418"/>
        <v>0</v>
      </c>
      <c r="JT83" s="10">
        <f t="shared" si="419"/>
        <v>0</v>
      </c>
      <c r="JU83" s="10">
        <f t="shared" si="420"/>
        <v>0</v>
      </c>
      <c r="JV83" s="10">
        <f t="shared" si="421"/>
        <v>0</v>
      </c>
      <c r="JW83" s="10">
        <f t="shared" si="422"/>
        <v>0</v>
      </c>
      <c r="JX83" s="10">
        <f t="shared" si="423"/>
        <v>0</v>
      </c>
      <c r="JY83" s="10">
        <f t="shared" si="424"/>
        <v>0</v>
      </c>
      <c r="JZ83" s="10">
        <f t="shared" si="425"/>
        <v>0</v>
      </c>
      <c r="KA83" s="10">
        <f t="shared" si="426"/>
        <v>0</v>
      </c>
      <c r="KB83" s="10">
        <f t="shared" si="427"/>
        <v>328.69565217391306</v>
      </c>
      <c r="KC83" s="10">
        <f t="shared" si="428"/>
        <v>0</v>
      </c>
      <c r="KD83" s="10">
        <f t="shared" si="429"/>
        <v>0</v>
      </c>
      <c r="KE83" s="10">
        <f t="shared" si="430"/>
        <v>0</v>
      </c>
      <c r="KF83" s="10">
        <f t="shared" si="431"/>
        <v>803.47826086956525</v>
      </c>
      <c r="KG83" s="10">
        <f t="shared" si="432"/>
        <v>36.521739130434781</v>
      </c>
      <c r="KH83" s="10">
        <f t="shared" si="433"/>
        <v>0</v>
      </c>
      <c r="KI83" s="10">
        <f t="shared" si="434"/>
        <v>0</v>
      </c>
      <c r="KJ83" s="10">
        <f t="shared" si="435"/>
        <v>0</v>
      </c>
      <c r="KK83" s="10">
        <f t="shared" si="436"/>
        <v>0</v>
      </c>
      <c r="KL83" s="10">
        <f t="shared" si="437"/>
        <v>0</v>
      </c>
      <c r="KM83" s="10">
        <f t="shared" si="438"/>
        <v>0</v>
      </c>
      <c r="KN83" s="10">
        <f t="shared" si="439"/>
        <v>36.521739130434781</v>
      </c>
      <c r="KO83" s="10">
        <f t="shared" si="440"/>
        <v>0</v>
      </c>
      <c r="KP83" s="10">
        <f t="shared" si="441"/>
        <v>0</v>
      </c>
      <c r="KQ83" s="11">
        <v>4200.0000000000009</v>
      </c>
      <c r="KR83" s="16"/>
      <c r="KS83" s="12">
        <v>6339.5533333666208</v>
      </c>
      <c r="KT83" s="26">
        <v>98</v>
      </c>
      <c r="KU83" s="26">
        <v>0</v>
      </c>
      <c r="KV83" s="26"/>
      <c r="KW83" s="26">
        <v>-14.95</v>
      </c>
      <c r="KX83" s="26">
        <v>12.53</v>
      </c>
      <c r="KY83" s="27">
        <v>2.8556744060968122</v>
      </c>
      <c r="KZ83" s="27">
        <v>3.3312238492436581</v>
      </c>
      <c r="LA83" s="17"/>
      <c r="LB83" s="2">
        <v>2380</v>
      </c>
      <c r="LC83" s="1">
        <v>4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1260</v>
      </c>
      <c r="LM83" s="1">
        <v>112</v>
      </c>
      <c r="LN83" s="1">
        <v>4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400</v>
      </c>
      <c r="LU83" s="1">
        <v>0</v>
      </c>
      <c r="LV83" s="1">
        <v>0</v>
      </c>
      <c r="LW83" s="1">
        <v>0</v>
      </c>
      <c r="LX83" s="1">
        <v>0</v>
      </c>
      <c r="LY83" s="1">
        <v>4</v>
      </c>
      <c r="LZ83" s="1">
        <v>0</v>
      </c>
      <c r="MA83" s="1">
        <v>0</v>
      </c>
      <c r="MB83" s="1">
        <v>0</v>
      </c>
      <c r="MC83" s="1">
        <v>0</v>
      </c>
      <c r="MD83" s="1">
        <v>596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28"/>
      <c r="ML83" t="s">
        <v>899</v>
      </c>
      <c r="MM83" t="s">
        <v>476</v>
      </c>
      <c r="MN83" t="s">
        <v>320</v>
      </c>
      <c r="MO83" t="s">
        <v>334</v>
      </c>
      <c r="MP83" t="s">
        <v>335</v>
      </c>
      <c r="MQ83" t="s">
        <v>336</v>
      </c>
      <c r="MR83">
        <v>0.05</v>
      </c>
      <c r="MS83" t="s">
        <v>468</v>
      </c>
      <c r="MT83" t="s">
        <v>469</v>
      </c>
      <c r="MU83" t="s">
        <v>470</v>
      </c>
      <c r="MV83">
        <v>9280</v>
      </c>
      <c r="MW83" s="13">
        <v>416</v>
      </c>
      <c r="MX83" s="13" t="s">
        <v>471</v>
      </c>
      <c r="MY83" t="s">
        <v>240</v>
      </c>
      <c r="MZ83" t="s">
        <v>241</v>
      </c>
      <c r="NA83" t="s">
        <v>242</v>
      </c>
      <c r="NB83" t="s">
        <v>264</v>
      </c>
      <c r="ND83" s="18">
        <v>43276</v>
      </c>
      <c r="NE83" s="19">
        <v>0.98611111111111116</v>
      </c>
      <c r="NF83" t="s">
        <v>472</v>
      </c>
      <c r="NG83" t="s">
        <v>245</v>
      </c>
      <c r="NH83" t="s">
        <v>246</v>
      </c>
      <c r="NI83">
        <v>76</v>
      </c>
      <c r="NJ83" t="s">
        <v>244</v>
      </c>
      <c r="NK83">
        <v>4</v>
      </c>
      <c r="NL83" t="s">
        <v>247</v>
      </c>
      <c r="NM83">
        <v>29.62454</v>
      </c>
      <c r="NN83">
        <v>-84.935640000000006</v>
      </c>
      <c r="NO83" t="s">
        <v>248</v>
      </c>
      <c r="NP83" t="s">
        <v>266</v>
      </c>
      <c r="NQ83" t="s">
        <v>244</v>
      </c>
      <c r="NR83" t="s">
        <v>247</v>
      </c>
      <c r="NS83" t="s">
        <v>244</v>
      </c>
      <c r="NT83" t="s">
        <v>473</v>
      </c>
      <c r="NU83" t="s">
        <v>244</v>
      </c>
      <c r="NV83" t="s">
        <v>247</v>
      </c>
      <c r="NW83" t="s">
        <v>469</v>
      </c>
      <c r="NX83" t="s">
        <v>470</v>
      </c>
      <c r="NY83">
        <v>93.1</v>
      </c>
      <c r="NZ83">
        <v>93.8</v>
      </c>
      <c r="OA83">
        <v>86.7</v>
      </c>
      <c r="OB83" s="14">
        <v>6339.5533333666208</v>
      </c>
      <c r="OC83" t="s">
        <v>248</v>
      </c>
      <c r="OD83" t="s">
        <v>247</v>
      </c>
      <c r="OE83" t="s">
        <v>248</v>
      </c>
      <c r="OF83" t="s">
        <v>474</v>
      </c>
      <c r="OG83" t="s">
        <v>247</v>
      </c>
      <c r="OH83">
        <v>79</v>
      </c>
      <c r="OI83" t="s">
        <v>469</v>
      </c>
      <c r="OJ83" t="s">
        <v>475</v>
      </c>
      <c r="OK83">
        <v>98</v>
      </c>
      <c r="OL83">
        <v>0</v>
      </c>
      <c r="ON83">
        <v>-14.95</v>
      </c>
      <c r="OO83">
        <v>12.53</v>
      </c>
      <c r="OP83" s="25">
        <v>2.8556744060968122</v>
      </c>
      <c r="OQ83" s="25">
        <v>3.3312238492436581</v>
      </c>
      <c r="OR83" t="s">
        <v>911</v>
      </c>
      <c r="OS83" t="s">
        <v>911</v>
      </c>
    </row>
    <row r="84" spans="1:409" x14ac:dyDescent="0.25">
      <c r="A84">
        <v>83</v>
      </c>
      <c r="B84" s="1">
        <v>167</v>
      </c>
      <c r="C84" s="1">
        <v>73</v>
      </c>
      <c r="D84" s="1">
        <v>27</v>
      </c>
      <c r="E84" s="1">
        <v>0</v>
      </c>
      <c r="F84" s="1">
        <v>57</v>
      </c>
      <c r="G84" s="1">
        <v>0</v>
      </c>
      <c r="H84" s="1">
        <v>0</v>
      </c>
      <c r="I84" s="1">
        <v>35</v>
      </c>
      <c r="J84" s="1">
        <v>50</v>
      </c>
      <c r="K84" s="1">
        <v>0</v>
      </c>
      <c r="L84" s="1">
        <v>0</v>
      </c>
      <c r="M84" s="1">
        <v>0</v>
      </c>
      <c r="N84" s="1">
        <v>4</v>
      </c>
      <c r="O84" s="1">
        <v>0</v>
      </c>
      <c r="P84" s="1">
        <v>0</v>
      </c>
      <c r="Q84" s="1">
        <v>12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2">
        <v>425</v>
      </c>
      <c r="Y84" s="3"/>
      <c r="Z84" s="15">
        <f t="shared" si="307"/>
        <v>13.17127494779783</v>
      </c>
      <c r="AA84" s="15">
        <f t="shared" si="308"/>
        <v>5.7575034202948601</v>
      </c>
      <c r="AB84" s="15">
        <f t="shared" si="309"/>
        <v>2.1294875664104276</v>
      </c>
      <c r="AC84" s="15">
        <f t="shared" si="310"/>
        <v>0</v>
      </c>
      <c r="AD84" s="15">
        <f t="shared" si="311"/>
        <v>4.4955848624220138</v>
      </c>
      <c r="AE84" s="15">
        <f t="shared" si="312"/>
        <v>0</v>
      </c>
      <c r="AF84" s="15">
        <f t="shared" si="313"/>
        <v>0</v>
      </c>
      <c r="AG84" s="15">
        <f t="shared" si="314"/>
        <v>2.7604468453468507</v>
      </c>
      <c r="AH84" s="15">
        <f t="shared" si="315"/>
        <v>3.943495493352644</v>
      </c>
      <c r="AI84" s="15">
        <f t="shared" si="316"/>
        <v>0</v>
      </c>
      <c r="AJ84" s="15">
        <f t="shared" si="317"/>
        <v>0</v>
      </c>
      <c r="AK84" s="15">
        <f t="shared" si="318"/>
        <v>0</v>
      </c>
      <c r="AL84" s="15">
        <f t="shared" si="319"/>
        <v>0.31547963946821145</v>
      </c>
      <c r="AM84" s="15">
        <f t="shared" si="320"/>
        <v>0</v>
      </c>
      <c r="AN84" s="15">
        <f t="shared" si="321"/>
        <v>0</v>
      </c>
      <c r="AO84" s="15">
        <f t="shared" si="322"/>
        <v>0.94643891840463457</v>
      </c>
      <c r="AP84" s="15">
        <f t="shared" si="323"/>
        <v>0</v>
      </c>
      <c r="AQ84" s="15">
        <f t="shared" si="324"/>
        <v>0</v>
      </c>
      <c r="AR84" s="15">
        <f t="shared" si="325"/>
        <v>0</v>
      </c>
      <c r="AS84" s="15">
        <f t="shared" si="326"/>
        <v>0</v>
      </c>
      <c r="AT84" s="15">
        <f t="shared" si="327"/>
        <v>0</v>
      </c>
      <c r="AU84" s="15">
        <f t="shared" si="328"/>
        <v>0</v>
      </c>
      <c r="AV84" s="5">
        <f t="shared" si="329"/>
        <v>33.51971169349747</v>
      </c>
      <c r="AW84" s="16"/>
      <c r="AX84" s="6">
        <v>8350</v>
      </c>
      <c r="AY84" s="6">
        <v>3650</v>
      </c>
      <c r="AZ84" s="6">
        <v>1350</v>
      </c>
      <c r="BA84" s="6">
        <v>0</v>
      </c>
      <c r="BB84" s="6">
        <v>2850</v>
      </c>
      <c r="BC84" s="6">
        <v>0</v>
      </c>
      <c r="BD84" s="6">
        <v>0</v>
      </c>
      <c r="BE84" s="6">
        <v>1750</v>
      </c>
      <c r="BF84" s="6">
        <v>2500</v>
      </c>
      <c r="BG84" s="6">
        <v>0</v>
      </c>
      <c r="BH84" s="6">
        <v>0</v>
      </c>
      <c r="BI84" s="6">
        <v>0</v>
      </c>
      <c r="BJ84" s="6">
        <v>200</v>
      </c>
      <c r="BK84" s="6">
        <v>0</v>
      </c>
      <c r="BL84" s="6">
        <v>0</v>
      </c>
      <c r="BM84" s="6">
        <v>600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7">
        <v>21250</v>
      </c>
      <c r="BU84" s="16"/>
      <c r="BV84" s="8">
        <v>0</v>
      </c>
      <c r="BW84" s="8">
        <v>10</v>
      </c>
      <c r="BX84" s="8">
        <v>3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4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25.999999999999996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1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1</v>
      </c>
      <c r="DN84" s="8">
        <v>1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1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14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3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1</v>
      </c>
      <c r="ET84" s="8">
        <v>0</v>
      </c>
      <c r="EU84" s="8">
        <v>0</v>
      </c>
      <c r="EV84" s="8">
        <v>0</v>
      </c>
      <c r="EW84" s="8">
        <v>0</v>
      </c>
      <c r="EX84" s="8">
        <v>0</v>
      </c>
      <c r="EY84" s="8">
        <v>0</v>
      </c>
      <c r="EZ84" s="8">
        <v>1</v>
      </c>
      <c r="FA84" s="8">
        <v>0</v>
      </c>
      <c r="FB84" s="8">
        <v>0</v>
      </c>
      <c r="FC84" s="8">
        <v>1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28</v>
      </c>
      <c r="FR84" s="8">
        <v>0</v>
      </c>
      <c r="FS84" s="8">
        <v>0</v>
      </c>
      <c r="FT84" s="8">
        <v>0</v>
      </c>
      <c r="FU84" s="8">
        <v>4</v>
      </c>
      <c r="FV84" s="8">
        <v>3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4</v>
      </c>
      <c r="GD84" s="8">
        <v>0</v>
      </c>
      <c r="GE84" s="8">
        <v>0</v>
      </c>
      <c r="GF84" s="9">
        <v>106</v>
      </c>
      <c r="GG84" s="3"/>
      <c r="GH84" s="10">
        <f t="shared" si="330"/>
        <v>0</v>
      </c>
      <c r="GI84" s="10">
        <f t="shared" si="331"/>
        <v>787.7358490566038</v>
      </c>
      <c r="GJ84" s="10">
        <f t="shared" si="332"/>
        <v>236.32075471698113</v>
      </c>
      <c r="GK84" s="10">
        <f t="shared" si="333"/>
        <v>0</v>
      </c>
      <c r="GL84" s="10">
        <f t="shared" si="334"/>
        <v>0</v>
      </c>
      <c r="GM84" s="10">
        <f t="shared" si="335"/>
        <v>0</v>
      </c>
      <c r="GN84" s="10">
        <f t="shared" si="336"/>
        <v>0</v>
      </c>
      <c r="GO84" s="10">
        <f t="shared" si="337"/>
        <v>0</v>
      </c>
      <c r="GP84" s="10">
        <f t="shared" si="338"/>
        <v>0</v>
      </c>
      <c r="GQ84" s="10">
        <f t="shared" si="339"/>
        <v>0</v>
      </c>
      <c r="GR84" s="10">
        <f t="shared" si="340"/>
        <v>315.09433962264148</v>
      </c>
      <c r="GS84" s="10">
        <f t="shared" si="341"/>
        <v>0</v>
      </c>
      <c r="GT84" s="10">
        <f t="shared" si="342"/>
        <v>0</v>
      </c>
      <c r="GU84" s="10">
        <f t="shared" si="343"/>
        <v>0</v>
      </c>
      <c r="GV84" s="10">
        <f t="shared" si="344"/>
        <v>0</v>
      </c>
      <c r="GW84" s="10">
        <f t="shared" si="345"/>
        <v>0</v>
      </c>
      <c r="GX84" s="10">
        <f t="shared" si="346"/>
        <v>0</v>
      </c>
      <c r="GY84" s="10">
        <f t="shared" si="347"/>
        <v>0</v>
      </c>
      <c r="GZ84" s="10">
        <f t="shared" si="348"/>
        <v>2048.1132075471696</v>
      </c>
      <c r="HA84" s="10">
        <f t="shared" si="349"/>
        <v>0</v>
      </c>
      <c r="HB84" s="10">
        <f t="shared" si="350"/>
        <v>0</v>
      </c>
      <c r="HC84" s="10">
        <f t="shared" si="351"/>
        <v>0</v>
      </c>
      <c r="HD84" s="10">
        <f t="shared" si="352"/>
        <v>0</v>
      </c>
      <c r="HE84" s="10">
        <f t="shared" si="353"/>
        <v>0</v>
      </c>
      <c r="HF84" s="10">
        <f t="shared" si="354"/>
        <v>0</v>
      </c>
      <c r="HG84" s="10">
        <f t="shared" si="355"/>
        <v>0</v>
      </c>
      <c r="HH84" s="10">
        <f t="shared" si="356"/>
        <v>0</v>
      </c>
      <c r="HI84" s="10">
        <f t="shared" si="357"/>
        <v>0</v>
      </c>
      <c r="HJ84" s="10">
        <f t="shared" si="358"/>
        <v>0</v>
      </c>
      <c r="HK84" s="10">
        <f t="shared" si="359"/>
        <v>78.773584905660371</v>
      </c>
      <c r="HL84" s="10">
        <f t="shared" si="360"/>
        <v>0</v>
      </c>
      <c r="HM84" s="10">
        <f t="shared" si="361"/>
        <v>0</v>
      </c>
      <c r="HN84" s="10">
        <f t="shared" si="362"/>
        <v>0</v>
      </c>
      <c r="HO84" s="10">
        <f t="shared" si="363"/>
        <v>0</v>
      </c>
      <c r="HP84" s="10">
        <f t="shared" si="364"/>
        <v>0</v>
      </c>
      <c r="HQ84" s="10">
        <f t="shared" si="365"/>
        <v>0</v>
      </c>
      <c r="HR84" s="10">
        <f t="shared" si="366"/>
        <v>0</v>
      </c>
      <c r="HS84" s="10">
        <f t="shared" si="367"/>
        <v>0</v>
      </c>
      <c r="HT84" s="10">
        <f t="shared" si="368"/>
        <v>0</v>
      </c>
      <c r="HU84" s="10">
        <f t="shared" si="369"/>
        <v>0</v>
      </c>
      <c r="HV84" s="10">
        <f t="shared" si="370"/>
        <v>0</v>
      </c>
      <c r="HW84" s="10">
        <f t="shared" si="371"/>
        <v>0</v>
      </c>
      <c r="HX84" s="10">
        <f t="shared" si="372"/>
        <v>0</v>
      </c>
      <c r="HY84" s="10">
        <f t="shared" si="373"/>
        <v>78.773584905660371</v>
      </c>
      <c r="HZ84" s="10">
        <f t="shared" si="374"/>
        <v>78.773584905660371</v>
      </c>
      <c r="IA84" s="10">
        <f t="shared" si="375"/>
        <v>0</v>
      </c>
      <c r="IB84" s="10">
        <f t="shared" si="376"/>
        <v>0</v>
      </c>
      <c r="IC84" s="10">
        <f t="shared" si="377"/>
        <v>0</v>
      </c>
      <c r="ID84" s="10">
        <f t="shared" si="378"/>
        <v>0</v>
      </c>
      <c r="IE84" s="10">
        <f t="shared" si="379"/>
        <v>0</v>
      </c>
      <c r="IF84" s="10">
        <f t="shared" si="380"/>
        <v>0</v>
      </c>
      <c r="IG84" s="10">
        <f t="shared" si="381"/>
        <v>0</v>
      </c>
      <c r="IH84" s="10">
        <f t="shared" si="382"/>
        <v>0</v>
      </c>
      <c r="II84" s="10">
        <f t="shared" si="383"/>
        <v>78.773584905660371</v>
      </c>
      <c r="IJ84" s="10">
        <f t="shared" si="384"/>
        <v>0</v>
      </c>
      <c r="IK84" s="10">
        <f t="shared" si="385"/>
        <v>0</v>
      </c>
      <c r="IL84" s="10">
        <f t="shared" si="386"/>
        <v>0</v>
      </c>
      <c r="IM84" s="10">
        <f t="shared" si="387"/>
        <v>0</v>
      </c>
      <c r="IN84" s="10">
        <f t="shared" si="388"/>
        <v>0</v>
      </c>
      <c r="IO84" s="10">
        <f t="shared" si="389"/>
        <v>0</v>
      </c>
      <c r="IP84" s="10">
        <f t="shared" si="390"/>
        <v>0</v>
      </c>
      <c r="IQ84" s="10">
        <f t="shared" si="391"/>
        <v>1102.8301886792453</v>
      </c>
      <c r="IR84" s="10">
        <f t="shared" si="392"/>
        <v>0</v>
      </c>
      <c r="IS84" s="10">
        <f t="shared" si="393"/>
        <v>0</v>
      </c>
      <c r="IT84" s="10">
        <f t="shared" si="394"/>
        <v>0</v>
      </c>
      <c r="IU84" s="10">
        <f t="shared" si="395"/>
        <v>0</v>
      </c>
      <c r="IV84" s="10">
        <f t="shared" si="396"/>
        <v>0</v>
      </c>
      <c r="IW84" s="10">
        <f t="shared" si="397"/>
        <v>236.32075471698113</v>
      </c>
      <c r="IX84" s="10">
        <f t="shared" si="398"/>
        <v>0</v>
      </c>
      <c r="IY84" s="10">
        <f t="shared" si="399"/>
        <v>0</v>
      </c>
      <c r="IZ84" s="10">
        <f t="shared" si="400"/>
        <v>0</v>
      </c>
      <c r="JA84" s="10">
        <f t="shared" si="401"/>
        <v>0</v>
      </c>
      <c r="JB84" s="10">
        <f t="shared" si="402"/>
        <v>0</v>
      </c>
      <c r="JC84" s="10">
        <f t="shared" si="403"/>
        <v>0</v>
      </c>
      <c r="JD84" s="10">
        <f t="shared" si="404"/>
        <v>0</v>
      </c>
      <c r="JE84" s="10">
        <f t="shared" si="405"/>
        <v>78.773584905660371</v>
      </c>
      <c r="JF84" s="10">
        <f t="shared" si="406"/>
        <v>0</v>
      </c>
      <c r="JG84" s="10">
        <v>0</v>
      </c>
      <c r="JH84" s="10">
        <f t="shared" si="407"/>
        <v>0</v>
      </c>
      <c r="JI84" s="10">
        <f t="shared" si="408"/>
        <v>0</v>
      </c>
      <c r="JJ84" s="10">
        <f t="shared" si="409"/>
        <v>0</v>
      </c>
      <c r="JK84" s="10">
        <f t="shared" si="410"/>
        <v>78.773584905660371</v>
      </c>
      <c r="JL84" s="10">
        <f t="shared" si="411"/>
        <v>0</v>
      </c>
      <c r="JM84" s="10">
        <f t="shared" si="412"/>
        <v>0</v>
      </c>
      <c r="JN84" s="10">
        <f t="shared" si="413"/>
        <v>78.773584905660371</v>
      </c>
      <c r="JO84" s="10">
        <f t="shared" si="414"/>
        <v>0</v>
      </c>
      <c r="JP84" s="10">
        <f t="shared" si="415"/>
        <v>0</v>
      </c>
      <c r="JQ84" s="10">
        <f t="shared" si="416"/>
        <v>0</v>
      </c>
      <c r="JR84" s="10">
        <f t="shared" si="417"/>
        <v>0</v>
      </c>
      <c r="JS84" s="10">
        <f t="shared" si="418"/>
        <v>0</v>
      </c>
      <c r="JT84" s="10">
        <f t="shared" si="419"/>
        <v>0</v>
      </c>
      <c r="JU84" s="10">
        <f t="shared" si="420"/>
        <v>0</v>
      </c>
      <c r="JV84" s="10">
        <f t="shared" si="421"/>
        <v>0</v>
      </c>
      <c r="JW84" s="10">
        <f t="shared" si="422"/>
        <v>0</v>
      </c>
      <c r="JX84" s="10">
        <f t="shared" si="423"/>
        <v>0</v>
      </c>
      <c r="JY84" s="10">
        <f t="shared" si="424"/>
        <v>0</v>
      </c>
      <c r="JZ84" s="10">
        <f t="shared" si="425"/>
        <v>0</v>
      </c>
      <c r="KA84" s="10">
        <f t="shared" si="426"/>
        <v>0</v>
      </c>
      <c r="KB84" s="10">
        <f t="shared" si="427"/>
        <v>2205.6603773584907</v>
      </c>
      <c r="KC84" s="10">
        <f t="shared" si="428"/>
        <v>0</v>
      </c>
      <c r="KD84" s="10">
        <f t="shared" si="429"/>
        <v>0</v>
      </c>
      <c r="KE84" s="10">
        <f t="shared" si="430"/>
        <v>0</v>
      </c>
      <c r="KF84" s="10">
        <f t="shared" si="431"/>
        <v>315.09433962264148</v>
      </c>
      <c r="KG84" s="10">
        <f t="shared" si="432"/>
        <v>236.32075471698113</v>
      </c>
      <c r="KH84" s="10">
        <f t="shared" si="433"/>
        <v>0</v>
      </c>
      <c r="KI84" s="10">
        <f t="shared" si="434"/>
        <v>0</v>
      </c>
      <c r="KJ84" s="10">
        <f t="shared" si="435"/>
        <v>0</v>
      </c>
      <c r="KK84" s="10">
        <f t="shared" si="436"/>
        <v>0</v>
      </c>
      <c r="KL84" s="10">
        <f t="shared" si="437"/>
        <v>0</v>
      </c>
      <c r="KM84" s="10">
        <f t="shared" si="438"/>
        <v>0</v>
      </c>
      <c r="KN84" s="10">
        <f t="shared" si="439"/>
        <v>315.09433962264148</v>
      </c>
      <c r="KO84" s="10">
        <f t="shared" si="440"/>
        <v>0</v>
      </c>
      <c r="KP84" s="10">
        <f t="shared" si="441"/>
        <v>0</v>
      </c>
      <c r="KQ84" s="11">
        <v>8350.0000000000018</v>
      </c>
      <c r="KR84" s="16"/>
      <c r="KS84" s="12">
        <v>6339.5533333666208</v>
      </c>
      <c r="KT84" s="26">
        <v>98</v>
      </c>
      <c r="KU84" s="26">
        <v>0</v>
      </c>
      <c r="KV84" s="26"/>
      <c r="KW84" s="26">
        <v>-14.95</v>
      </c>
      <c r="KX84" s="26">
        <v>12.53</v>
      </c>
      <c r="KY84" s="27">
        <v>2.8556744060968122</v>
      </c>
      <c r="KZ84" s="27">
        <v>3.3312238492436581</v>
      </c>
      <c r="LA84" s="17"/>
      <c r="LB84" s="2">
        <v>1613</v>
      </c>
      <c r="LC84" s="1">
        <v>2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1035</v>
      </c>
      <c r="LM84" s="1">
        <v>7</v>
      </c>
      <c r="LN84" s="1">
        <v>5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107</v>
      </c>
      <c r="LU84" s="1">
        <v>0</v>
      </c>
      <c r="LV84" s="1">
        <v>0</v>
      </c>
      <c r="LW84" s="1">
        <v>0</v>
      </c>
      <c r="LX84" s="1">
        <v>0</v>
      </c>
      <c r="LY84" s="1">
        <v>4</v>
      </c>
      <c r="LZ84" s="1">
        <v>0</v>
      </c>
      <c r="MA84" s="1">
        <v>0</v>
      </c>
      <c r="MB84" s="1">
        <v>0</v>
      </c>
      <c r="MC84" s="1">
        <v>0</v>
      </c>
      <c r="MD84" s="1">
        <v>449</v>
      </c>
      <c r="ME84" s="1">
        <v>0</v>
      </c>
      <c r="MF84" s="1">
        <v>0</v>
      </c>
      <c r="MG84" s="1">
        <v>0</v>
      </c>
      <c r="MH84" s="1">
        <v>0</v>
      </c>
      <c r="MI84" s="1">
        <v>4</v>
      </c>
      <c r="MJ84" s="1">
        <v>0</v>
      </c>
      <c r="MK84" s="28"/>
      <c r="ML84" t="s">
        <v>900</v>
      </c>
      <c r="MM84" t="s">
        <v>467</v>
      </c>
      <c r="MN84" t="s">
        <v>320</v>
      </c>
      <c r="MO84" t="s">
        <v>337</v>
      </c>
      <c r="MP84" t="s">
        <v>338</v>
      </c>
      <c r="MQ84" t="s">
        <v>339</v>
      </c>
      <c r="MR84">
        <v>0.02</v>
      </c>
      <c r="MS84" t="s">
        <v>468</v>
      </c>
      <c r="MT84" t="s">
        <v>469</v>
      </c>
      <c r="MU84" t="s">
        <v>470</v>
      </c>
      <c r="MV84">
        <v>21250</v>
      </c>
      <c r="MW84" s="13">
        <v>416</v>
      </c>
      <c r="MX84" s="13" t="s">
        <v>471</v>
      </c>
      <c r="MY84" t="s">
        <v>240</v>
      </c>
      <c r="MZ84" t="s">
        <v>241</v>
      </c>
      <c r="NA84" t="s">
        <v>242</v>
      </c>
      <c r="NB84" t="s">
        <v>264</v>
      </c>
      <c r="ND84" s="18">
        <v>43276</v>
      </c>
      <c r="NE84" s="19">
        <v>0.98611111111111116</v>
      </c>
      <c r="NF84" t="s">
        <v>472</v>
      </c>
      <c r="NG84" t="s">
        <v>245</v>
      </c>
      <c r="NH84" t="s">
        <v>246</v>
      </c>
      <c r="NI84">
        <v>76</v>
      </c>
      <c r="NJ84" t="s">
        <v>244</v>
      </c>
      <c r="NK84">
        <v>4</v>
      </c>
      <c r="NL84" t="s">
        <v>247</v>
      </c>
      <c r="NM84">
        <v>29.62454</v>
      </c>
      <c r="NN84">
        <v>-84.935640000000006</v>
      </c>
      <c r="NO84" t="s">
        <v>248</v>
      </c>
      <c r="NP84" t="s">
        <v>266</v>
      </c>
      <c r="NQ84" t="s">
        <v>244</v>
      </c>
      <c r="NR84" t="s">
        <v>247</v>
      </c>
      <c r="NS84" t="s">
        <v>244</v>
      </c>
      <c r="NT84" t="s">
        <v>473</v>
      </c>
      <c r="NU84" t="s">
        <v>244</v>
      </c>
      <c r="NV84" t="s">
        <v>247</v>
      </c>
      <c r="NW84" t="s">
        <v>469</v>
      </c>
      <c r="NX84" t="s">
        <v>470</v>
      </c>
      <c r="NY84">
        <v>93.1</v>
      </c>
      <c r="NZ84">
        <v>93.8</v>
      </c>
      <c r="OA84">
        <v>86.7</v>
      </c>
      <c r="OB84" s="14">
        <v>6339.5533333666208</v>
      </c>
      <c r="OC84" t="s">
        <v>248</v>
      </c>
      <c r="OD84" t="s">
        <v>247</v>
      </c>
      <c r="OE84" t="s">
        <v>248</v>
      </c>
      <c r="OF84" t="s">
        <v>474</v>
      </c>
      <c r="OG84" t="s">
        <v>247</v>
      </c>
      <c r="OH84">
        <v>78</v>
      </c>
      <c r="OI84" t="s">
        <v>469</v>
      </c>
      <c r="OJ84" t="s">
        <v>475</v>
      </c>
      <c r="OK84">
        <v>98</v>
      </c>
      <c r="OL84">
        <v>0</v>
      </c>
      <c r="ON84">
        <v>-14.95</v>
      </c>
      <c r="OO84">
        <v>12.53</v>
      </c>
      <c r="OP84" s="25">
        <v>2.8556744060968122</v>
      </c>
      <c r="OQ84" s="25">
        <v>3.3312238492436581</v>
      </c>
      <c r="OR84" t="s">
        <v>911</v>
      </c>
      <c r="OS84" t="s">
        <v>911</v>
      </c>
    </row>
    <row r="85" spans="1:409" x14ac:dyDescent="0.25">
      <c r="A85">
        <v>84</v>
      </c>
      <c r="B85" s="1">
        <v>215</v>
      </c>
      <c r="C85" s="1">
        <v>73</v>
      </c>
      <c r="D85" s="1">
        <v>23</v>
      </c>
      <c r="E85" s="1">
        <v>0</v>
      </c>
      <c r="F85" s="1">
        <v>88</v>
      </c>
      <c r="G85" s="1">
        <v>17</v>
      </c>
      <c r="H85" s="1">
        <v>0</v>
      </c>
      <c r="I85" s="1">
        <v>8</v>
      </c>
      <c r="J85" s="1">
        <v>37</v>
      </c>
      <c r="K85" s="1">
        <v>5</v>
      </c>
      <c r="L85" s="1">
        <v>0</v>
      </c>
      <c r="M85" s="1">
        <v>0</v>
      </c>
      <c r="N85" s="1">
        <v>10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2">
        <v>476</v>
      </c>
      <c r="Y85" s="3"/>
      <c r="Z85" s="15">
        <f t="shared" si="307"/>
        <v>15.49742425940104</v>
      </c>
      <c r="AA85" s="15">
        <f t="shared" si="308"/>
        <v>5.2619161438896551</v>
      </c>
      <c r="AB85" s="15">
        <f t="shared" si="309"/>
        <v>1.6578639905405765</v>
      </c>
      <c r="AC85" s="15">
        <f t="shared" si="310"/>
        <v>0</v>
      </c>
      <c r="AD85" s="15">
        <f t="shared" si="311"/>
        <v>6.3431317898943798</v>
      </c>
      <c r="AE85" s="15">
        <f t="shared" si="312"/>
        <v>1.2253777321386869</v>
      </c>
      <c r="AF85" s="15">
        <f t="shared" si="313"/>
        <v>0</v>
      </c>
      <c r="AG85" s="15">
        <f t="shared" si="314"/>
        <v>0.57664834453585267</v>
      </c>
      <c r="AH85" s="15">
        <f t="shared" si="315"/>
        <v>2.6669985934783185</v>
      </c>
      <c r="AI85" s="15">
        <f t="shared" si="316"/>
        <v>0.36040521533490794</v>
      </c>
      <c r="AJ85" s="15">
        <f t="shared" si="317"/>
        <v>0</v>
      </c>
      <c r="AK85" s="15">
        <f t="shared" si="318"/>
        <v>0</v>
      </c>
      <c r="AL85" s="15">
        <f t="shared" si="319"/>
        <v>0.72081043066981587</v>
      </c>
      <c r="AM85" s="15">
        <f t="shared" si="320"/>
        <v>0</v>
      </c>
      <c r="AN85" s="15">
        <f t="shared" si="321"/>
        <v>0</v>
      </c>
      <c r="AO85" s="15">
        <f t="shared" si="322"/>
        <v>0</v>
      </c>
      <c r="AP85" s="15">
        <f t="shared" si="323"/>
        <v>0</v>
      </c>
      <c r="AQ85" s="15">
        <f t="shared" si="324"/>
        <v>0</v>
      </c>
      <c r="AR85" s="15">
        <f t="shared" si="325"/>
        <v>0</v>
      </c>
      <c r="AS85" s="15">
        <f t="shared" si="326"/>
        <v>0</v>
      </c>
      <c r="AT85" s="15">
        <f t="shared" si="327"/>
        <v>0</v>
      </c>
      <c r="AU85" s="15">
        <f t="shared" si="328"/>
        <v>0</v>
      </c>
      <c r="AV85" s="5">
        <f t="shared" si="329"/>
        <v>34.31057649988324</v>
      </c>
      <c r="AW85" s="16"/>
      <c r="AX85" s="6">
        <v>10750</v>
      </c>
      <c r="AY85" s="6">
        <v>3650</v>
      </c>
      <c r="AZ85" s="6">
        <v>1150</v>
      </c>
      <c r="BA85" s="6">
        <v>0</v>
      </c>
      <c r="BB85" s="6">
        <v>4400</v>
      </c>
      <c r="BC85" s="6">
        <v>850</v>
      </c>
      <c r="BD85" s="6">
        <v>0</v>
      </c>
      <c r="BE85" s="6">
        <v>400</v>
      </c>
      <c r="BF85" s="6">
        <v>1850</v>
      </c>
      <c r="BG85" s="6">
        <v>250</v>
      </c>
      <c r="BH85" s="6">
        <v>0</v>
      </c>
      <c r="BI85" s="6">
        <v>0</v>
      </c>
      <c r="BJ85" s="6">
        <v>500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7">
        <v>23800</v>
      </c>
      <c r="BU85" s="16"/>
      <c r="BV85" s="8">
        <v>0</v>
      </c>
      <c r="BW85" s="8">
        <v>1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95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3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1</v>
      </c>
      <c r="FJ85" s="8">
        <v>0</v>
      </c>
      <c r="FK85" s="8">
        <v>0</v>
      </c>
      <c r="FL85" s="8">
        <v>0</v>
      </c>
      <c r="FM85" s="8">
        <v>2</v>
      </c>
      <c r="FN85" s="8">
        <v>0</v>
      </c>
      <c r="FO85" s="8">
        <v>0</v>
      </c>
      <c r="FP85" s="8">
        <v>0</v>
      </c>
      <c r="FQ85" s="8">
        <v>0</v>
      </c>
      <c r="FR85" s="8">
        <v>1</v>
      </c>
      <c r="FS85" s="8">
        <v>0</v>
      </c>
      <c r="FT85" s="8">
        <v>0</v>
      </c>
      <c r="FU85" s="8">
        <v>3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9">
        <v>106</v>
      </c>
      <c r="GG85" s="3"/>
      <c r="GH85" s="10">
        <f t="shared" si="330"/>
        <v>0</v>
      </c>
      <c r="GI85" s="10">
        <f t="shared" si="331"/>
        <v>101.41509433962264</v>
      </c>
      <c r="GJ85" s="10">
        <f t="shared" si="332"/>
        <v>0</v>
      </c>
      <c r="GK85" s="10">
        <f t="shared" si="333"/>
        <v>0</v>
      </c>
      <c r="GL85" s="10">
        <f t="shared" si="334"/>
        <v>0</v>
      </c>
      <c r="GM85" s="10">
        <f t="shared" si="335"/>
        <v>0</v>
      </c>
      <c r="GN85" s="10">
        <f t="shared" si="336"/>
        <v>0</v>
      </c>
      <c r="GO85" s="10">
        <f t="shared" si="337"/>
        <v>0</v>
      </c>
      <c r="GP85" s="10">
        <f t="shared" si="338"/>
        <v>0</v>
      </c>
      <c r="GQ85" s="10">
        <f t="shared" si="339"/>
        <v>0</v>
      </c>
      <c r="GR85" s="10">
        <f t="shared" si="340"/>
        <v>0</v>
      </c>
      <c r="GS85" s="10">
        <f t="shared" si="341"/>
        <v>0</v>
      </c>
      <c r="GT85" s="10">
        <f t="shared" si="342"/>
        <v>0</v>
      </c>
      <c r="GU85" s="10">
        <f t="shared" si="343"/>
        <v>0</v>
      </c>
      <c r="GV85" s="10">
        <f t="shared" si="344"/>
        <v>0</v>
      </c>
      <c r="GW85" s="10">
        <f t="shared" si="345"/>
        <v>0</v>
      </c>
      <c r="GX85" s="10">
        <f t="shared" si="346"/>
        <v>0</v>
      </c>
      <c r="GY85" s="10">
        <f t="shared" si="347"/>
        <v>0</v>
      </c>
      <c r="GZ85" s="10">
        <f t="shared" si="348"/>
        <v>9634.433962264151</v>
      </c>
      <c r="HA85" s="10">
        <f t="shared" si="349"/>
        <v>0</v>
      </c>
      <c r="HB85" s="10">
        <f t="shared" si="350"/>
        <v>0</v>
      </c>
      <c r="HC85" s="10">
        <f t="shared" si="351"/>
        <v>0</v>
      </c>
      <c r="HD85" s="10">
        <f t="shared" si="352"/>
        <v>0</v>
      </c>
      <c r="HE85" s="10">
        <f t="shared" si="353"/>
        <v>0</v>
      </c>
      <c r="HF85" s="10">
        <f t="shared" si="354"/>
        <v>0</v>
      </c>
      <c r="HG85" s="10">
        <f t="shared" si="355"/>
        <v>0</v>
      </c>
      <c r="HH85" s="10">
        <f t="shared" si="356"/>
        <v>0</v>
      </c>
      <c r="HI85" s="10">
        <f t="shared" si="357"/>
        <v>0</v>
      </c>
      <c r="HJ85" s="10">
        <f t="shared" si="358"/>
        <v>0</v>
      </c>
      <c r="HK85" s="10">
        <f t="shared" si="359"/>
        <v>0</v>
      </c>
      <c r="HL85" s="10">
        <f t="shared" si="360"/>
        <v>0</v>
      </c>
      <c r="HM85" s="10">
        <f t="shared" si="361"/>
        <v>0</v>
      </c>
      <c r="HN85" s="10">
        <f t="shared" si="362"/>
        <v>0</v>
      </c>
      <c r="HO85" s="10">
        <f t="shared" si="363"/>
        <v>0</v>
      </c>
      <c r="HP85" s="10">
        <f t="shared" si="364"/>
        <v>0</v>
      </c>
      <c r="HQ85" s="10">
        <f t="shared" si="365"/>
        <v>0</v>
      </c>
      <c r="HR85" s="10">
        <f t="shared" si="366"/>
        <v>0</v>
      </c>
      <c r="HS85" s="10">
        <f t="shared" si="367"/>
        <v>0</v>
      </c>
      <c r="HT85" s="10">
        <f t="shared" si="368"/>
        <v>0</v>
      </c>
      <c r="HU85" s="10">
        <f t="shared" si="369"/>
        <v>0</v>
      </c>
      <c r="HV85" s="10">
        <f t="shared" si="370"/>
        <v>0</v>
      </c>
      <c r="HW85" s="10">
        <f t="shared" si="371"/>
        <v>0</v>
      </c>
      <c r="HX85" s="10">
        <f t="shared" si="372"/>
        <v>0</v>
      </c>
      <c r="HY85" s="10">
        <f t="shared" si="373"/>
        <v>304.24528301886795</v>
      </c>
      <c r="HZ85" s="10">
        <f t="shared" si="374"/>
        <v>0</v>
      </c>
      <c r="IA85" s="10">
        <f t="shared" si="375"/>
        <v>0</v>
      </c>
      <c r="IB85" s="10">
        <f t="shared" si="376"/>
        <v>0</v>
      </c>
      <c r="IC85" s="10">
        <f t="shared" si="377"/>
        <v>0</v>
      </c>
      <c r="ID85" s="10">
        <f t="shared" si="378"/>
        <v>0</v>
      </c>
      <c r="IE85" s="10">
        <f t="shared" si="379"/>
        <v>0</v>
      </c>
      <c r="IF85" s="10">
        <f t="shared" si="380"/>
        <v>0</v>
      </c>
      <c r="IG85" s="10">
        <f t="shared" si="381"/>
        <v>0</v>
      </c>
      <c r="IH85" s="10">
        <f t="shared" si="382"/>
        <v>0</v>
      </c>
      <c r="II85" s="10">
        <f t="shared" si="383"/>
        <v>0</v>
      </c>
      <c r="IJ85" s="10">
        <f t="shared" si="384"/>
        <v>0</v>
      </c>
      <c r="IK85" s="10">
        <f t="shared" si="385"/>
        <v>0</v>
      </c>
      <c r="IL85" s="10">
        <f t="shared" si="386"/>
        <v>0</v>
      </c>
      <c r="IM85" s="10">
        <f t="shared" si="387"/>
        <v>0</v>
      </c>
      <c r="IN85" s="10">
        <f t="shared" si="388"/>
        <v>0</v>
      </c>
      <c r="IO85" s="10">
        <f t="shared" si="389"/>
        <v>0</v>
      </c>
      <c r="IP85" s="10">
        <f t="shared" si="390"/>
        <v>0</v>
      </c>
      <c r="IQ85" s="10">
        <f t="shared" si="391"/>
        <v>0</v>
      </c>
      <c r="IR85" s="10">
        <f t="shared" si="392"/>
        <v>0</v>
      </c>
      <c r="IS85" s="10">
        <f t="shared" si="393"/>
        <v>0</v>
      </c>
      <c r="IT85" s="10">
        <f t="shared" si="394"/>
        <v>0</v>
      </c>
      <c r="IU85" s="10">
        <f t="shared" si="395"/>
        <v>0</v>
      </c>
      <c r="IV85" s="10">
        <f t="shared" si="396"/>
        <v>0</v>
      </c>
      <c r="IW85" s="10">
        <f t="shared" si="397"/>
        <v>0</v>
      </c>
      <c r="IX85" s="10">
        <f t="shared" si="398"/>
        <v>0</v>
      </c>
      <c r="IY85" s="10">
        <f t="shared" si="399"/>
        <v>0</v>
      </c>
      <c r="IZ85" s="10">
        <f t="shared" si="400"/>
        <v>0</v>
      </c>
      <c r="JA85" s="10">
        <f t="shared" si="401"/>
        <v>0</v>
      </c>
      <c r="JB85" s="10">
        <f t="shared" si="402"/>
        <v>0</v>
      </c>
      <c r="JC85" s="10">
        <f t="shared" si="403"/>
        <v>0</v>
      </c>
      <c r="JD85" s="10">
        <f t="shared" si="404"/>
        <v>0</v>
      </c>
      <c r="JE85" s="10">
        <f t="shared" si="405"/>
        <v>0</v>
      </c>
      <c r="JF85" s="10">
        <f t="shared" si="406"/>
        <v>0</v>
      </c>
      <c r="JG85" s="10">
        <v>0</v>
      </c>
      <c r="JH85" s="10">
        <f t="shared" si="407"/>
        <v>0</v>
      </c>
      <c r="JI85" s="10">
        <f t="shared" si="408"/>
        <v>0</v>
      </c>
      <c r="JJ85" s="10">
        <f t="shared" si="409"/>
        <v>0</v>
      </c>
      <c r="JK85" s="10">
        <f t="shared" si="410"/>
        <v>0</v>
      </c>
      <c r="JL85" s="10">
        <f t="shared" si="411"/>
        <v>0</v>
      </c>
      <c r="JM85" s="10">
        <f t="shared" si="412"/>
        <v>0</v>
      </c>
      <c r="JN85" s="10">
        <f t="shared" si="413"/>
        <v>0</v>
      </c>
      <c r="JO85" s="10">
        <f t="shared" si="414"/>
        <v>0</v>
      </c>
      <c r="JP85" s="10">
        <f t="shared" si="415"/>
        <v>0</v>
      </c>
      <c r="JQ85" s="10">
        <f t="shared" si="416"/>
        <v>0</v>
      </c>
      <c r="JR85" s="10">
        <f t="shared" si="417"/>
        <v>0</v>
      </c>
      <c r="JS85" s="10">
        <f t="shared" si="418"/>
        <v>0</v>
      </c>
      <c r="JT85" s="10">
        <f t="shared" si="419"/>
        <v>101.41509433962264</v>
      </c>
      <c r="JU85" s="10">
        <f t="shared" si="420"/>
        <v>0</v>
      </c>
      <c r="JV85" s="10">
        <f t="shared" si="421"/>
        <v>0</v>
      </c>
      <c r="JW85" s="10">
        <f t="shared" si="422"/>
        <v>0</v>
      </c>
      <c r="JX85" s="10">
        <f t="shared" si="423"/>
        <v>202.83018867924528</v>
      </c>
      <c r="JY85" s="10">
        <f t="shared" si="424"/>
        <v>0</v>
      </c>
      <c r="JZ85" s="10">
        <f t="shared" si="425"/>
        <v>0</v>
      </c>
      <c r="KA85" s="10">
        <f t="shared" si="426"/>
        <v>0</v>
      </c>
      <c r="KB85" s="10">
        <f t="shared" si="427"/>
        <v>0</v>
      </c>
      <c r="KC85" s="10">
        <f t="shared" si="428"/>
        <v>101.41509433962264</v>
      </c>
      <c r="KD85" s="10">
        <f t="shared" si="429"/>
        <v>0</v>
      </c>
      <c r="KE85" s="10">
        <f t="shared" si="430"/>
        <v>0</v>
      </c>
      <c r="KF85" s="10">
        <f t="shared" si="431"/>
        <v>304.24528301886795</v>
      </c>
      <c r="KG85" s="10">
        <f t="shared" si="432"/>
        <v>0</v>
      </c>
      <c r="KH85" s="10">
        <f t="shared" si="433"/>
        <v>0</v>
      </c>
      <c r="KI85" s="10">
        <f t="shared" si="434"/>
        <v>0</v>
      </c>
      <c r="KJ85" s="10">
        <f t="shared" si="435"/>
        <v>0</v>
      </c>
      <c r="KK85" s="10">
        <f t="shared" si="436"/>
        <v>0</v>
      </c>
      <c r="KL85" s="10">
        <f t="shared" si="437"/>
        <v>0</v>
      </c>
      <c r="KM85" s="10">
        <f t="shared" si="438"/>
        <v>0</v>
      </c>
      <c r="KN85" s="10">
        <f t="shared" si="439"/>
        <v>0</v>
      </c>
      <c r="KO85" s="10">
        <f t="shared" si="440"/>
        <v>0</v>
      </c>
      <c r="KP85" s="10">
        <f t="shared" si="441"/>
        <v>0</v>
      </c>
      <c r="KQ85" s="11">
        <v>10750.000000000004</v>
      </c>
      <c r="KR85" s="16"/>
      <c r="KS85" s="12">
        <v>6936.6365791262633</v>
      </c>
      <c r="KT85" s="26">
        <v>130</v>
      </c>
      <c r="KU85" s="26">
        <v>0.66153846153846152</v>
      </c>
      <c r="KV85" s="26">
        <v>0.98837209302325579</v>
      </c>
      <c r="KW85" s="26">
        <f>-13.88</f>
        <v>-13.88</v>
      </c>
      <c r="KX85" s="26">
        <v>10.7</v>
      </c>
      <c r="KY85" s="27">
        <v>2.7055948370727734</v>
      </c>
      <c r="KZ85" s="27">
        <v>3.1561518457443429</v>
      </c>
      <c r="LA85" s="17"/>
      <c r="LB85" s="2">
        <v>1780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852</v>
      </c>
      <c r="LM85" s="1">
        <v>884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4</v>
      </c>
      <c r="LX85" s="1">
        <v>0</v>
      </c>
      <c r="LY85" s="1">
        <v>26</v>
      </c>
      <c r="LZ85" s="1">
        <v>10</v>
      </c>
      <c r="MA85" s="1">
        <v>0</v>
      </c>
      <c r="MB85" s="1">
        <v>0</v>
      </c>
      <c r="MC85" s="1">
        <v>0</v>
      </c>
      <c r="MD85" s="1">
        <v>4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28"/>
      <c r="ML85" t="s">
        <v>901</v>
      </c>
      <c r="MM85" t="s">
        <v>311</v>
      </c>
      <c r="MN85" t="s">
        <v>320</v>
      </c>
      <c r="MO85" t="s">
        <v>321</v>
      </c>
      <c r="MP85" t="s">
        <v>322</v>
      </c>
      <c r="MQ85" t="s">
        <v>323</v>
      </c>
      <c r="MR85">
        <v>0.02</v>
      </c>
      <c r="MS85" t="s">
        <v>312</v>
      </c>
      <c r="MT85" t="s">
        <v>313</v>
      </c>
      <c r="MU85" t="s">
        <v>314</v>
      </c>
      <c r="MV85">
        <v>23800</v>
      </c>
      <c r="MW85" s="13">
        <v>442</v>
      </c>
      <c r="MX85" s="13" t="s">
        <v>315</v>
      </c>
      <c r="MY85" t="s">
        <v>240</v>
      </c>
      <c r="MZ85" t="s">
        <v>241</v>
      </c>
      <c r="NA85" t="s">
        <v>242</v>
      </c>
      <c r="NB85" t="s">
        <v>306</v>
      </c>
      <c r="ND85" s="18">
        <v>43281</v>
      </c>
      <c r="NE85" s="19">
        <v>0.17361111111111113</v>
      </c>
      <c r="NF85" t="s">
        <v>316</v>
      </c>
      <c r="NG85" t="s">
        <v>245</v>
      </c>
      <c r="NH85" t="s">
        <v>246</v>
      </c>
      <c r="NI85">
        <v>88</v>
      </c>
      <c r="NJ85" t="s">
        <v>244</v>
      </c>
      <c r="NK85">
        <v>5</v>
      </c>
      <c r="NL85" t="s">
        <v>247</v>
      </c>
      <c r="NM85">
        <v>29.6403</v>
      </c>
      <c r="NN85">
        <v>-84.906679999999994</v>
      </c>
      <c r="NO85" t="s">
        <v>248</v>
      </c>
      <c r="NP85" t="s">
        <v>249</v>
      </c>
      <c r="NQ85">
        <v>9</v>
      </c>
      <c r="NR85" t="s">
        <v>247</v>
      </c>
      <c r="NS85" t="s">
        <v>244</v>
      </c>
      <c r="NT85">
        <v>982000410605342</v>
      </c>
      <c r="NU85" t="s">
        <v>244</v>
      </c>
      <c r="NV85" t="s">
        <v>247</v>
      </c>
      <c r="NW85" t="s">
        <v>313</v>
      </c>
      <c r="NX85" t="s">
        <v>314</v>
      </c>
      <c r="NY85">
        <v>96</v>
      </c>
      <c r="NZ85">
        <v>94</v>
      </c>
      <c r="OA85">
        <v>92</v>
      </c>
      <c r="OB85" s="14">
        <v>6936.6365791262633</v>
      </c>
      <c r="OC85" t="s">
        <v>248</v>
      </c>
      <c r="OD85" t="s">
        <v>247</v>
      </c>
      <c r="OE85" t="s">
        <v>248</v>
      </c>
      <c r="OF85" t="s">
        <v>317</v>
      </c>
      <c r="OG85" t="s">
        <v>247</v>
      </c>
      <c r="OH85">
        <v>83</v>
      </c>
      <c r="OI85" t="s">
        <v>313</v>
      </c>
      <c r="OJ85" t="s">
        <v>318</v>
      </c>
      <c r="OK85">
        <v>130</v>
      </c>
      <c r="OL85">
        <v>0.66153846153846152</v>
      </c>
      <c r="OM85">
        <v>0.98837209302325579</v>
      </c>
      <c r="ON85">
        <f>-13.88</f>
        <v>-13.88</v>
      </c>
      <c r="OO85">
        <v>10.7</v>
      </c>
      <c r="OP85" s="25">
        <v>2.7055948370727734</v>
      </c>
      <c r="OQ85" s="25">
        <v>3.1561518457443429</v>
      </c>
      <c r="OR85" t="s">
        <v>909</v>
      </c>
      <c r="OS85" t="s">
        <v>911</v>
      </c>
    </row>
    <row r="86" spans="1:409" x14ac:dyDescent="0.25">
      <c r="A86">
        <v>85</v>
      </c>
      <c r="B86" s="1">
        <v>205</v>
      </c>
      <c r="C86" s="1">
        <v>0</v>
      </c>
      <c r="D86" s="1">
        <v>0</v>
      </c>
      <c r="E86" s="1">
        <v>0</v>
      </c>
      <c r="F86" s="1">
        <v>85</v>
      </c>
      <c r="G86" s="1">
        <v>18</v>
      </c>
      <c r="H86" s="1">
        <v>4</v>
      </c>
      <c r="I86" s="1">
        <v>7</v>
      </c>
      <c r="J86" s="1">
        <v>107</v>
      </c>
      <c r="K86" s="1">
        <v>5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2">
        <v>431</v>
      </c>
      <c r="Y86" s="3"/>
      <c r="Z86" s="15">
        <f t="shared" si="307"/>
        <v>1.9702151771641634</v>
      </c>
      <c r="AA86" s="15">
        <f t="shared" si="308"/>
        <v>0</v>
      </c>
      <c r="AB86" s="15">
        <f t="shared" si="309"/>
        <v>0</v>
      </c>
      <c r="AC86" s="15">
        <f t="shared" si="310"/>
        <v>0</v>
      </c>
      <c r="AD86" s="15">
        <f t="shared" si="311"/>
        <v>0.81691848809245804</v>
      </c>
      <c r="AE86" s="15">
        <f t="shared" si="312"/>
        <v>0.17299450336075581</v>
      </c>
      <c r="AF86" s="15">
        <f t="shared" si="313"/>
        <v>3.8443222969056848E-2</v>
      </c>
      <c r="AG86" s="15">
        <f t="shared" si="314"/>
        <v>6.7275640195849487E-2</v>
      </c>
      <c r="AH86" s="15">
        <f t="shared" si="315"/>
        <v>1.0283562144222707</v>
      </c>
      <c r="AI86" s="15">
        <f t="shared" si="316"/>
        <v>4.8054028711321056E-2</v>
      </c>
      <c r="AJ86" s="15">
        <f t="shared" si="317"/>
        <v>0</v>
      </c>
      <c r="AK86" s="15">
        <f t="shared" si="318"/>
        <v>0</v>
      </c>
      <c r="AL86" s="15">
        <f t="shared" si="319"/>
        <v>0</v>
      </c>
      <c r="AM86" s="15">
        <f t="shared" si="320"/>
        <v>0</v>
      </c>
      <c r="AN86" s="15">
        <f t="shared" si="321"/>
        <v>0</v>
      </c>
      <c r="AO86" s="15">
        <f t="shared" si="322"/>
        <v>0</v>
      </c>
      <c r="AP86" s="15">
        <f t="shared" si="323"/>
        <v>0</v>
      </c>
      <c r="AQ86" s="15">
        <f t="shared" si="324"/>
        <v>0</v>
      </c>
      <c r="AR86" s="15">
        <f t="shared" si="325"/>
        <v>0</v>
      </c>
      <c r="AS86" s="15">
        <f t="shared" si="326"/>
        <v>0</v>
      </c>
      <c r="AT86" s="15">
        <f t="shared" si="327"/>
        <v>0</v>
      </c>
      <c r="AU86" s="15">
        <f t="shared" si="328"/>
        <v>0</v>
      </c>
      <c r="AV86" s="5">
        <f t="shared" si="329"/>
        <v>4.1422572749158757</v>
      </c>
      <c r="AW86" s="16"/>
      <c r="AX86" s="6">
        <v>1366.6666666666667</v>
      </c>
      <c r="AY86" s="6">
        <v>0</v>
      </c>
      <c r="AZ86" s="6">
        <v>0</v>
      </c>
      <c r="BA86" s="6">
        <v>0</v>
      </c>
      <c r="BB86" s="6">
        <v>566.66666666666674</v>
      </c>
      <c r="BC86" s="6">
        <v>120</v>
      </c>
      <c r="BD86" s="6">
        <v>26.666666666666668</v>
      </c>
      <c r="BE86" s="6">
        <v>46.666666666666671</v>
      </c>
      <c r="BF86" s="6">
        <v>713.33333333333337</v>
      </c>
      <c r="BG86" s="6">
        <v>33.333333333333336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7">
        <v>2873.3333333333335</v>
      </c>
      <c r="BU86" s="16"/>
      <c r="BV86" s="8">
        <v>0</v>
      </c>
      <c r="BW86" s="8">
        <v>1</v>
      </c>
      <c r="BX86" s="8">
        <v>1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103</v>
      </c>
      <c r="CO86" s="8">
        <v>0</v>
      </c>
      <c r="CP86" s="8">
        <v>0</v>
      </c>
      <c r="CQ86" s="8">
        <v>1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10.999999999999998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1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1</v>
      </c>
      <c r="EC86" s="8">
        <v>0</v>
      </c>
      <c r="ED86" s="8">
        <v>1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0</v>
      </c>
      <c r="FC86" s="8">
        <v>0</v>
      </c>
      <c r="FD86" s="8">
        <v>1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0</v>
      </c>
      <c r="FQ86" s="8">
        <v>0</v>
      </c>
      <c r="FR86" s="8">
        <v>0</v>
      </c>
      <c r="FS86" s="8">
        <v>0</v>
      </c>
      <c r="FT86" s="8">
        <v>0</v>
      </c>
      <c r="FU86" s="8">
        <v>0</v>
      </c>
      <c r="FV86" s="8">
        <v>0</v>
      </c>
      <c r="FW86" s="8">
        <v>0</v>
      </c>
      <c r="FX86" s="8">
        <v>0</v>
      </c>
      <c r="FY86" s="8">
        <v>0</v>
      </c>
      <c r="FZ86" s="8">
        <v>0</v>
      </c>
      <c r="GA86" s="8">
        <v>0</v>
      </c>
      <c r="GB86" s="8">
        <v>0</v>
      </c>
      <c r="GC86" s="8">
        <v>0</v>
      </c>
      <c r="GD86" s="8">
        <v>0</v>
      </c>
      <c r="GE86" s="8">
        <v>0</v>
      </c>
      <c r="GF86" s="9">
        <v>121</v>
      </c>
      <c r="GG86" s="3"/>
      <c r="GH86" s="10">
        <f t="shared" si="330"/>
        <v>0</v>
      </c>
      <c r="GI86" s="10">
        <f t="shared" si="331"/>
        <v>11.294765840220387</v>
      </c>
      <c r="GJ86" s="10">
        <f t="shared" si="332"/>
        <v>11.294765840220387</v>
      </c>
      <c r="GK86" s="10">
        <f t="shared" si="333"/>
        <v>0</v>
      </c>
      <c r="GL86" s="10">
        <f t="shared" si="334"/>
        <v>0</v>
      </c>
      <c r="GM86" s="10">
        <f t="shared" si="335"/>
        <v>0</v>
      </c>
      <c r="GN86" s="10">
        <f t="shared" si="336"/>
        <v>0</v>
      </c>
      <c r="GO86" s="10">
        <f t="shared" si="337"/>
        <v>0</v>
      </c>
      <c r="GP86" s="10">
        <f t="shared" si="338"/>
        <v>0</v>
      </c>
      <c r="GQ86" s="10">
        <f t="shared" si="339"/>
        <v>0</v>
      </c>
      <c r="GR86" s="10">
        <f t="shared" si="340"/>
        <v>0</v>
      </c>
      <c r="GS86" s="10">
        <f t="shared" si="341"/>
        <v>0</v>
      </c>
      <c r="GT86" s="10">
        <f t="shared" si="342"/>
        <v>0</v>
      </c>
      <c r="GU86" s="10">
        <f t="shared" si="343"/>
        <v>0</v>
      </c>
      <c r="GV86" s="10">
        <f t="shared" si="344"/>
        <v>0</v>
      </c>
      <c r="GW86" s="10">
        <f t="shared" si="345"/>
        <v>0</v>
      </c>
      <c r="GX86" s="10">
        <f t="shared" si="346"/>
        <v>0</v>
      </c>
      <c r="GY86" s="10">
        <f t="shared" si="347"/>
        <v>0</v>
      </c>
      <c r="GZ86" s="10">
        <f t="shared" si="348"/>
        <v>1163.3608815426999</v>
      </c>
      <c r="HA86" s="10">
        <f t="shared" si="349"/>
        <v>0</v>
      </c>
      <c r="HB86" s="10">
        <f t="shared" si="350"/>
        <v>0</v>
      </c>
      <c r="HC86" s="10">
        <f t="shared" si="351"/>
        <v>11.294765840220387</v>
      </c>
      <c r="HD86" s="10">
        <f t="shared" si="352"/>
        <v>0</v>
      </c>
      <c r="HE86" s="10">
        <f t="shared" si="353"/>
        <v>0</v>
      </c>
      <c r="HF86" s="10">
        <f t="shared" si="354"/>
        <v>0</v>
      </c>
      <c r="HG86" s="10">
        <f t="shared" si="355"/>
        <v>0</v>
      </c>
      <c r="HH86" s="10">
        <f t="shared" si="356"/>
        <v>0</v>
      </c>
      <c r="HI86" s="10">
        <f t="shared" si="357"/>
        <v>0</v>
      </c>
      <c r="HJ86" s="10">
        <f t="shared" si="358"/>
        <v>0</v>
      </c>
      <c r="HK86" s="10">
        <f t="shared" si="359"/>
        <v>0</v>
      </c>
      <c r="HL86" s="10">
        <f t="shared" si="360"/>
        <v>0</v>
      </c>
      <c r="HM86" s="10">
        <f t="shared" si="361"/>
        <v>0</v>
      </c>
      <c r="HN86" s="10">
        <f t="shared" si="362"/>
        <v>0</v>
      </c>
      <c r="HO86" s="10">
        <f t="shared" si="363"/>
        <v>0</v>
      </c>
      <c r="HP86" s="10">
        <f t="shared" si="364"/>
        <v>0</v>
      </c>
      <c r="HQ86" s="10">
        <f t="shared" si="365"/>
        <v>0</v>
      </c>
      <c r="HR86" s="10">
        <f t="shared" si="366"/>
        <v>0</v>
      </c>
      <c r="HS86" s="10">
        <f t="shared" si="367"/>
        <v>0</v>
      </c>
      <c r="HT86" s="10">
        <f t="shared" si="368"/>
        <v>0</v>
      </c>
      <c r="HU86" s="10">
        <f t="shared" si="369"/>
        <v>0</v>
      </c>
      <c r="HV86" s="10">
        <f t="shared" si="370"/>
        <v>0</v>
      </c>
      <c r="HW86" s="10">
        <f t="shared" si="371"/>
        <v>0</v>
      </c>
      <c r="HX86" s="10">
        <f t="shared" si="372"/>
        <v>0</v>
      </c>
      <c r="HY86" s="10">
        <f t="shared" si="373"/>
        <v>124.24242424242424</v>
      </c>
      <c r="HZ86" s="10">
        <f t="shared" si="374"/>
        <v>0</v>
      </c>
      <c r="IA86" s="10">
        <f t="shared" si="375"/>
        <v>0</v>
      </c>
      <c r="IB86" s="10">
        <f t="shared" si="376"/>
        <v>0</v>
      </c>
      <c r="IC86" s="10">
        <f t="shared" si="377"/>
        <v>0</v>
      </c>
      <c r="ID86" s="10">
        <f t="shared" si="378"/>
        <v>0</v>
      </c>
      <c r="IE86" s="10">
        <f t="shared" si="379"/>
        <v>11.294765840220387</v>
      </c>
      <c r="IF86" s="10">
        <f t="shared" si="380"/>
        <v>0</v>
      </c>
      <c r="IG86" s="10">
        <f t="shared" si="381"/>
        <v>0</v>
      </c>
      <c r="IH86" s="10">
        <f t="shared" si="382"/>
        <v>0</v>
      </c>
      <c r="II86" s="10">
        <f t="shared" si="383"/>
        <v>0</v>
      </c>
      <c r="IJ86" s="10">
        <f t="shared" si="384"/>
        <v>0</v>
      </c>
      <c r="IK86" s="10">
        <f t="shared" si="385"/>
        <v>0</v>
      </c>
      <c r="IL86" s="10">
        <f t="shared" si="386"/>
        <v>0</v>
      </c>
      <c r="IM86" s="10">
        <f t="shared" si="387"/>
        <v>0</v>
      </c>
      <c r="IN86" s="10">
        <f t="shared" si="388"/>
        <v>11.294765840220387</v>
      </c>
      <c r="IO86" s="10">
        <f t="shared" si="389"/>
        <v>0</v>
      </c>
      <c r="IP86" s="10">
        <f t="shared" si="390"/>
        <v>11.294765840220387</v>
      </c>
      <c r="IQ86" s="10">
        <f t="shared" si="391"/>
        <v>0</v>
      </c>
      <c r="IR86" s="10">
        <f t="shared" si="392"/>
        <v>0</v>
      </c>
      <c r="IS86" s="10">
        <f t="shared" si="393"/>
        <v>0</v>
      </c>
      <c r="IT86" s="10">
        <f t="shared" si="394"/>
        <v>0</v>
      </c>
      <c r="IU86" s="10">
        <f t="shared" si="395"/>
        <v>0</v>
      </c>
      <c r="IV86" s="10">
        <f t="shared" si="396"/>
        <v>0</v>
      </c>
      <c r="IW86" s="10">
        <f t="shared" si="397"/>
        <v>0</v>
      </c>
      <c r="IX86" s="10">
        <f t="shared" si="398"/>
        <v>0</v>
      </c>
      <c r="IY86" s="10">
        <f t="shared" si="399"/>
        <v>0</v>
      </c>
      <c r="IZ86" s="10">
        <f t="shared" si="400"/>
        <v>0</v>
      </c>
      <c r="JA86" s="10">
        <f t="shared" si="401"/>
        <v>0</v>
      </c>
      <c r="JB86" s="10">
        <f t="shared" si="402"/>
        <v>0</v>
      </c>
      <c r="JC86" s="10">
        <f t="shared" si="403"/>
        <v>0</v>
      </c>
      <c r="JD86" s="10">
        <f t="shared" si="404"/>
        <v>0</v>
      </c>
      <c r="JE86" s="10">
        <f t="shared" si="405"/>
        <v>0</v>
      </c>
      <c r="JF86" s="10">
        <f t="shared" si="406"/>
        <v>0</v>
      </c>
      <c r="JG86" s="10">
        <v>0</v>
      </c>
      <c r="JH86" s="10">
        <f t="shared" si="407"/>
        <v>0</v>
      </c>
      <c r="JI86" s="10">
        <f t="shared" si="408"/>
        <v>0</v>
      </c>
      <c r="JJ86" s="10">
        <f t="shared" si="409"/>
        <v>0</v>
      </c>
      <c r="JK86" s="10">
        <f t="shared" si="410"/>
        <v>0</v>
      </c>
      <c r="JL86" s="10">
        <f t="shared" si="411"/>
        <v>0</v>
      </c>
      <c r="JM86" s="10">
        <f t="shared" si="412"/>
        <v>0</v>
      </c>
      <c r="JN86" s="10">
        <f t="shared" si="413"/>
        <v>0</v>
      </c>
      <c r="JO86" s="10">
        <f t="shared" si="414"/>
        <v>11.294765840220387</v>
      </c>
      <c r="JP86" s="10">
        <f t="shared" si="415"/>
        <v>0</v>
      </c>
      <c r="JQ86" s="10">
        <f t="shared" si="416"/>
        <v>0</v>
      </c>
      <c r="JR86" s="10">
        <f t="shared" si="417"/>
        <v>0</v>
      </c>
      <c r="JS86" s="10">
        <f t="shared" si="418"/>
        <v>0</v>
      </c>
      <c r="JT86" s="10">
        <f t="shared" si="419"/>
        <v>0</v>
      </c>
      <c r="JU86" s="10">
        <f t="shared" si="420"/>
        <v>0</v>
      </c>
      <c r="JV86" s="10">
        <f t="shared" si="421"/>
        <v>0</v>
      </c>
      <c r="JW86" s="10">
        <f t="shared" si="422"/>
        <v>0</v>
      </c>
      <c r="JX86" s="10">
        <f t="shared" si="423"/>
        <v>0</v>
      </c>
      <c r="JY86" s="10">
        <f t="shared" si="424"/>
        <v>0</v>
      </c>
      <c r="JZ86" s="10">
        <f t="shared" si="425"/>
        <v>0</v>
      </c>
      <c r="KA86" s="10">
        <f t="shared" si="426"/>
        <v>0</v>
      </c>
      <c r="KB86" s="10">
        <f t="shared" si="427"/>
        <v>0</v>
      </c>
      <c r="KC86" s="10">
        <f t="shared" si="428"/>
        <v>0</v>
      </c>
      <c r="KD86" s="10">
        <f t="shared" si="429"/>
        <v>0</v>
      </c>
      <c r="KE86" s="10">
        <f t="shared" si="430"/>
        <v>0</v>
      </c>
      <c r="KF86" s="10">
        <f t="shared" si="431"/>
        <v>0</v>
      </c>
      <c r="KG86" s="10">
        <f t="shared" si="432"/>
        <v>0</v>
      </c>
      <c r="KH86" s="10">
        <f t="shared" si="433"/>
        <v>0</v>
      </c>
      <c r="KI86" s="10">
        <f t="shared" si="434"/>
        <v>0</v>
      </c>
      <c r="KJ86" s="10">
        <f t="shared" si="435"/>
        <v>0</v>
      </c>
      <c r="KK86" s="10">
        <f t="shared" si="436"/>
        <v>0</v>
      </c>
      <c r="KL86" s="10">
        <f t="shared" si="437"/>
        <v>0</v>
      </c>
      <c r="KM86" s="10">
        <f t="shared" si="438"/>
        <v>0</v>
      </c>
      <c r="KN86" s="10">
        <f t="shared" si="439"/>
        <v>0</v>
      </c>
      <c r="KO86" s="10">
        <f t="shared" si="440"/>
        <v>0</v>
      </c>
      <c r="KP86" s="10">
        <f t="shared" si="441"/>
        <v>0</v>
      </c>
      <c r="KQ86" s="11">
        <v>1366.666666666667</v>
      </c>
      <c r="KR86" s="16"/>
      <c r="KS86" s="12">
        <v>6936.6365791262633</v>
      </c>
      <c r="KT86" s="26">
        <v>130</v>
      </c>
      <c r="KU86" s="26">
        <v>0.66153846153846152</v>
      </c>
      <c r="KV86" s="26">
        <v>0.98837209302325579</v>
      </c>
      <c r="KW86" s="26">
        <f>-13.88</f>
        <v>-13.88</v>
      </c>
      <c r="KX86" s="26">
        <v>10.7</v>
      </c>
      <c r="KY86" s="27">
        <v>2.7055948370727734</v>
      </c>
      <c r="KZ86" s="27">
        <v>3.1561518457443429</v>
      </c>
      <c r="LA86" s="17"/>
      <c r="LB86" s="2">
        <v>1872</v>
      </c>
      <c r="LC86" s="1">
        <v>0</v>
      </c>
      <c r="LD86" s="1">
        <v>0</v>
      </c>
      <c r="LE86" s="1">
        <v>0</v>
      </c>
      <c r="LF86" s="1">
        <v>0</v>
      </c>
      <c r="LG86" s="1">
        <v>6</v>
      </c>
      <c r="LH86" s="1">
        <v>0</v>
      </c>
      <c r="LI86" s="1">
        <v>0</v>
      </c>
      <c r="LJ86" s="1">
        <v>0</v>
      </c>
      <c r="LK86" s="1">
        <v>0</v>
      </c>
      <c r="LL86" s="1">
        <v>1214</v>
      </c>
      <c r="LM86" s="1">
        <v>6</v>
      </c>
      <c r="LN86" s="1">
        <v>570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62</v>
      </c>
      <c r="LZ86" s="1">
        <v>12</v>
      </c>
      <c r="MA86" s="1">
        <v>0</v>
      </c>
      <c r="MB86" s="1">
        <v>0</v>
      </c>
      <c r="MC86" s="1">
        <v>0</v>
      </c>
      <c r="MD86" s="1">
        <v>2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28"/>
      <c r="ML86" t="s">
        <v>902</v>
      </c>
      <c r="MM86" t="s">
        <v>477</v>
      </c>
      <c r="MN86" t="s">
        <v>320</v>
      </c>
      <c r="MO86" t="s">
        <v>334</v>
      </c>
      <c r="MP86" t="s">
        <v>335</v>
      </c>
      <c r="MQ86" t="s">
        <v>336</v>
      </c>
      <c r="MR86">
        <v>0.15</v>
      </c>
      <c r="MS86" t="s">
        <v>312</v>
      </c>
      <c r="MT86" t="s">
        <v>313</v>
      </c>
      <c r="MU86" t="s">
        <v>314</v>
      </c>
      <c r="MV86">
        <v>2873.3333333333335</v>
      </c>
      <c r="MW86" s="13">
        <v>442</v>
      </c>
      <c r="MX86" s="13" t="s">
        <v>315</v>
      </c>
      <c r="MY86" t="s">
        <v>240</v>
      </c>
      <c r="MZ86" t="s">
        <v>241</v>
      </c>
      <c r="NA86" t="s">
        <v>242</v>
      </c>
      <c r="NB86" t="s">
        <v>306</v>
      </c>
      <c r="ND86" s="18">
        <v>43281</v>
      </c>
      <c r="NE86" s="19">
        <v>0.17361111111111113</v>
      </c>
      <c r="NF86" t="s">
        <v>316</v>
      </c>
      <c r="NG86" t="s">
        <v>245</v>
      </c>
      <c r="NH86" t="s">
        <v>246</v>
      </c>
      <c r="NI86">
        <v>88</v>
      </c>
      <c r="NJ86" t="s">
        <v>244</v>
      </c>
      <c r="NK86">
        <v>5</v>
      </c>
      <c r="NL86" t="s">
        <v>247</v>
      </c>
      <c r="NM86">
        <v>29.6403</v>
      </c>
      <c r="NN86">
        <v>-84.906679999999994</v>
      </c>
      <c r="NO86" t="s">
        <v>248</v>
      </c>
      <c r="NP86" t="s">
        <v>249</v>
      </c>
      <c r="NQ86">
        <v>9</v>
      </c>
      <c r="NR86" t="s">
        <v>247</v>
      </c>
      <c r="NS86" t="s">
        <v>244</v>
      </c>
      <c r="NT86">
        <v>982000410605342</v>
      </c>
      <c r="NU86" t="s">
        <v>244</v>
      </c>
      <c r="NV86" t="s">
        <v>247</v>
      </c>
      <c r="NW86" t="s">
        <v>313</v>
      </c>
      <c r="NX86" t="s">
        <v>314</v>
      </c>
      <c r="NY86">
        <v>96</v>
      </c>
      <c r="NZ86">
        <v>94</v>
      </c>
      <c r="OA86">
        <v>92</v>
      </c>
      <c r="OB86" s="14">
        <v>6936.6365791262633</v>
      </c>
      <c r="OC86" t="s">
        <v>248</v>
      </c>
      <c r="OD86" t="s">
        <v>247</v>
      </c>
      <c r="OE86" t="s">
        <v>248</v>
      </c>
      <c r="OF86" t="s">
        <v>317</v>
      </c>
      <c r="OG86" t="s">
        <v>247</v>
      </c>
      <c r="OH86">
        <v>82</v>
      </c>
      <c r="OI86" t="s">
        <v>313</v>
      </c>
      <c r="OJ86" t="s">
        <v>318</v>
      </c>
      <c r="OK86">
        <v>130</v>
      </c>
      <c r="OL86">
        <v>0.66153846153846152</v>
      </c>
      <c r="OM86">
        <v>0.98837209302325579</v>
      </c>
      <c r="ON86">
        <f>-13.88</f>
        <v>-13.88</v>
      </c>
      <c r="OO86">
        <v>10.7</v>
      </c>
      <c r="OP86" s="25">
        <v>2.7055948370727734</v>
      </c>
      <c r="OQ86" s="25">
        <v>3.1561518457443429</v>
      </c>
      <c r="OR86" t="s">
        <v>909</v>
      </c>
      <c r="OS86" t="s">
        <v>911</v>
      </c>
    </row>
    <row r="87" spans="1:409" x14ac:dyDescent="0.25">
      <c r="A87">
        <v>86</v>
      </c>
      <c r="B87" s="1">
        <v>132</v>
      </c>
      <c r="C87" s="1">
        <v>72</v>
      </c>
      <c r="D87" s="1">
        <v>1</v>
      </c>
      <c r="E87" s="1">
        <v>0</v>
      </c>
      <c r="F87" s="1">
        <v>292</v>
      </c>
      <c r="G87" s="1">
        <v>125</v>
      </c>
      <c r="H87" s="1">
        <v>16</v>
      </c>
      <c r="I87" s="1">
        <v>0</v>
      </c>
      <c r="J87" s="1">
        <v>0</v>
      </c>
      <c r="K87" s="1">
        <v>3</v>
      </c>
      <c r="L87" s="1">
        <v>828</v>
      </c>
      <c r="M87" s="1">
        <v>0</v>
      </c>
      <c r="N87" s="1">
        <v>136</v>
      </c>
      <c r="O87" s="1">
        <v>0</v>
      </c>
      <c r="P87" s="1">
        <v>0</v>
      </c>
      <c r="Q87" s="1">
        <v>0</v>
      </c>
      <c r="R87" s="1">
        <v>13</v>
      </c>
      <c r="S87" s="1">
        <v>0</v>
      </c>
      <c r="T87" s="1">
        <v>4</v>
      </c>
      <c r="U87" s="1">
        <v>0</v>
      </c>
      <c r="V87" s="1">
        <v>0</v>
      </c>
      <c r="W87" s="1">
        <v>0</v>
      </c>
      <c r="X87" s="2">
        <v>1622</v>
      </c>
      <c r="Y87" s="3"/>
      <c r="Z87" s="15">
        <f t="shared" si="307"/>
        <v>3.1715658949471899</v>
      </c>
      <c r="AA87" s="15">
        <f t="shared" si="308"/>
        <v>1.7299450336075581</v>
      </c>
      <c r="AB87" s="15">
        <f t="shared" si="309"/>
        <v>2.4027014355660528E-2</v>
      </c>
      <c r="AC87" s="15">
        <f t="shared" si="310"/>
        <v>0</v>
      </c>
      <c r="AD87" s="15">
        <f t="shared" si="311"/>
        <v>7.0158881918528753</v>
      </c>
      <c r="AE87" s="15">
        <f t="shared" si="312"/>
        <v>3.0033767944575662</v>
      </c>
      <c r="AF87" s="15">
        <f t="shared" si="313"/>
        <v>0.38443222969056845</v>
      </c>
      <c r="AG87" s="15">
        <f t="shared" si="314"/>
        <v>0</v>
      </c>
      <c r="AH87" s="15">
        <f t="shared" si="315"/>
        <v>0</v>
      </c>
      <c r="AI87" s="15">
        <f t="shared" si="316"/>
        <v>7.2081043066981584E-2</v>
      </c>
      <c r="AJ87" s="15">
        <f t="shared" si="317"/>
        <v>19.894367886486918</v>
      </c>
      <c r="AK87" s="15">
        <f t="shared" si="318"/>
        <v>0</v>
      </c>
      <c r="AL87" s="15">
        <f t="shared" si="319"/>
        <v>3.2676739523698322</v>
      </c>
      <c r="AM87" s="15">
        <f t="shared" si="320"/>
        <v>0</v>
      </c>
      <c r="AN87" s="15">
        <f t="shared" si="321"/>
        <v>0</v>
      </c>
      <c r="AO87" s="15">
        <f t="shared" si="322"/>
        <v>0</v>
      </c>
      <c r="AP87" s="15">
        <f t="shared" si="323"/>
        <v>0.31235118662358685</v>
      </c>
      <c r="AQ87" s="15">
        <f t="shared" si="324"/>
        <v>0</v>
      </c>
      <c r="AR87" s="15">
        <f t="shared" si="325"/>
        <v>9.6108057422642112E-2</v>
      </c>
      <c r="AS87" s="15">
        <f t="shared" si="326"/>
        <v>0</v>
      </c>
      <c r="AT87" s="15">
        <f t="shared" si="327"/>
        <v>0</v>
      </c>
      <c r="AU87" s="15">
        <f t="shared" si="328"/>
        <v>0</v>
      </c>
      <c r="AV87" s="5">
        <f t="shared" si="329"/>
        <v>38.971817284881382</v>
      </c>
      <c r="AW87" s="16"/>
      <c r="AX87" s="6">
        <v>2200</v>
      </c>
      <c r="AY87" s="6">
        <v>1200</v>
      </c>
      <c r="AZ87" s="6">
        <v>16.666666666666668</v>
      </c>
      <c r="BA87" s="6">
        <v>0</v>
      </c>
      <c r="BB87" s="6">
        <v>4866.666666666667</v>
      </c>
      <c r="BC87" s="6">
        <v>2083.3333333333335</v>
      </c>
      <c r="BD87" s="6">
        <v>266.66666666666669</v>
      </c>
      <c r="BE87" s="6">
        <v>0</v>
      </c>
      <c r="BF87" s="6">
        <v>0</v>
      </c>
      <c r="BG87" s="6">
        <v>50</v>
      </c>
      <c r="BH87" s="6">
        <v>13800</v>
      </c>
      <c r="BI87" s="6">
        <v>0</v>
      </c>
      <c r="BJ87" s="6">
        <v>2266.666666666667</v>
      </c>
      <c r="BK87" s="6">
        <v>0</v>
      </c>
      <c r="BL87" s="6">
        <v>0</v>
      </c>
      <c r="BM87" s="6">
        <v>0</v>
      </c>
      <c r="BN87" s="6">
        <v>216.66666666666669</v>
      </c>
      <c r="BO87" s="6">
        <v>0</v>
      </c>
      <c r="BP87" s="6">
        <v>66.666666666666671</v>
      </c>
      <c r="BQ87" s="6">
        <v>0</v>
      </c>
      <c r="BR87" s="6">
        <v>0</v>
      </c>
      <c r="BS87" s="6">
        <v>0</v>
      </c>
      <c r="BT87" s="7">
        <v>27033.333333333339</v>
      </c>
      <c r="BU87" s="16"/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1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2</v>
      </c>
      <c r="CM87" s="8">
        <v>0</v>
      </c>
      <c r="CN87" s="8">
        <v>39</v>
      </c>
      <c r="CO87" s="8">
        <v>0</v>
      </c>
      <c r="CP87" s="8">
        <v>0</v>
      </c>
      <c r="CQ87" s="8">
        <v>0</v>
      </c>
      <c r="CR87" s="8">
        <v>1</v>
      </c>
      <c r="CS87" s="8">
        <v>1</v>
      </c>
      <c r="CT87" s="8">
        <v>0</v>
      </c>
      <c r="CU87" s="8">
        <v>2</v>
      </c>
      <c r="CV87" s="8">
        <v>0</v>
      </c>
      <c r="CW87" s="8">
        <v>0</v>
      </c>
      <c r="CX87" s="8">
        <v>0</v>
      </c>
      <c r="CY87" s="8">
        <v>3</v>
      </c>
      <c r="CZ87" s="8">
        <v>0</v>
      </c>
      <c r="DA87" s="8">
        <v>0</v>
      </c>
      <c r="DB87" s="8">
        <v>2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16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1</v>
      </c>
      <c r="EE87" s="8">
        <v>1</v>
      </c>
      <c r="EF87" s="8">
        <v>3</v>
      </c>
      <c r="EG87" s="8">
        <v>0</v>
      </c>
      <c r="EH87" s="8">
        <v>0</v>
      </c>
      <c r="EI87" s="8">
        <v>0</v>
      </c>
      <c r="EJ87" s="8">
        <v>0</v>
      </c>
      <c r="EK87" s="8">
        <v>2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6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1</v>
      </c>
      <c r="FB87" s="8">
        <v>0</v>
      </c>
      <c r="FC87" s="8">
        <v>0</v>
      </c>
      <c r="FD87" s="8">
        <v>0</v>
      </c>
      <c r="FE87" s="8">
        <v>1</v>
      </c>
      <c r="FF87" s="8">
        <v>0</v>
      </c>
      <c r="FG87" s="8">
        <v>0</v>
      </c>
      <c r="FH87" s="8">
        <v>0</v>
      </c>
      <c r="FI87" s="8">
        <v>2</v>
      </c>
      <c r="FJ87" s="8">
        <v>0</v>
      </c>
      <c r="FK87" s="8">
        <v>0</v>
      </c>
      <c r="FL87" s="8">
        <v>0</v>
      </c>
      <c r="FM87" s="8">
        <v>5</v>
      </c>
      <c r="FN87" s="8">
        <v>0</v>
      </c>
      <c r="FO87" s="8">
        <v>0</v>
      </c>
      <c r="FP87" s="8">
        <v>0</v>
      </c>
      <c r="FQ87" s="8">
        <v>1</v>
      </c>
      <c r="FR87" s="8">
        <v>5</v>
      </c>
      <c r="FS87" s="8">
        <v>0</v>
      </c>
      <c r="FT87" s="8">
        <v>0</v>
      </c>
      <c r="FU87" s="8">
        <v>0</v>
      </c>
      <c r="FV87" s="8">
        <v>0</v>
      </c>
      <c r="FW87" s="8">
        <v>0</v>
      </c>
      <c r="FX87" s="8">
        <v>0</v>
      </c>
      <c r="FY87" s="8">
        <v>0</v>
      </c>
      <c r="FZ87" s="8">
        <v>0</v>
      </c>
      <c r="GA87" s="8">
        <v>1</v>
      </c>
      <c r="GB87" s="8">
        <v>0</v>
      </c>
      <c r="GC87" s="8">
        <v>1</v>
      </c>
      <c r="GD87" s="8">
        <v>0</v>
      </c>
      <c r="GE87" s="8">
        <v>0</v>
      </c>
      <c r="GF87" s="9">
        <v>97</v>
      </c>
      <c r="GG87" s="3"/>
      <c r="GH87" s="10">
        <f t="shared" si="330"/>
        <v>0</v>
      </c>
      <c r="GI87" s="10">
        <f t="shared" si="331"/>
        <v>0</v>
      </c>
      <c r="GJ87" s="10">
        <f t="shared" si="332"/>
        <v>0</v>
      </c>
      <c r="GK87" s="10">
        <f t="shared" si="333"/>
        <v>0</v>
      </c>
      <c r="GL87" s="10">
        <f t="shared" si="334"/>
        <v>0</v>
      </c>
      <c r="GM87" s="10">
        <f t="shared" si="335"/>
        <v>0</v>
      </c>
      <c r="GN87" s="10">
        <f t="shared" si="336"/>
        <v>0</v>
      </c>
      <c r="GO87" s="10">
        <f t="shared" si="337"/>
        <v>0</v>
      </c>
      <c r="GP87" s="10">
        <f t="shared" si="338"/>
        <v>0</v>
      </c>
      <c r="GQ87" s="10">
        <f t="shared" si="339"/>
        <v>0</v>
      </c>
      <c r="GR87" s="10">
        <f t="shared" si="340"/>
        <v>22.680412371134022</v>
      </c>
      <c r="GS87" s="10">
        <f t="shared" si="341"/>
        <v>0</v>
      </c>
      <c r="GT87" s="10">
        <f t="shared" si="342"/>
        <v>0</v>
      </c>
      <c r="GU87" s="10">
        <f t="shared" si="343"/>
        <v>0</v>
      </c>
      <c r="GV87" s="10">
        <f t="shared" si="344"/>
        <v>0</v>
      </c>
      <c r="GW87" s="10">
        <f t="shared" si="345"/>
        <v>0</v>
      </c>
      <c r="GX87" s="10">
        <f t="shared" si="346"/>
        <v>45.360824742268044</v>
      </c>
      <c r="GY87" s="10">
        <f t="shared" si="347"/>
        <v>0</v>
      </c>
      <c r="GZ87" s="10">
        <f t="shared" si="348"/>
        <v>884.53608247422687</v>
      </c>
      <c r="HA87" s="10">
        <f t="shared" si="349"/>
        <v>0</v>
      </c>
      <c r="HB87" s="10">
        <f t="shared" si="350"/>
        <v>0</v>
      </c>
      <c r="HC87" s="10">
        <f t="shared" si="351"/>
        <v>0</v>
      </c>
      <c r="HD87" s="10">
        <f t="shared" si="352"/>
        <v>22.680412371134022</v>
      </c>
      <c r="HE87" s="10">
        <f t="shared" si="353"/>
        <v>22.680412371134022</v>
      </c>
      <c r="HF87" s="10">
        <f t="shared" si="354"/>
        <v>0</v>
      </c>
      <c r="HG87" s="10">
        <f t="shared" si="355"/>
        <v>45.360824742268044</v>
      </c>
      <c r="HH87" s="10">
        <f t="shared" si="356"/>
        <v>0</v>
      </c>
      <c r="HI87" s="10">
        <f t="shared" si="357"/>
        <v>0</v>
      </c>
      <c r="HJ87" s="10">
        <f t="shared" si="358"/>
        <v>0</v>
      </c>
      <c r="HK87" s="10">
        <f t="shared" si="359"/>
        <v>68.041237113402062</v>
      </c>
      <c r="HL87" s="10">
        <f t="shared" si="360"/>
        <v>0</v>
      </c>
      <c r="HM87" s="10">
        <f t="shared" si="361"/>
        <v>0</v>
      </c>
      <c r="HN87" s="10">
        <f t="shared" si="362"/>
        <v>45.360824742268044</v>
      </c>
      <c r="HO87" s="10">
        <f t="shared" si="363"/>
        <v>0</v>
      </c>
      <c r="HP87" s="10">
        <f t="shared" si="364"/>
        <v>0</v>
      </c>
      <c r="HQ87" s="10">
        <f t="shared" si="365"/>
        <v>0</v>
      </c>
      <c r="HR87" s="10">
        <f t="shared" si="366"/>
        <v>0</v>
      </c>
      <c r="HS87" s="10">
        <f t="shared" si="367"/>
        <v>0</v>
      </c>
      <c r="HT87" s="10">
        <f t="shared" si="368"/>
        <v>0</v>
      </c>
      <c r="HU87" s="10">
        <f t="shared" si="369"/>
        <v>0</v>
      </c>
      <c r="HV87" s="10">
        <f t="shared" si="370"/>
        <v>0</v>
      </c>
      <c r="HW87" s="10">
        <f t="shared" si="371"/>
        <v>0</v>
      </c>
      <c r="HX87" s="10">
        <f t="shared" si="372"/>
        <v>0</v>
      </c>
      <c r="HY87" s="10">
        <f t="shared" si="373"/>
        <v>362.88659793814435</v>
      </c>
      <c r="HZ87" s="10">
        <f t="shared" si="374"/>
        <v>0</v>
      </c>
      <c r="IA87" s="10">
        <f t="shared" si="375"/>
        <v>0</v>
      </c>
      <c r="IB87" s="10">
        <f t="shared" si="376"/>
        <v>0</v>
      </c>
      <c r="IC87" s="10">
        <f t="shared" si="377"/>
        <v>0</v>
      </c>
      <c r="ID87" s="10">
        <f t="shared" si="378"/>
        <v>0</v>
      </c>
      <c r="IE87" s="10">
        <f t="shared" si="379"/>
        <v>0</v>
      </c>
      <c r="IF87" s="10">
        <f t="shared" si="380"/>
        <v>0</v>
      </c>
      <c r="IG87" s="10">
        <f t="shared" si="381"/>
        <v>0</v>
      </c>
      <c r="IH87" s="10">
        <f t="shared" si="382"/>
        <v>0</v>
      </c>
      <c r="II87" s="10">
        <f t="shared" si="383"/>
        <v>0</v>
      </c>
      <c r="IJ87" s="10">
        <f t="shared" si="384"/>
        <v>0</v>
      </c>
      <c r="IK87" s="10">
        <f t="shared" si="385"/>
        <v>0</v>
      </c>
      <c r="IL87" s="10">
        <f t="shared" si="386"/>
        <v>0</v>
      </c>
      <c r="IM87" s="10">
        <f t="shared" si="387"/>
        <v>0</v>
      </c>
      <c r="IN87" s="10">
        <f t="shared" si="388"/>
        <v>0</v>
      </c>
      <c r="IO87" s="10">
        <f t="shared" si="389"/>
        <v>0</v>
      </c>
      <c r="IP87" s="10">
        <f t="shared" si="390"/>
        <v>22.680412371134022</v>
      </c>
      <c r="IQ87" s="10">
        <f t="shared" si="391"/>
        <v>22.680412371134022</v>
      </c>
      <c r="IR87" s="10">
        <f t="shared" si="392"/>
        <v>68.041237113402062</v>
      </c>
      <c r="IS87" s="10">
        <f t="shared" si="393"/>
        <v>0</v>
      </c>
      <c r="IT87" s="10">
        <f t="shared" si="394"/>
        <v>0</v>
      </c>
      <c r="IU87" s="10">
        <f t="shared" si="395"/>
        <v>0</v>
      </c>
      <c r="IV87" s="10">
        <f t="shared" si="396"/>
        <v>0</v>
      </c>
      <c r="IW87" s="10">
        <f t="shared" si="397"/>
        <v>45.360824742268044</v>
      </c>
      <c r="IX87" s="10">
        <f t="shared" si="398"/>
        <v>0</v>
      </c>
      <c r="IY87" s="10">
        <f t="shared" si="399"/>
        <v>0</v>
      </c>
      <c r="IZ87" s="10">
        <f t="shared" si="400"/>
        <v>0</v>
      </c>
      <c r="JA87" s="10">
        <f t="shared" si="401"/>
        <v>0</v>
      </c>
      <c r="JB87" s="10">
        <f t="shared" si="402"/>
        <v>0</v>
      </c>
      <c r="JC87" s="10">
        <f t="shared" si="403"/>
        <v>0</v>
      </c>
      <c r="JD87" s="10">
        <f t="shared" si="404"/>
        <v>0</v>
      </c>
      <c r="JE87" s="10">
        <f t="shared" si="405"/>
        <v>136.08247422680412</v>
      </c>
      <c r="JF87" s="10">
        <f t="shared" si="406"/>
        <v>0</v>
      </c>
      <c r="JG87" s="10">
        <v>0</v>
      </c>
      <c r="JH87" s="10">
        <f t="shared" si="407"/>
        <v>0</v>
      </c>
      <c r="JI87" s="10">
        <f t="shared" si="408"/>
        <v>0</v>
      </c>
      <c r="JJ87" s="10">
        <f t="shared" si="409"/>
        <v>0</v>
      </c>
      <c r="JK87" s="10">
        <f t="shared" si="410"/>
        <v>0</v>
      </c>
      <c r="JL87" s="10">
        <f t="shared" si="411"/>
        <v>22.680412371134022</v>
      </c>
      <c r="JM87" s="10">
        <f t="shared" si="412"/>
        <v>0</v>
      </c>
      <c r="JN87" s="10">
        <f t="shared" si="413"/>
        <v>0</v>
      </c>
      <c r="JO87" s="10">
        <f t="shared" si="414"/>
        <v>0</v>
      </c>
      <c r="JP87" s="10">
        <f t="shared" si="415"/>
        <v>22.680412371134022</v>
      </c>
      <c r="JQ87" s="10">
        <f t="shared" si="416"/>
        <v>0</v>
      </c>
      <c r="JR87" s="10">
        <f t="shared" si="417"/>
        <v>0</v>
      </c>
      <c r="JS87" s="10">
        <f t="shared" si="418"/>
        <v>0</v>
      </c>
      <c r="JT87" s="10">
        <f t="shared" si="419"/>
        <v>45.360824742268044</v>
      </c>
      <c r="JU87" s="10">
        <f t="shared" si="420"/>
        <v>0</v>
      </c>
      <c r="JV87" s="10">
        <f t="shared" si="421"/>
        <v>0</v>
      </c>
      <c r="JW87" s="10">
        <f t="shared" si="422"/>
        <v>0</v>
      </c>
      <c r="JX87" s="10">
        <f t="shared" si="423"/>
        <v>113.4020618556701</v>
      </c>
      <c r="JY87" s="10">
        <f t="shared" si="424"/>
        <v>0</v>
      </c>
      <c r="JZ87" s="10">
        <f t="shared" si="425"/>
        <v>0</v>
      </c>
      <c r="KA87" s="10">
        <f t="shared" si="426"/>
        <v>0</v>
      </c>
      <c r="KB87" s="10">
        <f t="shared" si="427"/>
        <v>22.680412371134022</v>
      </c>
      <c r="KC87" s="10">
        <f t="shared" si="428"/>
        <v>113.4020618556701</v>
      </c>
      <c r="KD87" s="10">
        <f t="shared" si="429"/>
        <v>0</v>
      </c>
      <c r="KE87" s="10">
        <f t="shared" si="430"/>
        <v>0</v>
      </c>
      <c r="KF87" s="10">
        <f t="shared" si="431"/>
        <v>0</v>
      </c>
      <c r="KG87" s="10">
        <f t="shared" si="432"/>
        <v>0</v>
      </c>
      <c r="KH87" s="10">
        <f t="shared" si="433"/>
        <v>0</v>
      </c>
      <c r="KI87" s="10">
        <f t="shared" si="434"/>
        <v>0</v>
      </c>
      <c r="KJ87" s="10">
        <f t="shared" si="435"/>
        <v>0</v>
      </c>
      <c r="KK87" s="10">
        <f t="shared" si="436"/>
        <v>0</v>
      </c>
      <c r="KL87" s="10">
        <f t="shared" si="437"/>
        <v>22.680412371134022</v>
      </c>
      <c r="KM87" s="10">
        <f t="shared" si="438"/>
        <v>0</v>
      </c>
      <c r="KN87" s="10">
        <f t="shared" si="439"/>
        <v>22.680412371134022</v>
      </c>
      <c r="KO87" s="10">
        <f t="shared" si="440"/>
        <v>0</v>
      </c>
      <c r="KP87" s="10">
        <f t="shared" si="441"/>
        <v>0</v>
      </c>
      <c r="KQ87" s="11">
        <v>2200</v>
      </c>
      <c r="KR87" s="16"/>
      <c r="KS87" s="12">
        <v>6936.6365791262633</v>
      </c>
      <c r="KT87" s="26">
        <v>130</v>
      </c>
      <c r="KU87" s="26">
        <v>0.66153846153846152</v>
      </c>
      <c r="KV87" s="26">
        <v>0.98837209302325579</v>
      </c>
      <c r="KW87" s="26">
        <f>-13.88</f>
        <v>-13.88</v>
      </c>
      <c r="KX87" s="26">
        <v>10.7</v>
      </c>
      <c r="KY87" s="27">
        <v>2.7055948370727734</v>
      </c>
      <c r="KZ87" s="27">
        <v>3.1561518457443429</v>
      </c>
      <c r="LA87" s="17"/>
      <c r="LB87" s="2">
        <v>5266</v>
      </c>
      <c r="LC87" s="1">
        <v>6</v>
      </c>
      <c r="LD87" s="1">
        <v>0</v>
      </c>
      <c r="LE87" s="1">
        <v>0</v>
      </c>
      <c r="LF87" s="1">
        <v>0</v>
      </c>
      <c r="LG87" s="1">
        <v>44</v>
      </c>
      <c r="LH87" s="1">
        <v>0</v>
      </c>
      <c r="LI87" s="1">
        <v>0</v>
      </c>
      <c r="LJ87" s="1">
        <v>4</v>
      </c>
      <c r="LK87" s="1">
        <v>76</v>
      </c>
      <c r="LL87" s="1">
        <v>3588</v>
      </c>
      <c r="LM87" s="1">
        <v>760</v>
      </c>
      <c r="LN87" s="1">
        <v>612</v>
      </c>
      <c r="LO87" s="1">
        <v>2</v>
      </c>
      <c r="LP87" s="1">
        <v>4</v>
      </c>
      <c r="LQ87" s="1">
        <v>0</v>
      </c>
      <c r="LR87" s="1">
        <v>0</v>
      </c>
      <c r="LS87" s="1">
        <v>0</v>
      </c>
      <c r="LT87" s="1">
        <v>8</v>
      </c>
      <c r="LU87" s="1">
        <v>0</v>
      </c>
      <c r="LV87" s="1">
        <v>0</v>
      </c>
      <c r="LW87" s="1">
        <v>0</v>
      </c>
      <c r="LX87" s="1">
        <v>2</v>
      </c>
      <c r="LY87" s="1">
        <v>124</v>
      </c>
      <c r="LZ87" s="1">
        <v>16</v>
      </c>
      <c r="MA87" s="1">
        <v>2</v>
      </c>
      <c r="MB87" s="1">
        <v>0</v>
      </c>
      <c r="MC87" s="1">
        <v>0</v>
      </c>
      <c r="MD87" s="1">
        <v>12</v>
      </c>
      <c r="ME87" s="1">
        <v>0</v>
      </c>
      <c r="MF87" s="1">
        <v>0</v>
      </c>
      <c r="MG87" s="1">
        <v>0</v>
      </c>
      <c r="MH87" s="1">
        <v>2</v>
      </c>
      <c r="MI87" s="1">
        <v>2</v>
      </c>
      <c r="MJ87" s="1">
        <v>2</v>
      </c>
      <c r="MK87" s="28"/>
      <c r="ML87" t="s">
        <v>903</v>
      </c>
      <c r="MM87" t="s">
        <v>311</v>
      </c>
      <c r="MN87" t="s">
        <v>320</v>
      </c>
      <c r="MO87" t="s">
        <v>337</v>
      </c>
      <c r="MP87" t="s">
        <v>338</v>
      </c>
      <c r="MQ87" t="s">
        <v>339</v>
      </c>
      <c r="MR87">
        <v>0.06</v>
      </c>
      <c r="MS87" t="s">
        <v>312</v>
      </c>
      <c r="MT87" t="s">
        <v>313</v>
      </c>
      <c r="MU87" t="s">
        <v>314</v>
      </c>
      <c r="MV87">
        <v>27033.333333333336</v>
      </c>
      <c r="MW87" s="13">
        <v>442</v>
      </c>
      <c r="MX87" s="13" t="s">
        <v>315</v>
      </c>
      <c r="MY87" t="s">
        <v>240</v>
      </c>
      <c r="MZ87" t="s">
        <v>241</v>
      </c>
      <c r="NA87" t="s">
        <v>242</v>
      </c>
      <c r="NB87" t="s">
        <v>306</v>
      </c>
      <c r="ND87" s="18">
        <v>43281</v>
      </c>
      <c r="NE87" s="19">
        <v>0.17361111111111113</v>
      </c>
      <c r="NF87" t="s">
        <v>316</v>
      </c>
      <c r="NG87" t="s">
        <v>245</v>
      </c>
      <c r="NH87" t="s">
        <v>246</v>
      </c>
      <c r="NI87">
        <v>88</v>
      </c>
      <c r="NJ87" t="s">
        <v>244</v>
      </c>
      <c r="NK87">
        <v>5</v>
      </c>
      <c r="NL87" t="s">
        <v>247</v>
      </c>
      <c r="NM87">
        <v>29.6403</v>
      </c>
      <c r="NN87">
        <v>-84.906679999999994</v>
      </c>
      <c r="NO87" t="s">
        <v>248</v>
      </c>
      <c r="NP87" t="s">
        <v>249</v>
      </c>
      <c r="NQ87">
        <v>9</v>
      </c>
      <c r="NR87" t="s">
        <v>247</v>
      </c>
      <c r="NS87" t="s">
        <v>244</v>
      </c>
      <c r="NT87">
        <v>982000410605342</v>
      </c>
      <c r="NU87" t="s">
        <v>244</v>
      </c>
      <c r="NV87" t="s">
        <v>247</v>
      </c>
      <c r="NW87" t="s">
        <v>313</v>
      </c>
      <c r="NX87" t="s">
        <v>314</v>
      </c>
      <c r="NY87">
        <v>96</v>
      </c>
      <c r="NZ87">
        <v>94</v>
      </c>
      <c r="OA87">
        <v>92</v>
      </c>
      <c r="OB87" s="14">
        <v>6936.6365791262633</v>
      </c>
      <c r="OC87" t="s">
        <v>248</v>
      </c>
      <c r="OD87" t="s">
        <v>247</v>
      </c>
      <c r="OE87" t="s">
        <v>248</v>
      </c>
      <c r="OF87" t="s">
        <v>317</v>
      </c>
      <c r="OG87" t="s">
        <v>247</v>
      </c>
      <c r="OH87">
        <v>81</v>
      </c>
      <c r="OI87" t="s">
        <v>313</v>
      </c>
      <c r="OJ87" t="s">
        <v>318</v>
      </c>
      <c r="OK87">
        <v>130</v>
      </c>
      <c r="OL87">
        <v>0.66153846153846152</v>
      </c>
      <c r="OM87">
        <v>0.98837209302325579</v>
      </c>
      <c r="ON87">
        <f>-13.88</f>
        <v>-13.88</v>
      </c>
      <c r="OO87">
        <v>10.7</v>
      </c>
      <c r="OP87" s="25">
        <v>2.7055948370727734</v>
      </c>
      <c r="OQ87" s="25">
        <v>3.1561518457443429</v>
      </c>
      <c r="OR87" t="s">
        <v>909</v>
      </c>
      <c r="OS87" t="s">
        <v>911</v>
      </c>
    </row>
    <row r="88" spans="1:409" x14ac:dyDescent="0.25">
      <c r="A88">
        <v>87</v>
      </c>
      <c r="B88" s="1">
        <v>6</v>
      </c>
      <c r="C88" s="1">
        <v>0</v>
      </c>
      <c r="D88" s="1">
        <v>0</v>
      </c>
      <c r="E88" s="1">
        <v>0</v>
      </c>
      <c r="F88" s="1">
        <v>126</v>
      </c>
      <c r="G88" s="1">
        <v>2</v>
      </c>
      <c r="H88" s="1">
        <v>3</v>
      </c>
      <c r="I88" s="1">
        <v>0</v>
      </c>
      <c r="J88" s="1">
        <v>102</v>
      </c>
      <c r="K88" s="1">
        <v>1</v>
      </c>
      <c r="L88" s="1">
        <v>6</v>
      </c>
      <c r="M88" s="1">
        <v>0</v>
      </c>
      <c r="N88" s="1">
        <v>72</v>
      </c>
      <c r="O88" s="1">
        <v>0</v>
      </c>
      <c r="P88" s="1">
        <v>0</v>
      </c>
      <c r="Q88" s="1">
        <v>15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2">
        <v>333</v>
      </c>
      <c r="Y88" s="3"/>
      <c r="Z88" s="15">
        <f t="shared" si="307"/>
        <v>9.6943974797925186E-3</v>
      </c>
      <c r="AA88" s="15">
        <f t="shared" si="308"/>
        <v>0</v>
      </c>
      <c r="AB88" s="15">
        <f t="shared" si="309"/>
        <v>0</v>
      </c>
      <c r="AC88" s="15">
        <f t="shared" si="310"/>
        <v>0</v>
      </c>
      <c r="AD88" s="15">
        <f t="shared" si="311"/>
        <v>0.20358234707564288</v>
      </c>
      <c r="AE88" s="15">
        <f t="shared" si="312"/>
        <v>3.2314658265975059E-3</v>
      </c>
      <c r="AF88" s="15">
        <f t="shared" si="313"/>
        <v>4.8471987398962593E-3</v>
      </c>
      <c r="AG88" s="15">
        <f t="shared" si="314"/>
        <v>0</v>
      </c>
      <c r="AH88" s="15">
        <f t="shared" si="315"/>
        <v>0.1648047571564728</v>
      </c>
      <c r="AI88" s="15">
        <f t="shared" si="316"/>
        <v>1.615732913298753E-3</v>
      </c>
      <c r="AJ88" s="15">
        <f t="shared" si="317"/>
        <v>9.6943974797925186E-3</v>
      </c>
      <c r="AK88" s="15">
        <f t="shared" si="318"/>
        <v>0</v>
      </c>
      <c r="AL88" s="15">
        <f t="shared" si="319"/>
        <v>0.11633276975751021</v>
      </c>
      <c r="AM88" s="15">
        <f t="shared" si="320"/>
        <v>0</v>
      </c>
      <c r="AN88" s="15">
        <f t="shared" si="321"/>
        <v>0</v>
      </c>
      <c r="AO88" s="15">
        <f t="shared" si="322"/>
        <v>2.4235993699481293E-2</v>
      </c>
      <c r="AP88" s="15">
        <f t="shared" si="323"/>
        <v>0</v>
      </c>
      <c r="AQ88" s="15">
        <f t="shared" si="324"/>
        <v>0</v>
      </c>
      <c r="AR88" s="15">
        <f t="shared" si="325"/>
        <v>0</v>
      </c>
      <c r="AS88" s="15">
        <f t="shared" si="326"/>
        <v>0</v>
      </c>
      <c r="AT88" s="15">
        <f t="shared" si="327"/>
        <v>0</v>
      </c>
      <c r="AU88" s="15">
        <f t="shared" si="328"/>
        <v>0</v>
      </c>
      <c r="AV88" s="5">
        <f t="shared" si="329"/>
        <v>0.53803906012848468</v>
      </c>
      <c r="AW88" s="16"/>
      <c r="AX88" s="6">
        <v>6</v>
      </c>
      <c r="AY88" s="6">
        <v>0</v>
      </c>
      <c r="AZ88" s="6">
        <v>0</v>
      </c>
      <c r="BA88" s="6">
        <v>0</v>
      </c>
      <c r="BB88" s="6">
        <v>126</v>
      </c>
      <c r="BC88" s="6">
        <v>2</v>
      </c>
      <c r="BD88" s="6">
        <v>3</v>
      </c>
      <c r="BE88" s="6">
        <v>0</v>
      </c>
      <c r="BF88" s="6">
        <v>102</v>
      </c>
      <c r="BG88" s="6">
        <v>1</v>
      </c>
      <c r="BH88" s="6">
        <v>6</v>
      </c>
      <c r="BI88" s="6">
        <v>0</v>
      </c>
      <c r="BJ88" s="6">
        <v>72</v>
      </c>
      <c r="BK88" s="6">
        <v>0</v>
      </c>
      <c r="BL88" s="6">
        <v>0</v>
      </c>
      <c r="BM88" s="6">
        <v>15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7">
        <v>333</v>
      </c>
      <c r="BU88" s="16"/>
      <c r="BV88" s="8">
        <v>0</v>
      </c>
      <c r="BW88" s="8">
        <v>1.0000000000000002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1.0000000000000002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3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9">
        <v>5</v>
      </c>
      <c r="GG88" s="3"/>
      <c r="GH88" s="10">
        <f t="shared" si="330"/>
        <v>0</v>
      </c>
      <c r="GI88" s="10">
        <f t="shared" si="331"/>
        <v>1.2000000000000002</v>
      </c>
      <c r="GJ88" s="10">
        <f t="shared" si="332"/>
        <v>0</v>
      </c>
      <c r="GK88" s="10">
        <f t="shared" si="333"/>
        <v>0</v>
      </c>
      <c r="GL88" s="10">
        <f t="shared" si="334"/>
        <v>0</v>
      </c>
      <c r="GM88" s="10">
        <f t="shared" si="335"/>
        <v>0</v>
      </c>
      <c r="GN88" s="10">
        <f t="shared" si="336"/>
        <v>0</v>
      </c>
      <c r="GO88" s="10">
        <f t="shared" si="337"/>
        <v>0</v>
      </c>
      <c r="GP88" s="10">
        <f t="shared" si="338"/>
        <v>0</v>
      </c>
      <c r="GQ88" s="10">
        <f t="shared" si="339"/>
        <v>0</v>
      </c>
      <c r="GR88" s="10">
        <f t="shared" si="340"/>
        <v>0</v>
      </c>
      <c r="GS88" s="10">
        <f t="shared" si="341"/>
        <v>0</v>
      </c>
      <c r="GT88" s="10">
        <f t="shared" si="342"/>
        <v>0</v>
      </c>
      <c r="GU88" s="10">
        <f t="shared" si="343"/>
        <v>0</v>
      </c>
      <c r="GV88" s="10">
        <f t="shared" si="344"/>
        <v>0</v>
      </c>
      <c r="GW88" s="10">
        <f t="shared" si="345"/>
        <v>0</v>
      </c>
      <c r="GX88" s="10">
        <f t="shared" si="346"/>
        <v>0</v>
      </c>
      <c r="GY88" s="10">
        <f t="shared" si="347"/>
        <v>0</v>
      </c>
      <c r="GZ88" s="10">
        <f t="shared" si="348"/>
        <v>0</v>
      </c>
      <c r="HA88" s="10">
        <f t="shared" si="349"/>
        <v>0</v>
      </c>
      <c r="HB88" s="10">
        <f t="shared" si="350"/>
        <v>0</v>
      </c>
      <c r="HC88" s="10">
        <f t="shared" si="351"/>
        <v>0</v>
      </c>
      <c r="HD88" s="10">
        <f t="shared" si="352"/>
        <v>0</v>
      </c>
      <c r="HE88" s="10">
        <f t="shared" si="353"/>
        <v>0</v>
      </c>
      <c r="HF88" s="10">
        <f t="shared" si="354"/>
        <v>0</v>
      </c>
      <c r="HG88" s="10">
        <f t="shared" si="355"/>
        <v>0</v>
      </c>
      <c r="HH88" s="10">
        <f t="shared" si="356"/>
        <v>0</v>
      </c>
      <c r="HI88" s="10">
        <f t="shared" si="357"/>
        <v>0</v>
      </c>
      <c r="HJ88" s="10">
        <f t="shared" si="358"/>
        <v>0</v>
      </c>
      <c r="HK88" s="10">
        <f t="shared" si="359"/>
        <v>0</v>
      </c>
      <c r="HL88" s="10">
        <f t="shared" si="360"/>
        <v>0</v>
      </c>
      <c r="HM88" s="10">
        <f t="shared" si="361"/>
        <v>0</v>
      </c>
      <c r="HN88" s="10">
        <f t="shared" si="362"/>
        <v>0</v>
      </c>
      <c r="HO88" s="10">
        <f t="shared" si="363"/>
        <v>0</v>
      </c>
      <c r="HP88" s="10">
        <f t="shared" si="364"/>
        <v>0</v>
      </c>
      <c r="HQ88" s="10">
        <f t="shared" si="365"/>
        <v>0</v>
      </c>
      <c r="HR88" s="10">
        <f t="shared" si="366"/>
        <v>0</v>
      </c>
      <c r="HS88" s="10">
        <f t="shared" si="367"/>
        <v>0</v>
      </c>
      <c r="HT88" s="10">
        <f t="shared" si="368"/>
        <v>0</v>
      </c>
      <c r="HU88" s="10">
        <f t="shared" si="369"/>
        <v>0</v>
      </c>
      <c r="HV88" s="10">
        <f t="shared" si="370"/>
        <v>0</v>
      </c>
      <c r="HW88" s="10">
        <f t="shared" si="371"/>
        <v>0</v>
      </c>
      <c r="HX88" s="10">
        <f t="shared" si="372"/>
        <v>0</v>
      </c>
      <c r="HY88" s="10">
        <f t="shared" si="373"/>
        <v>0</v>
      </c>
      <c r="HZ88" s="10">
        <f t="shared" si="374"/>
        <v>0</v>
      </c>
      <c r="IA88" s="10">
        <f t="shared" si="375"/>
        <v>0</v>
      </c>
      <c r="IB88" s="10">
        <f t="shared" si="376"/>
        <v>0</v>
      </c>
      <c r="IC88" s="10">
        <f t="shared" si="377"/>
        <v>0</v>
      </c>
      <c r="ID88" s="10">
        <f t="shared" si="378"/>
        <v>0</v>
      </c>
      <c r="IE88" s="10">
        <f t="shared" si="379"/>
        <v>0</v>
      </c>
      <c r="IF88" s="10">
        <f t="shared" si="380"/>
        <v>0</v>
      </c>
      <c r="IG88" s="10">
        <f t="shared" si="381"/>
        <v>0</v>
      </c>
      <c r="IH88" s="10">
        <f t="shared" si="382"/>
        <v>0</v>
      </c>
      <c r="II88" s="10">
        <f t="shared" si="383"/>
        <v>0</v>
      </c>
      <c r="IJ88" s="10">
        <f t="shared" si="384"/>
        <v>0</v>
      </c>
      <c r="IK88" s="10">
        <f t="shared" si="385"/>
        <v>0</v>
      </c>
      <c r="IL88" s="10">
        <f t="shared" si="386"/>
        <v>0</v>
      </c>
      <c r="IM88" s="10">
        <f t="shared" si="387"/>
        <v>0</v>
      </c>
      <c r="IN88" s="10">
        <f t="shared" si="388"/>
        <v>0</v>
      </c>
      <c r="IO88" s="10">
        <f t="shared" si="389"/>
        <v>0</v>
      </c>
      <c r="IP88" s="10">
        <f t="shared" si="390"/>
        <v>0</v>
      </c>
      <c r="IQ88" s="10">
        <f t="shared" si="391"/>
        <v>0</v>
      </c>
      <c r="IR88" s="10">
        <f t="shared" si="392"/>
        <v>0</v>
      </c>
      <c r="IS88" s="10">
        <f t="shared" si="393"/>
        <v>0</v>
      </c>
      <c r="IT88" s="10">
        <f t="shared" si="394"/>
        <v>0</v>
      </c>
      <c r="IU88" s="10">
        <f t="shared" si="395"/>
        <v>0</v>
      </c>
      <c r="IV88" s="10">
        <f t="shared" si="396"/>
        <v>0</v>
      </c>
      <c r="IW88" s="10">
        <f t="shared" si="397"/>
        <v>0</v>
      </c>
      <c r="IX88" s="10">
        <f t="shared" si="398"/>
        <v>0</v>
      </c>
      <c r="IY88" s="10">
        <f t="shared" si="399"/>
        <v>0</v>
      </c>
      <c r="IZ88" s="10">
        <f t="shared" si="400"/>
        <v>0</v>
      </c>
      <c r="JA88" s="10">
        <f t="shared" si="401"/>
        <v>0</v>
      </c>
      <c r="JB88" s="10">
        <f t="shared" si="402"/>
        <v>0</v>
      </c>
      <c r="JC88" s="10">
        <f t="shared" si="403"/>
        <v>0</v>
      </c>
      <c r="JD88" s="10">
        <f t="shared" si="404"/>
        <v>0</v>
      </c>
      <c r="JE88" s="10">
        <f t="shared" si="405"/>
        <v>0</v>
      </c>
      <c r="JF88" s="10">
        <f t="shared" si="406"/>
        <v>0</v>
      </c>
      <c r="JG88" s="10">
        <v>0</v>
      </c>
      <c r="JH88" s="10">
        <f t="shared" si="407"/>
        <v>0</v>
      </c>
      <c r="JI88" s="10">
        <f t="shared" si="408"/>
        <v>0</v>
      </c>
      <c r="JJ88" s="10">
        <f t="shared" si="409"/>
        <v>0</v>
      </c>
      <c r="JK88" s="10">
        <f t="shared" si="410"/>
        <v>0</v>
      </c>
      <c r="JL88" s="10">
        <f t="shared" si="411"/>
        <v>0</v>
      </c>
      <c r="JM88" s="10">
        <f t="shared" si="412"/>
        <v>0</v>
      </c>
      <c r="JN88" s="10">
        <f t="shared" si="413"/>
        <v>0</v>
      </c>
      <c r="JO88" s="10">
        <f t="shared" si="414"/>
        <v>0</v>
      </c>
      <c r="JP88" s="10">
        <f t="shared" si="415"/>
        <v>0</v>
      </c>
      <c r="JQ88" s="10">
        <f t="shared" si="416"/>
        <v>0</v>
      </c>
      <c r="JR88" s="10">
        <f t="shared" si="417"/>
        <v>1.2000000000000002</v>
      </c>
      <c r="JS88" s="10">
        <f t="shared" si="418"/>
        <v>0</v>
      </c>
      <c r="JT88" s="10">
        <f t="shared" si="419"/>
        <v>0</v>
      </c>
      <c r="JU88" s="10">
        <f t="shared" si="420"/>
        <v>0</v>
      </c>
      <c r="JV88" s="10">
        <f t="shared" si="421"/>
        <v>0</v>
      </c>
      <c r="JW88" s="10">
        <f t="shared" si="422"/>
        <v>0</v>
      </c>
      <c r="JX88" s="10">
        <f t="shared" si="423"/>
        <v>3.5999999999999996</v>
      </c>
      <c r="JY88" s="10">
        <f t="shared" si="424"/>
        <v>0</v>
      </c>
      <c r="JZ88" s="10">
        <f t="shared" si="425"/>
        <v>0</v>
      </c>
      <c r="KA88" s="10">
        <f t="shared" si="426"/>
        <v>0</v>
      </c>
      <c r="KB88" s="10">
        <f t="shared" si="427"/>
        <v>0</v>
      </c>
      <c r="KC88" s="10">
        <f t="shared" si="428"/>
        <v>0</v>
      </c>
      <c r="KD88" s="10">
        <f t="shared" si="429"/>
        <v>0</v>
      </c>
      <c r="KE88" s="10">
        <f t="shared" si="430"/>
        <v>0</v>
      </c>
      <c r="KF88" s="10">
        <f t="shared" si="431"/>
        <v>0</v>
      </c>
      <c r="KG88" s="10">
        <f t="shared" si="432"/>
        <v>0</v>
      </c>
      <c r="KH88" s="10">
        <f t="shared" si="433"/>
        <v>0</v>
      </c>
      <c r="KI88" s="10">
        <f t="shared" si="434"/>
        <v>0</v>
      </c>
      <c r="KJ88" s="10">
        <f t="shared" si="435"/>
        <v>0</v>
      </c>
      <c r="KK88" s="10">
        <f t="shared" si="436"/>
        <v>0</v>
      </c>
      <c r="KL88" s="10">
        <f t="shared" si="437"/>
        <v>0</v>
      </c>
      <c r="KM88" s="10">
        <f t="shared" si="438"/>
        <v>0</v>
      </c>
      <c r="KN88" s="10">
        <f t="shared" si="439"/>
        <v>0</v>
      </c>
      <c r="KO88" s="10">
        <f t="shared" si="440"/>
        <v>0</v>
      </c>
      <c r="KP88" s="10">
        <f t="shared" si="441"/>
        <v>0</v>
      </c>
      <c r="KQ88" s="11">
        <v>6</v>
      </c>
      <c r="KR88" s="16"/>
      <c r="KS88" s="12">
        <v>6189.1417310943743</v>
      </c>
      <c r="KT88" s="26">
        <v>98</v>
      </c>
      <c r="KU88" s="26">
        <v>0</v>
      </c>
      <c r="KV88" s="26"/>
      <c r="KW88" s="26">
        <v>-15.01</v>
      </c>
      <c r="KX88" s="26">
        <v>11.03</v>
      </c>
      <c r="KY88" s="27">
        <v>2.9897248032524417</v>
      </c>
      <c r="KZ88" s="27">
        <v>3.4875973766500175</v>
      </c>
      <c r="LA88" s="17"/>
      <c r="LB88" s="2">
        <v>97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44</v>
      </c>
      <c r="LM88" s="1">
        <v>3</v>
      </c>
      <c r="LN88" s="1">
        <v>0</v>
      </c>
      <c r="LO88" s="1">
        <v>0</v>
      </c>
      <c r="LP88" s="1">
        <v>2</v>
      </c>
      <c r="LQ88" s="1">
        <v>0</v>
      </c>
      <c r="LR88" s="1">
        <v>0</v>
      </c>
      <c r="LS88" s="1">
        <v>0</v>
      </c>
      <c r="LT88" s="1">
        <v>1</v>
      </c>
      <c r="LU88" s="1">
        <v>0</v>
      </c>
      <c r="LV88" s="1">
        <v>0</v>
      </c>
      <c r="LW88" s="1">
        <v>1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46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28"/>
      <c r="ML88" t="s">
        <v>904</v>
      </c>
      <c r="MM88" t="s">
        <v>478</v>
      </c>
      <c r="MN88" t="s">
        <v>320</v>
      </c>
      <c r="MO88" t="s">
        <v>321</v>
      </c>
      <c r="MP88" t="s">
        <v>322</v>
      </c>
      <c r="MQ88" t="s">
        <v>323</v>
      </c>
      <c r="MR88">
        <v>1</v>
      </c>
      <c r="MS88" t="s">
        <v>479</v>
      </c>
      <c r="MT88" t="s">
        <v>480</v>
      </c>
      <c r="MU88" t="s">
        <v>481</v>
      </c>
      <c r="MV88">
        <v>333</v>
      </c>
      <c r="MW88" s="13">
        <v>410</v>
      </c>
      <c r="MX88" s="13" t="s">
        <v>482</v>
      </c>
      <c r="MY88" t="s">
        <v>240</v>
      </c>
      <c r="MZ88" t="s">
        <v>241</v>
      </c>
      <c r="NA88" t="s">
        <v>242</v>
      </c>
      <c r="NB88" t="s">
        <v>483</v>
      </c>
      <c r="ND88" s="18">
        <v>43273</v>
      </c>
      <c r="NE88" s="19">
        <v>0.15277777777777776</v>
      </c>
      <c r="NF88" t="s">
        <v>244</v>
      </c>
      <c r="NG88" t="s">
        <v>245</v>
      </c>
      <c r="NH88" t="s">
        <v>246</v>
      </c>
      <c r="NI88" t="s">
        <v>244</v>
      </c>
      <c r="NJ88" t="s">
        <v>244</v>
      </c>
      <c r="NK88">
        <v>5</v>
      </c>
      <c r="NL88" t="s">
        <v>247</v>
      </c>
      <c r="NM88">
        <v>29.66507</v>
      </c>
      <c r="NN88">
        <v>-84.853530000000006</v>
      </c>
      <c r="NO88" t="s">
        <v>248</v>
      </c>
      <c r="NP88" t="s">
        <v>266</v>
      </c>
      <c r="NQ88" t="s">
        <v>244</v>
      </c>
      <c r="NR88" t="s">
        <v>247</v>
      </c>
      <c r="NS88" t="s">
        <v>484</v>
      </c>
      <c r="NT88" t="s">
        <v>244</v>
      </c>
      <c r="NU88" t="s">
        <v>244</v>
      </c>
      <c r="NV88" t="s">
        <v>248</v>
      </c>
      <c r="NW88" t="s">
        <v>480</v>
      </c>
      <c r="NX88" t="s">
        <v>481</v>
      </c>
      <c r="NY88">
        <v>92.6</v>
      </c>
      <c r="NZ88">
        <v>91.2</v>
      </c>
      <c r="OA88">
        <v>85.1</v>
      </c>
      <c r="OB88" s="14">
        <v>6189.1417310943743</v>
      </c>
      <c r="OC88" t="s">
        <v>248</v>
      </c>
      <c r="OD88" t="s">
        <v>247</v>
      </c>
      <c r="OE88" t="s">
        <v>248</v>
      </c>
      <c r="OF88" t="s">
        <v>485</v>
      </c>
      <c r="OG88" t="s">
        <v>247</v>
      </c>
      <c r="OI88" t="s">
        <v>480</v>
      </c>
      <c r="OK88">
        <v>98</v>
      </c>
      <c r="OL88">
        <v>0</v>
      </c>
      <c r="ON88">
        <v>-15.01</v>
      </c>
      <c r="OO88">
        <v>11.03</v>
      </c>
      <c r="OP88" s="25">
        <v>2.9897248032524417</v>
      </c>
      <c r="OQ88" s="25">
        <v>3.4875973766500175</v>
      </c>
      <c r="OR88" t="s">
        <v>909</v>
      </c>
      <c r="OS88" t="s">
        <v>911</v>
      </c>
    </row>
    <row r="89" spans="1:409" x14ac:dyDescent="0.25">
      <c r="A89">
        <v>88</v>
      </c>
      <c r="B89" s="1">
        <v>59</v>
      </c>
      <c r="C89" s="1">
        <v>15</v>
      </c>
      <c r="D89" s="1">
        <v>0</v>
      </c>
      <c r="E89" s="1">
        <v>0</v>
      </c>
      <c r="F89" s="1">
        <v>0</v>
      </c>
      <c r="G89" s="1">
        <v>12</v>
      </c>
      <c r="H89" s="1">
        <v>0</v>
      </c>
      <c r="I89" s="1">
        <v>1</v>
      </c>
      <c r="J89" s="1">
        <v>63</v>
      </c>
      <c r="K89" s="1">
        <v>0</v>
      </c>
      <c r="L89" s="1">
        <v>9</v>
      </c>
      <c r="M89" s="1">
        <v>0</v>
      </c>
      <c r="N89" s="1">
        <v>6</v>
      </c>
      <c r="O89" s="1">
        <v>0</v>
      </c>
      <c r="P89" s="1">
        <v>0</v>
      </c>
      <c r="Q89" s="1">
        <v>27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2">
        <v>192</v>
      </c>
      <c r="Y89" s="3"/>
      <c r="Z89" s="15">
        <f t="shared" si="307"/>
        <v>0.63552161256417616</v>
      </c>
      <c r="AA89" s="15">
        <f t="shared" si="308"/>
        <v>0.1615732913298753</v>
      </c>
      <c r="AB89" s="15">
        <f t="shared" si="309"/>
        <v>0</v>
      </c>
      <c r="AC89" s="15">
        <f t="shared" si="310"/>
        <v>0</v>
      </c>
      <c r="AD89" s="15">
        <f t="shared" si="311"/>
        <v>0</v>
      </c>
      <c r="AE89" s="15">
        <f t="shared" si="312"/>
        <v>0.12925863306390023</v>
      </c>
      <c r="AF89" s="15">
        <f t="shared" si="313"/>
        <v>0</v>
      </c>
      <c r="AG89" s="15">
        <f t="shared" si="314"/>
        <v>1.077155275532502E-2</v>
      </c>
      <c r="AH89" s="15">
        <f t="shared" si="315"/>
        <v>0.67860782358547622</v>
      </c>
      <c r="AI89" s="15">
        <f t="shared" si="316"/>
        <v>0</v>
      </c>
      <c r="AJ89" s="15">
        <f t="shared" si="317"/>
        <v>9.6943974797925173E-2</v>
      </c>
      <c r="AK89" s="15">
        <f t="shared" si="318"/>
        <v>0</v>
      </c>
      <c r="AL89" s="15">
        <f t="shared" si="319"/>
        <v>6.4629316531950115E-2</v>
      </c>
      <c r="AM89" s="15">
        <f t="shared" si="320"/>
        <v>0</v>
      </c>
      <c r="AN89" s="15">
        <f t="shared" si="321"/>
        <v>0</v>
      </c>
      <c r="AO89" s="15">
        <f t="shared" si="322"/>
        <v>0.29083192439377553</v>
      </c>
      <c r="AP89" s="15">
        <f t="shared" si="323"/>
        <v>0</v>
      </c>
      <c r="AQ89" s="15">
        <f t="shared" si="324"/>
        <v>0</v>
      </c>
      <c r="AR89" s="15">
        <f t="shared" si="325"/>
        <v>0</v>
      </c>
      <c r="AS89" s="15">
        <f t="shared" si="326"/>
        <v>0</v>
      </c>
      <c r="AT89" s="15">
        <f t="shared" si="327"/>
        <v>0</v>
      </c>
      <c r="AU89" s="15">
        <f t="shared" si="328"/>
        <v>0</v>
      </c>
      <c r="AV89" s="5">
        <f t="shared" si="329"/>
        <v>2.0681381290224037</v>
      </c>
      <c r="AW89" s="16"/>
      <c r="AX89" s="6">
        <v>393.33333333333337</v>
      </c>
      <c r="AY89" s="6">
        <v>100</v>
      </c>
      <c r="AZ89" s="6">
        <v>0</v>
      </c>
      <c r="BA89" s="6">
        <v>0</v>
      </c>
      <c r="BB89" s="6">
        <v>0</v>
      </c>
      <c r="BC89" s="6">
        <v>80</v>
      </c>
      <c r="BD89" s="6">
        <v>0</v>
      </c>
      <c r="BE89" s="6">
        <v>6.666666666666667</v>
      </c>
      <c r="BF89" s="6">
        <v>420</v>
      </c>
      <c r="BG89" s="6">
        <v>0</v>
      </c>
      <c r="BH89" s="6">
        <v>60</v>
      </c>
      <c r="BI89" s="6">
        <v>0</v>
      </c>
      <c r="BJ89" s="6">
        <v>40</v>
      </c>
      <c r="BK89" s="6">
        <v>0</v>
      </c>
      <c r="BL89" s="6">
        <v>0</v>
      </c>
      <c r="BM89" s="6">
        <v>180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7">
        <v>1280</v>
      </c>
      <c r="BU89" s="16"/>
      <c r="BV89" s="8">
        <v>0</v>
      </c>
      <c r="BW89" s="8">
        <v>10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14.999999999999998</v>
      </c>
      <c r="CO89" s="8">
        <v>0</v>
      </c>
      <c r="CP89" s="8">
        <v>0</v>
      </c>
      <c r="CQ89" s="8">
        <v>0</v>
      </c>
      <c r="CR89" s="8">
        <v>1</v>
      </c>
      <c r="CS89" s="8">
        <v>0</v>
      </c>
      <c r="CT89" s="8">
        <v>0</v>
      </c>
      <c r="CU89" s="8">
        <v>0</v>
      </c>
      <c r="CV89" s="8">
        <v>2</v>
      </c>
      <c r="CW89" s="8">
        <v>0</v>
      </c>
      <c r="CX89" s="8">
        <v>0</v>
      </c>
      <c r="CY89" s="8">
        <v>4</v>
      </c>
      <c r="CZ89" s="8">
        <v>0</v>
      </c>
      <c r="DA89" s="8">
        <v>2</v>
      </c>
      <c r="DB89" s="8">
        <v>0</v>
      </c>
      <c r="DC89" s="8">
        <v>1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1</v>
      </c>
      <c r="DK89" s="8">
        <v>0</v>
      </c>
      <c r="DL89" s="8">
        <v>0</v>
      </c>
      <c r="DM89" s="8">
        <v>2</v>
      </c>
      <c r="DN89" s="8">
        <v>1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1</v>
      </c>
      <c r="EB89" s="8">
        <v>0</v>
      </c>
      <c r="EC89" s="8">
        <v>0</v>
      </c>
      <c r="ED89" s="8">
        <v>0</v>
      </c>
      <c r="EE89" s="8">
        <v>1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1</v>
      </c>
      <c r="EL89" s="8">
        <v>0</v>
      </c>
      <c r="EM89" s="8">
        <v>0</v>
      </c>
      <c r="EN89" s="8">
        <v>0</v>
      </c>
      <c r="EO89" s="8">
        <v>0</v>
      </c>
      <c r="EP89" s="8">
        <v>1</v>
      </c>
      <c r="EQ89" s="8">
        <v>0</v>
      </c>
      <c r="ER89" s="8">
        <v>1</v>
      </c>
      <c r="ES89" s="8">
        <v>0</v>
      </c>
      <c r="ET89" s="8">
        <v>0</v>
      </c>
      <c r="EU89" s="8">
        <v>2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1</v>
      </c>
      <c r="FF89" s="8">
        <v>0</v>
      </c>
      <c r="FG89" s="8">
        <v>2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1</v>
      </c>
      <c r="FP89" s="8">
        <v>2</v>
      </c>
      <c r="FQ89" s="8">
        <v>0</v>
      </c>
      <c r="FR89" s="8">
        <v>0</v>
      </c>
      <c r="FS89" s="8">
        <v>0</v>
      </c>
      <c r="FT89" s="8">
        <v>1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1</v>
      </c>
      <c r="GB89" s="8">
        <v>0</v>
      </c>
      <c r="GC89" s="8">
        <v>1</v>
      </c>
      <c r="GD89" s="8">
        <v>0</v>
      </c>
      <c r="GE89" s="8">
        <v>0</v>
      </c>
      <c r="GF89" s="9">
        <v>55</v>
      </c>
      <c r="GG89" s="3"/>
      <c r="GH89" s="10">
        <f t="shared" si="330"/>
        <v>0</v>
      </c>
      <c r="GI89" s="10">
        <f t="shared" si="331"/>
        <v>71.51515151515153</v>
      </c>
      <c r="GJ89" s="10">
        <f t="shared" si="332"/>
        <v>0</v>
      </c>
      <c r="GK89" s="10">
        <f t="shared" si="333"/>
        <v>0</v>
      </c>
      <c r="GL89" s="10">
        <f t="shared" si="334"/>
        <v>0</v>
      </c>
      <c r="GM89" s="10">
        <f t="shared" si="335"/>
        <v>0</v>
      </c>
      <c r="GN89" s="10">
        <f t="shared" si="336"/>
        <v>0</v>
      </c>
      <c r="GO89" s="10">
        <f t="shared" si="337"/>
        <v>0</v>
      </c>
      <c r="GP89" s="10">
        <f t="shared" si="338"/>
        <v>0</v>
      </c>
      <c r="GQ89" s="10">
        <f t="shared" si="339"/>
        <v>0</v>
      </c>
      <c r="GR89" s="10">
        <f t="shared" si="340"/>
        <v>0</v>
      </c>
      <c r="GS89" s="10">
        <f t="shared" si="341"/>
        <v>0</v>
      </c>
      <c r="GT89" s="10">
        <f t="shared" si="342"/>
        <v>0</v>
      </c>
      <c r="GU89" s="10">
        <f t="shared" si="343"/>
        <v>0</v>
      </c>
      <c r="GV89" s="10">
        <f t="shared" si="344"/>
        <v>0</v>
      </c>
      <c r="GW89" s="10">
        <f t="shared" si="345"/>
        <v>0</v>
      </c>
      <c r="GX89" s="10">
        <f t="shared" si="346"/>
        <v>0</v>
      </c>
      <c r="GY89" s="10">
        <f t="shared" si="347"/>
        <v>0</v>
      </c>
      <c r="GZ89" s="10">
        <f t="shared" si="348"/>
        <v>107.27272727272728</v>
      </c>
      <c r="HA89" s="10">
        <f t="shared" si="349"/>
        <v>0</v>
      </c>
      <c r="HB89" s="10">
        <f t="shared" si="350"/>
        <v>0</v>
      </c>
      <c r="HC89" s="10">
        <f t="shared" si="351"/>
        <v>0</v>
      </c>
      <c r="HD89" s="10">
        <f t="shared" si="352"/>
        <v>7.1515151515151523</v>
      </c>
      <c r="HE89" s="10">
        <f t="shared" si="353"/>
        <v>0</v>
      </c>
      <c r="HF89" s="10">
        <f t="shared" si="354"/>
        <v>0</v>
      </c>
      <c r="HG89" s="10">
        <f t="shared" si="355"/>
        <v>0</v>
      </c>
      <c r="HH89" s="10">
        <f t="shared" si="356"/>
        <v>14.303030303030305</v>
      </c>
      <c r="HI89" s="10">
        <f t="shared" si="357"/>
        <v>0</v>
      </c>
      <c r="HJ89" s="10">
        <f t="shared" si="358"/>
        <v>0</v>
      </c>
      <c r="HK89" s="10">
        <f t="shared" si="359"/>
        <v>28.606060606060609</v>
      </c>
      <c r="HL89" s="10">
        <f t="shared" si="360"/>
        <v>0</v>
      </c>
      <c r="HM89" s="10">
        <f t="shared" si="361"/>
        <v>14.303030303030305</v>
      </c>
      <c r="HN89" s="10">
        <f t="shared" si="362"/>
        <v>0</v>
      </c>
      <c r="HO89" s="10">
        <f t="shared" si="363"/>
        <v>7.1515151515151523</v>
      </c>
      <c r="HP89" s="10">
        <f t="shared" si="364"/>
        <v>0</v>
      </c>
      <c r="HQ89" s="10">
        <f t="shared" si="365"/>
        <v>0</v>
      </c>
      <c r="HR89" s="10">
        <f t="shared" si="366"/>
        <v>0</v>
      </c>
      <c r="HS89" s="10">
        <f t="shared" si="367"/>
        <v>0</v>
      </c>
      <c r="HT89" s="10">
        <f t="shared" si="368"/>
        <v>0</v>
      </c>
      <c r="HU89" s="10">
        <f t="shared" si="369"/>
        <v>0</v>
      </c>
      <c r="HV89" s="10">
        <f t="shared" si="370"/>
        <v>7.1515151515151523</v>
      </c>
      <c r="HW89" s="10">
        <f t="shared" si="371"/>
        <v>0</v>
      </c>
      <c r="HX89" s="10">
        <f t="shared" si="372"/>
        <v>0</v>
      </c>
      <c r="HY89" s="10">
        <f t="shared" si="373"/>
        <v>14.303030303030305</v>
      </c>
      <c r="HZ89" s="10">
        <f t="shared" si="374"/>
        <v>7.1515151515151523</v>
      </c>
      <c r="IA89" s="10">
        <f t="shared" si="375"/>
        <v>0</v>
      </c>
      <c r="IB89" s="10">
        <f t="shared" si="376"/>
        <v>0</v>
      </c>
      <c r="IC89" s="10">
        <f t="shared" si="377"/>
        <v>0</v>
      </c>
      <c r="ID89" s="10">
        <f t="shared" si="378"/>
        <v>0</v>
      </c>
      <c r="IE89" s="10">
        <f t="shared" si="379"/>
        <v>0</v>
      </c>
      <c r="IF89" s="10">
        <f t="shared" si="380"/>
        <v>0</v>
      </c>
      <c r="IG89" s="10">
        <f t="shared" si="381"/>
        <v>0</v>
      </c>
      <c r="IH89" s="10">
        <f t="shared" si="382"/>
        <v>0</v>
      </c>
      <c r="II89" s="10">
        <f t="shared" si="383"/>
        <v>0</v>
      </c>
      <c r="IJ89" s="10">
        <f t="shared" si="384"/>
        <v>0</v>
      </c>
      <c r="IK89" s="10">
        <f t="shared" si="385"/>
        <v>0</v>
      </c>
      <c r="IL89" s="10">
        <f t="shared" si="386"/>
        <v>0</v>
      </c>
      <c r="IM89" s="10">
        <f t="shared" si="387"/>
        <v>7.1515151515151523</v>
      </c>
      <c r="IN89" s="10">
        <f t="shared" si="388"/>
        <v>0</v>
      </c>
      <c r="IO89" s="10">
        <f t="shared" si="389"/>
        <v>0</v>
      </c>
      <c r="IP89" s="10">
        <f t="shared" si="390"/>
        <v>0</v>
      </c>
      <c r="IQ89" s="10">
        <f t="shared" si="391"/>
        <v>7.1515151515151523</v>
      </c>
      <c r="IR89" s="10">
        <f t="shared" si="392"/>
        <v>0</v>
      </c>
      <c r="IS89" s="10">
        <f t="shared" si="393"/>
        <v>0</v>
      </c>
      <c r="IT89" s="10">
        <f t="shared" si="394"/>
        <v>0</v>
      </c>
      <c r="IU89" s="10">
        <f t="shared" si="395"/>
        <v>0</v>
      </c>
      <c r="IV89" s="10">
        <f t="shared" si="396"/>
        <v>0</v>
      </c>
      <c r="IW89" s="10">
        <f t="shared" si="397"/>
        <v>7.1515151515151523</v>
      </c>
      <c r="IX89" s="10">
        <f t="shared" si="398"/>
        <v>0</v>
      </c>
      <c r="IY89" s="10">
        <f t="shared" si="399"/>
        <v>0</v>
      </c>
      <c r="IZ89" s="10">
        <f t="shared" si="400"/>
        <v>0</v>
      </c>
      <c r="JA89" s="10">
        <f t="shared" si="401"/>
        <v>0</v>
      </c>
      <c r="JB89" s="10">
        <f t="shared" si="402"/>
        <v>7.1515151515151523</v>
      </c>
      <c r="JC89" s="10">
        <f t="shared" si="403"/>
        <v>0</v>
      </c>
      <c r="JD89" s="10">
        <f t="shared" si="404"/>
        <v>7.1515151515151523</v>
      </c>
      <c r="JE89" s="10">
        <f t="shared" si="405"/>
        <v>0</v>
      </c>
      <c r="JF89" s="10">
        <f t="shared" si="406"/>
        <v>0</v>
      </c>
      <c r="JG89" s="10">
        <v>14.303030303030305</v>
      </c>
      <c r="JH89" s="10">
        <f t="shared" si="407"/>
        <v>0</v>
      </c>
      <c r="JI89" s="10">
        <f t="shared" si="408"/>
        <v>0</v>
      </c>
      <c r="JJ89" s="10">
        <f t="shared" si="409"/>
        <v>0</v>
      </c>
      <c r="JK89" s="10">
        <f t="shared" si="410"/>
        <v>0</v>
      </c>
      <c r="JL89" s="10">
        <f t="shared" si="411"/>
        <v>0</v>
      </c>
      <c r="JM89" s="10">
        <f t="shared" si="412"/>
        <v>0</v>
      </c>
      <c r="JN89" s="10">
        <f t="shared" si="413"/>
        <v>0</v>
      </c>
      <c r="JO89" s="10">
        <f t="shared" si="414"/>
        <v>0</v>
      </c>
      <c r="JP89" s="10">
        <f t="shared" si="415"/>
        <v>7.1515151515151523</v>
      </c>
      <c r="JQ89" s="10">
        <f t="shared" si="416"/>
        <v>0</v>
      </c>
      <c r="JR89" s="10">
        <f t="shared" si="417"/>
        <v>14.303030303030305</v>
      </c>
      <c r="JS89" s="10">
        <f t="shared" si="418"/>
        <v>0</v>
      </c>
      <c r="JT89" s="10">
        <f t="shared" si="419"/>
        <v>0</v>
      </c>
      <c r="JU89" s="10">
        <f t="shared" si="420"/>
        <v>0</v>
      </c>
      <c r="JV89" s="10">
        <f t="shared" si="421"/>
        <v>0</v>
      </c>
      <c r="JW89" s="10">
        <f t="shared" si="422"/>
        <v>0</v>
      </c>
      <c r="JX89" s="10">
        <f t="shared" si="423"/>
        <v>0</v>
      </c>
      <c r="JY89" s="10">
        <f t="shared" si="424"/>
        <v>0</v>
      </c>
      <c r="JZ89" s="10">
        <f t="shared" si="425"/>
        <v>7.1515151515151523</v>
      </c>
      <c r="KA89" s="10">
        <f t="shared" si="426"/>
        <v>14.303030303030305</v>
      </c>
      <c r="KB89" s="10">
        <f t="shared" si="427"/>
        <v>0</v>
      </c>
      <c r="KC89" s="10">
        <f t="shared" si="428"/>
        <v>0</v>
      </c>
      <c r="KD89" s="10">
        <f t="shared" si="429"/>
        <v>0</v>
      </c>
      <c r="KE89" s="10">
        <f t="shared" si="430"/>
        <v>7.1515151515151523</v>
      </c>
      <c r="KF89" s="10">
        <f t="shared" si="431"/>
        <v>0</v>
      </c>
      <c r="KG89" s="10">
        <f t="shared" si="432"/>
        <v>0</v>
      </c>
      <c r="KH89" s="10">
        <f t="shared" si="433"/>
        <v>0</v>
      </c>
      <c r="KI89" s="10">
        <f t="shared" si="434"/>
        <v>0</v>
      </c>
      <c r="KJ89" s="10">
        <f t="shared" si="435"/>
        <v>0</v>
      </c>
      <c r="KK89" s="10">
        <f t="shared" si="436"/>
        <v>0</v>
      </c>
      <c r="KL89" s="10">
        <f t="shared" si="437"/>
        <v>7.1515151515151523</v>
      </c>
      <c r="KM89" s="10">
        <f t="shared" si="438"/>
        <v>0</v>
      </c>
      <c r="KN89" s="10">
        <f t="shared" si="439"/>
        <v>7.1515151515151523</v>
      </c>
      <c r="KO89" s="10">
        <f t="shared" si="440"/>
        <v>0</v>
      </c>
      <c r="KP89" s="10">
        <f t="shared" si="441"/>
        <v>0</v>
      </c>
      <c r="KQ89" s="11">
        <v>393.33333333333314</v>
      </c>
      <c r="KR89" s="16"/>
      <c r="KS89" s="12">
        <v>6189.1417310943743</v>
      </c>
      <c r="KT89" s="26">
        <v>98</v>
      </c>
      <c r="KU89" s="26">
        <v>0</v>
      </c>
      <c r="KV89" s="26"/>
      <c r="KW89" s="26">
        <v>-15.01</v>
      </c>
      <c r="KX89" s="26">
        <v>11.03</v>
      </c>
      <c r="KY89" s="27">
        <v>2.9897248032524417</v>
      </c>
      <c r="KZ89" s="27">
        <v>3.4875973766500175</v>
      </c>
      <c r="LA89" s="17"/>
      <c r="LB89" s="2">
        <v>337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107</v>
      </c>
      <c r="LM89" s="1">
        <v>9</v>
      </c>
      <c r="LN89" s="1">
        <v>1</v>
      </c>
      <c r="LO89" s="1">
        <v>0</v>
      </c>
      <c r="LP89" s="1">
        <v>4</v>
      </c>
      <c r="LQ89" s="1">
        <v>0</v>
      </c>
      <c r="LR89" s="1">
        <v>0</v>
      </c>
      <c r="LS89" s="1">
        <v>0</v>
      </c>
      <c r="LT89" s="1">
        <v>14</v>
      </c>
      <c r="LU89" s="1">
        <v>0</v>
      </c>
      <c r="LV89" s="1">
        <v>0</v>
      </c>
      <c r="LW89" s="1">
        <v>20</v>
      </c>
      <c r="LX89" s="1">
        <v>0</v>
      </c>
      <c r="LY89" s="1">
        <v>1</v>
      </c>
      <c r="LZ89" s="1">
        <v>1</v>
      </c>
      <c r="MA89" s="1">
        <v>0</v>
      </c>
      <c r="MB89" s="1">
        <v>0</v>
      </c>
      <c r="MC89" s="1">
        <v>0</v>
      </c>
      <c r="MD89" s="1">
        <v>180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</v>
      </c>
      <c r="MK89" s="28"/>
      <c r="ML89" t="s">
        <v>905</v>
      </c>
      <c r="MM89" t="s">
        <v>478</v>
      </c>
      <c r="MN89" t="s">
        <v>320</v>
      </c>
      <c r="MO89" t="s">
        <v>334</v>
      </c>
      <c r="MP89" t="s">
        <v>335</v>
      </c>
      <c r="MQ89" t="s">
        <v>336</v>
      </c>
      <c r="MR89">
        <v>0.15</v>
      </c>
      <c r="MS89" t="s">
        <v>479</v>
      </c>
      <c r="MT89" t="s">
        <v>480</v>
      </c>
      <c r="MU89" t="s">
        <v>481</v>
      </c>
      <c r="MV89">
        <v>1280</v>
      </c>
      <c r="MW89" s="13">
        <v>410</v>
      </c>
      <c r="MX89" s="13" t="s">
        <v>482</v>
      </c>
      <c r="MY89" t="s">
        <v>240</v>
      </c>
      <c r="MZ89" t="s">
        <v>241</v>
      </c>
      <c r="NA89" t="s">
        <v>242</v>
      </c>
      <c r="NB89" t="s">
        <v>483</v>
      </c>
      <c r="ND89" s="18">
        <v>43273</v>
      </c>
      <c r="NE89" s="19">
        <v>0.15277777777777776</v>
      </c>
      <c r="NF89" t="s">
        <v>244</v>
      </c>
      <c r="NG89" t="s">
        <v>245</v>
      </c>
      <c r="NH89" t="s">
        <v>246</v>
      </c>
      <c r="NI89" t="s">
        <v>244</v>
      </c>
      <c r="NJ89" t="s">
        <v>244</v>
      </c>
      <c r="NK89">
        <v>5</v>
      </c>
      <c r="NL89" t="s">
        <v>247</v>
      </c>
      <c r="NM89">
        <v>29.66507</v>
      </c>
      <c r="NN89">
        <v>-84.853530000000006</v>
      </c>
      <c r="NO89" t="s">
        <v>248</v>
      </c>
      <c r="NP89" t="s">
        <v>266</v>
      </c>
      <c r="NQ89" t="s">
        <v>244</v>
      </c>
      <c r="NR89" t="s">
        <v>247</v>
      </c>
      <c r="NS89" t="s">
        <v>484</v>
      </c>
      <c r="NT89" t="s">
        <v>244</v>
      </c>
      <c r="NU89" t="s">
        <v>244</v>
      </c>
      <c r="NV89" t="s">
        <v>248</v>
      </c>
      <c r="NW89" t="s">
        <v>480</v>
      </c>
      <c r="NX89" t="s">
        <v>481</v>
      </c>
      <c r="NY89">
        <v>92.6</v>
      </c>
      <c r="NZ89">
        <v>91.2</v>
      </c>
      <c r="OA89">
        <v>85.1</v>
      </c>
      <c r="OB89" s="14">
        <v>6189.1417310943743</v>
      </c>
      <c r="OC89" t="s">
        <v>248</v>
      </c>
      <c r="OD89" t="s">
        <v>247</v>
      </c>
      <c r="OE89" t="s">
        <v>248</v>
      </c>
      <c r="OF89" t="s">
        <v>485</v>
      </c>
      <c r="OG89" t="s">
        <v>247</v>
      </c>
      <c r="OI89" t="s">
        <v>480</v>
      </c>
      <c r="OK89">
        <v>98</v>
      </c>
      <c r="OL89">
        <v>0</v>
      </c>
      <c r="ON89">
        <v>-15.01</v>
      </c>
      <c r="OO89">
        <v>11.03</v>
      </c>
      <c r="OP89" s="25">
        <v>2.9897248032524417</v>
      </c>
      <c r="OQ89" s="25">
        <v>3.4875973766500175</v>
      </c>
      <c r="OR89" t="s">
        <v>909</v>
      </c>
      <c r="OS89" t="s">
        <v>911</v>
      </c>
    </row>
    <row r="90" spans="1:409" x14ac:dyDescent="0.25">
      <c r="A90">
        <v>89</v>
      </c>
      <c r="B90" s="1">
        <v>69</v>
      </c>
      <c r="C90" s="1">
        <v>12</v>
      </c>
      <c r="D90" s="1">
        <v>0</v>
      </c>
      <c r="E90" s="1">
        <v>0</v>
      </c>
      <c r="F90" s="1">
        <v>61</v>
      </c>
      <c r="G90" s="1">
        <v>5</v>
      </c>
      <c r="H90" s="1">
        <v>2</v>
      </c>
      <c r="I90" s="1">
        <v>0</v>
      </c>
      <c r="J90" s="1">
        <v>41</v>
      </c>
      <c r="K90" s="1">
        <v>0</v>
      </c>
      <c r="L90" s="1">
        <v>1200</v>
      </c>
      <c r="M90" s="1">
        <v>0</v>
      </c>
      <c r="N90" s="1">
        <v>60</v>
      </c>
      <c r="O90" s="1">
        <v>0</v>
      </c>
      <c r="P90" s="1">
        <v>0</v>
      </c>
      <c r="Q90" s="1">
        <v>3</v>
      </c>
      <c r="R90" s="1">
        <v>0</v>
      </c>
      <c r="S90" s="1">
        <v>0</v>
      </c>
      <c r="T90" s="1">
        <v>6</v>
      </c>
      <c r="U90" s="1">
        <v>0</v>
      </c>
      <c r="V90" s="1">
        <v>0</v>
      </c>
      <c r="W90" s="1">
        <v>0</v>
      </c>
      <c r="X90" s="2">
        <v>1459</v>
      </c>
      <c r="Y90" s="3"/>
      <c r="Z90" s="15">
        <f t="shared" si="307"/>
        <v>0.79632550726867102</v>
      </c>
      <c r="AA90" s="15">
        <f t="shared" si="308"/>
        <v>0.13849139256846452</v>
      </c>
      <c r="AB90" s="15">
        <f t="shared" si="309"/>
        <v>0</v>
      </c>
      <c r="AC90" s="15">
        <f t="shared" si="310"/>
        <v>0</v>
      </c>
      <c r="AD90" s="15">
        <f t="shared" si="311"/>
        <v>0.70399791222302788</v>
      </c>
      <c r="AE90" s="15">
        <f t="shared" si="312"/>
        <v>5.770474690352688E-2</v>
      </c>
      <c r="AF90" s="15">
        <f t="shared" si="313"/>
        <v>2.3081898761410754E-2</v>
      </c>
      <c r="AG90" s="15">
        <f t="shared" si="314"/>
        <v>0</v>
      </c>
      <c r="AH90" s="15">
        <f t="shared" si="315"/>
        <v>0.47317892460892047</v>
      </c>
      <c r="AI90" s="15">
        <f t="shared" si="316"/>
        <v>0</v>
      </c>
      <c r="AJ90" s="15">
        <f t="shared" si="317"/>
        <v>13.849139256846453</v>
      </c>
      <c r="AK90" s="15">
        <f t="shared" si="318"/>
        <v>0</v>
      </c>
      <c r="AL90" s="15">
        <f t="shared" si="319"/>
        <v>0.69245696284232261</v>
      </c>
      <c r="AM90" s="15">
        <f t="shared" si="320"/>
        <v>0</v>
      </c>
      <c r="AN90" s="15">
        <f t="shared" si="321"/>
        <v>0</v>
      </c>
      <c r="AO90" s="15">
        <f t="shared" si="322"/>
        <v>3.4622848142116129E-2</v>
      </c>
      <c r="AP90" s="15">
        <f t="shared" si="323"/>
        <v>0</v>
      </c>
      <c r="AQ90" s="15">
        <f t="shared" si="324"/>
        <v>0</v>
      </c>
      <c r="AR90" s="15">
        <f t="shared" si="325"/>
        <v>6.9245696284232258E-2</v>
      </c>
      <c r="AS90" s="15">
        <f t="shared" si="326"/>
        <v>0</v>
      </c>
      <c r="AT90" s="15">
        <f t="shared" si="327"/>
        <v>0</v>
      </c>
      <c r="AU90" s="15">
        <f t="shared" si="328"/>
        <v>0</v>
      </c>
      <c r="AV90" s="5">
        <f t="shared" si="329"/>
        <v>16.838245146449143</v>
      </c>
      <c r="AW90" s="16"/>
      <c r="AX90" s="6">
        <v>492.85714285714283</v>
      </c>
      <c r="AY90" s="6">
        <v>85.714285714285708</v>
      </c>
      <c r="AZ90" s="6">
        <v>0</v>
      </c>
      <c r="BA90" s="6">
        <v>0</v>
      </c>
      <c r="BB90" s="6">
        <v>435.71428571428567</v>
      </c>
      <c r="BC90" s="6">
        <v>35.714285714285708</v>
      </c>
      <c r="BD90" s="6">
        <v>14.285714285714285</v>
      </c>
      <c r="BE90" s="6">
        <v>0</v>
      </c>
      <c r="BF90" s="6">
        <v>292.85714285714283</v>
      </c>
      <c r="BG90" s="6">
        <v>0</v>
      </c>
      <c r="BH90" s="6">
        <v>8571.4285714285706</v>
      </c>
      <c r="BI90" s="6">
        <v>0</v>
      </c>
      <c r="BJ90" s="6">
        <v>428.57142857142856</v>
      </c>
      <c r="BK90" s="6">
        <v>0</v>
      </c>
      <c r="BL90" s="6">
        <v>0</v>
      </c>
      <c r="BM90" s="6">
        <v>21.428571428571427</v>
      </c>
      <c r="BN90" s="6">
        <v>0</v>
      </c>
      <c r="BO90" s="6">
        <v>0</v>
      </c>
      <c r="BP90" s="6">
        <v>42.857142857142854</v>
      </c>
      <c r="BQ90" s="6">
        <v>0</v>
      </c>
      <c r="BR90" s="6">
        <v>0</v>
      </c>
      <c r="BS90" s="6">
        <v>0</v>
      </c>
      <c r="BT90" s="7">
        <v>10421.428571428571</v>
      </c>
      <c r="BU90" s="16"/>
      <c r="BV90" s="8">
        <v>0</v>
      </c>
      <c r="BW90" s="8">
        <v>10</v>
      </c>
      <c r="BX90" s="8">
        <v>0</v>
      </c>
      <c r="BY90" s="8">
        <v>0</v>
      </c>
      <c r="BZ90" s="8">
        <v>1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13</v>
      </c>
      <c r="CO90" s="8">
        <v>0</v>
      </c>
      <c r="CP90" s="8">
        <v>0</v>
      </c>
      <c r="CQ90" s="8">
        <v>0</v>
      </c>
      <c r="CR90" s="8">
        <v>2</v>
      </c>
      <c r="CS90" s="8">
        <v>0</v>
      </c>
      <c r="CT90" s="8">
        <v>0</v>
      </c>
      <c r="CU90" s="8">
        <v>0</v>
      </c>
      <c r="CV90" s="8">
        <v>3</v>
      </c>
      <c r="CW90" s="8">
        <v>0</v>
      </c>
      <c r="CX90" s="8">
        <v>0</v>
      </c>
      <c r="CY90" s="8">
        <v>6</v>
      </c>
      <c r="CZ90" s="8">
        <v>0</v>
      </c>
      <c r="DA90" s="8">
        <v>0</v>
      </c>
      <c r="DB90" s="8">
        <v>1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12</v>
      </c>
      <c r="DK90" s="8">
        <v>0</v>
      </c>
      <c r="DL90" s="8">
        <v>0</v>
      </c>
      <c r="DM90" s="8">
        <v>4</v>
      </c>
      <c r="DN90" s="8">
        <v>0</v>
      </c>
      <c r="DO90" s="8">
        <v>0</v>
      </c>
      <c r="DP90" s="8">
        <v>0</v>
      </c>
      <c r="DQ90" s="8">
        <v>1</v>
      </c>
      <c r="DR90" s="8">
        <v>1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7</v>
      </c>
      <c r="EB90" s="8">
        <v>0</v>
      </c>
      <c r="EC90" s="8">
        <v>1</v>
      </c>
      <c r="ED90" s="8">
        <v>0</v>
      </c>
      <c r="EE90" s="8">
        <v>0</v>
      </c>
      <c r="EF90" s="8">
        <v>2</v>
      </c>
      <c r="EG90" s="8">
        <v>0</v>
      </c>
      <c r="EH90" s="8">
        <v>4</v>
      </c>
      <c r="EI90" s="8">
        <v>0</v>
      </c>
      <c r="EJ90" s="8">
        <v>0</v>
      </c>
      <c r="EK90" s="8">
        <v>7</v>
      </c>
      <c r="EL90" s="8">
        <v>0</v>
      </c>
      <c r="EM90" s="8">
        <v>0</v>
      </c>
      <c r="EN90" s="8">
        <v>1</v>
      </c>
      <c r="EO90" s="8">
        <v>0</v>
      </c>
      <c r="EP90" s="8">
        <v>0</v>
      </c>
      <c r="EQ90" s="8">
        <v>0</v>
      </c>
      <c r="ER90" s="8">
        <v>4</v>
      </c>
      <c r="ES90" s="8">
        <v>0</v>
      </c>
      <c r="ET90" s="8">
        <v>0</v>
      </c>
      <c r="EU90" s="8">
        <v>1</v>
      </c>
      <c r="EV90" s="8">
        <v>3</v>
      </c>
      <c r="EW90" s="8">
        <v>1</v>
      </c>
      <c r="EX90" s="8">
        <v>0</v>
      </c>
      <c r="EY90" s="8">
        <v>0</v>
      </c>
      <c r="EZ90" s="8">
        <v>1</v>
      </c>
      <c r="FA90" s="8">
        <v>0</v>
      </c>
      <c r="FB90" s="8">
        <v>0</v>
      </c>
      <c r="FC90" s="8">
        <v>6</v>
      </c>
      <c r="FD90" s="8">
        <v>1</v>
      </c>
      <c r="FE90" s="8">
        <v>0</v>
      </c>
      <c r="FF90" s="8">
        <v>0</v>
      </c>
      <c r="FG90" s="8">
        <v>3</v>
      </c>
      <c r="FH90" s="8">
        <v>0</v>
      </c>
      <c r="FI90" s="8">
        <v>1</v>
      </c>
      <c r="FJ90" s="8">
        <v>0</v>
      </c>
      <c r="FK90" s="8">
        <v>0</v>
      </c>
      <c r="FL90" s="8">
        <v>0</v>
      </c>
      <c r="FM90" s="8">
        <v>8</v>
      </c>
      <c r="FN90" s="8">
        <v>2</v>
      </c>
      <c r="FO90" s="8">
        <v>0</v>
      </c>
      <c r="FP90" s="8">
        <v>0</v>
      </c>
      <c r="FQ90" s="8">
        <v>0</v>
      </c>
      <c r="FR90" s="8">
        <v>0</v>
      </c>
      <c r="FS90" s="8">
        <v>10</v>
      </c>
      <c r="FT90" s="8">
        <v>0</v>
      </c>
      <c r="FU90" s="8">
        <v>1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2</v>
      </c>
      <c r="GB90" s="8">
        <v>0</v>
      </c>
      <c r="GC90" s="8">
        <v>1</v>
      </c>
      <c r="GD90" s="8">
        <v>0</v>
      </c>
      <c r="GE90" s="8">
        <v>0</v>
      </c>
      <c r="GF90" s="9">
        <v>121</v>
      </c>
      <c r="GG90" s="3"/>
      <c r="GH90" s="10">
        <f t="shared" si="330"/>
        <v>0</v>
      </c>
      <c r="GI90" s="10">
        <f t="shared" si="331"/>
        <v>40.731995277449819</v>
      </c>
      <c r="GJ90" s="10">
        <f t="shared" si="332"/>
        <v>0</v>
      </c>
      <c r="GK90" s="10">
        <f t="shared" si="333"/>
        <v>0</v>
      </c>
      <c r="GL90" s="10">
        <f t="shared" si="334"/>
        <v>4.0731995277449826</v>
      </c>
      <c r="GM90" s="10">
        <f t="shared" si="335"/>
        <v>0</v>
      </c>
      <c r="GN90" s="10">
        <f t="shared" si="336"/>
        <v>0</v>
      </c>
      <c r="GO90" s="10">
        <f t="shared" si="337"/>
        <v>0</v>
      </c>
      <c r="GP90" s="10">
        <f t="shared" si="338"/>
        <v>0</v>
      </c>
      <c r="GQ90" s="10">
        <f t="shared" si="339"/>
        <v>0</v>
      </c>
      <c r="GR90" s="10">
        <f t="shared" si="340"/>
        <v>0</v>
      </c>
      <c r="GS90" s="10">
        <f t="shared" si="341"/>
        <v>0</v>
      </c>
      <c r="GT90" s="10">
        <f t="shared" si="342"/>
        <v>0</v>
      </c>
      <c r="GU90" s="10">
        <f t="shared" si="343"/>
        <v>0</v>
      </c>
      <c r="GV90" s="10">
        <f t="shared" si="344"/>
        <v>0</v>
      </c>
      <c r="GW90" s="10">
        <f t="shared" si="345"/>
        <v>0</v>
      </c>
      <c r="GX90" s="10">
        <f t="shared" si="346"/>
        <v>0</v>
      </c>
      <c r="GY90" s="10">
        <f t="shared" si="347"/>
        <v>0</v>
      </c>
      <c r="GZ90" s="10">
        <f t="shared" si="348"/>
        <v>52.951593860684767</v>
      </c>
      <c r="HA90" s="10">
        <f t="shared" si="349"/>
        <v>0</v>
      </c>
      <c r="HB90" s="10">
        <f t="shared" si="350"/>
        <v>0</v>
      </c>
      <c r="HC90" s="10">
        <f t="shared" si="351"/>
        <v>0</v>
      </c>
      <c r="HD90" s="10">
        <f t="shared" si="352"/>
        <v>8.1463990554899652</v>
      </c>
      <c r="HE90" s="10">
        <f t="shared" si="353"/>
        <v>0</v>
      </c>
      <c r="HF90" s="10">
        <f t="shared" si="354"/>
        <v>0</v>
      </c>
      <c r="HG90" s="10">
        <f t="shared" si="355"/>
        <v>0</v>
      </c>
      <c r="HH90" s="10">
        <f t="shared" si="356"/>
        <v>12.219598583234946</v>
      </c>
      <c r="HI90" s="10">
        <f t="shared" si="357"/>
        <v>0</v>
      </c>
      <c r="HJ90" s="10">
        <f t="shared" si="358"/>
        <v>0</v>
      </c>
      <c r="HK90" s="10">
        <f t="shared" si="359"/>
        <v>24.439197166469892</v>
      </c>
      <c r="HL90" s="10">
        <f t="shared" si="360"/>
        <v>0</v>
      </c>
      <c r="HM90" s="10">
        <f t="shared" si="361"/>
        <v>0</v>
      </c>
      <c r="HN90" s="10">
        <f t="shared" si="362"/>
        <v>4.0731995277449826</v>
      </c>
      <c r="HO90" s="10">
        <f t="shared" si="363"/>
        <v>0</v>
      </c>
      <c r="HP90" s="10">
        <f t="shared" si="364"/>
        <v>0</v>
      </c>
      <c r="HQ90" s="10">
        <f t="shared" si="365"/>
        <v>0</v>
      </c>
      <c r="HR90" s="10">
        <f t="shared" si="366"/>
        <v>0</v>
      </c>
      <c r="HS90" s="10">
        <f t="shared" si="367"/>
        <v>0</v>
      </c>
      <c r="HT90" s="10">
        <f t="shared" si="368"/>
        <v>0</v>
      </c>
      <c r="HU90" s="10">
        <f t="shared" si="369"/>
        <v>0</v>
      </c>
      <c r="HV90" s="10">
        <f t="shared" si="370"/>
        <v>48.878394332939784</v>
      </c>
      <c r="HW90" s="10">
        <f t="shared" si="371"/>
        <v>0</v>
      </c>
      <c r="HX90" s="10">
        <f t="shared" si="372"/>
        <v>0</v>
      </c>
      <c r="HY90" s="10">
        <f t="shared" si="373"/>
        <v>16.29279811097993</v>
      </c>
      <c r="HZ90" s="10">
        <f t="shared" si="374"/>
        <v>0</v>
      </c>
      <c r="IA90" s="10">
        <f t="shared" si="375"/>
        <v>0</v>
      </c>
      <c r="IB90" s="10">
        <f t="shared" si="376"/>
        <v>0</v>
      </c>
      <c r="IC90" s="10">
        <f t="shared" si="377"/>
        <v>4.0731995277449826</v>
      </c>
      <c r="ID90" s="10">
        <f t="shared" si="378"/>
        <v>4.0731995277449826</v>
      </c>
      <c r="IE90" s="10">
        <f t="shared" si="379"/>
        <v>0</v>
      </c>
      <c r="IF90" s="10">
        <f t="shared" si="380"/>
        <v>0</v>
      </c>
      <c r="IG90" s="10">
        <f t="shared" si="381"/>
        <v>0</v>
      </c>
      <c r="IH90" s="10">
        <f t="shared" si="382"/>
        <v>0</v>
      </c>
      <c r="II90" s="10">
        <f t="shared" si="383"/>
        <v>0</v>
      </c>
      <c r="IJ90" s="10">
        <f t="shared" si="384"/>
        <v>0</v>
      </c>
      <c r="IK90" s="10">
        <f t="shared" si="385"/>
        <v>0</v>
      </c>
      <c r="IL90" s="10">
        <f t="shared" si="386"/>
        <v>0</v>
      </c>
      <c r="IM90" s="10">
        <f t="shared" si="387"/>
        <v>28.512396694214875</v>
      </c>
      <c r="IN90" s="10">
        <f t="shared" si="388"/>
        <v>0</v>
      </c>
      <c r="IO90" s="10">
        <f t="shared" si="389"/>
        <v>4.0731995277449826</v>
      </c>
      <c r="IP90" s="10">
        <f t="shared" si="390"/>
        <v>0</v>
      </c>
      <c r="IQ90" s="10">
        <f t="shared" si="391"/>
        <v>0</v>
      </c>
      <c r="IR90" s="10">
        <f t="shared" si="392"/>
        <v>8.1463990554899652</v>
      </c>
      <c r="IS90" s="10">
        <f t="shared" si="393"/>
        <v>0</v>
      </c>
      <c r="IT90" s="10">
        <f t="shared" si="394"/>
        <v>16.29279811097993</v>
      </c>
      <c r="IU90" s="10">
        <f t="shared" si="395"/>
        <v>0</v>
      </c>
      <c r="IV90" s="10">
        <f t="shared" si="396"/>
        <v>0</v>
      </c>
      <c r="IW90" s="10">
        <f t="shared" si="397"/>
        <v>28.512396694214875</v>
      </c>
      <c r="IX90" s="10">
        <f t="shared" si="398"/>
        <v>0</v>
      </c>
      <c r="IY90" s="10">
        <f t="shared" si="399"/>
        <v>0</v>
      </c>
      <c r="IZ90" s="10">
        <f t="shared" si="400"/>
        <v>4.0731995277449826</v>
      </c>
      <c r="JA90" s="10">
        <f t="shared" si="401"/>
        <v>0</v>
      </c>
      <c r="JB90" s="10">
        <f t="shared" si="402"/>
        <v>0</v>
      </c>
      <c r="JC90" s="10">
        <f t="shared" si="403"/>
        <v>0</v>
      </c>
      <c r="JD90" s="10">
        <f t="shared" si="404"/>
        <v>16.29279811097993</v>
      </c>
      <c r="JE90" s="10">
        <f t="shared" si="405"/>
        <v>0</v>
      </c>
      <c r="JF90" s="10">
        <f t="shared" si="406"/>
        <v>0</v>
      </c>
      <c r="JG90" s="10">
        <v>8.1463990554899652</v>
      </c>
      <c r="JH90" s="10">
        <f t="shared" si="407"/>
        <v>12.219598583234946</v>
      </c>
      <c r="JI90" s="10">
        <f t="shared" si="408"/>
        <v>0</v>
      </c>
      <c r="JJ90" s="10">
        <f t="shared" si="409"/>
        <v>0</v>
      </c>
      <c r="JK90" s="10">
        <f t="shared" si="410"/>
        <v>4.0731995277449826</v>
      </c>
      <c r="JL90" s="10">
        <f t="shared" si="411"/>
        <v>0</v>
      </c>
      <c r="JM90" s="10">
        <f t="shared" si="412"/>
        <v>0</v>
      </c>
      <c r="JN90" s="10">
        <f t="shared" si="413"/>
        <v>24.439197166469892</v>
      </c>
      <c r="JO90" s="10">
        <f t="shared" si="414"/>
        <v>4.0731995277449826</v>
      </c>
      <c r="JP90" s="10">
        <f t="shared" si="415"/>
        <v>0</v>
      </c>
      <c r="JQ90" s="10">
        <f t="shared" si="416"/>
        <v>0</v>
      </c>
      <c r="JR90" s="10">
        <f t="shared" si="417"/>
        <v>12.219598583234946</v>
      </c>
      <c r="JS90" s="10">
        <f t="shared" si="418"/>
        <v>0</v>
      </c>
      <c r="JT90" s="10">
        <f t="shared" si="419"/>
        <v>4.0731995277449826</v>
      </c>
      <c r="JU90" s="10">
        <f t="shared" si="420"/>
        <v>0</v>
      </c>
      <c r="JV90" s="10">
        <f t="shared" si="421"/>
        <v>0</v>
      </c>
      <c r="JW90" s="10">
        <f t="shared" si="422"/>
        <v>0</v>
      </c>
      <c r="JX90" s="10">
        <f t="shared" si="423"/>
        <v>32.585596221959861</v>
      </c>
      <c r="JY90" s="10">
        <f t="shared" si="424"/>
        <v>8.1463990554899652</v>
      </c>
      <c r="JZ90" s="10">
        <f t="shared" si="425"/>
        <v>0</v>
      </c>
      <c r="KA90" s="10">
        <f t="shared" si="426"/>
        <v>0</v>
      </c>
      <c r="KB90" s="10">
        <f t="shared" si="427"/>
        <v>0</v>
      </c>
      <c r="KC90" s="10">
        <f t="shared" si="428"/>
        <v>0</v>
      </c>
      <c r="KD90" s="10">
        <f t="shared" si="429"/>
        <v>40.731995277449819</v>
      </c>
      <c r="KE90" s="10">
        <f t="shared" si="430"/>
        <v>0</v>
      </c>
      <c r="KF90" s="10">
        <f t="shared" si="431"/>
        <v>4.0731995277449826</v>
      </c>
      <c r="KG90" s="10">
        <f t="shared" si="432"/>
        <v>0</v>
      </c>
      <c r="KH90" s="10">
        <f t="shared" si="433"/>
        <v>0</v>
      </c>
      <c r="KI90" s="10">
        <f t="shared" si="434"/>
        <v>0</v>
      </c>
      <c r="KJ90" s="10">
        <f t="shared" si="435"/>
        <v>0</v>
      </c>
      <c r="KK90" s="10">
        <f t="shared" si="436"/>
        <v>0</v>
      </c>
      <c r="KL90" s="10">
        <f t="shared" si="437"/>
        <v>8.1463990554899652</v>
      </c>
      <c r="KM90" s="10">
        <f t="shared" si="438"/>
        <v>0</v>
      </c>
      <c r="KN90" s="10">
        <f t="shared" si="439"/>
        <v>4.0731995277449826</v>
      </c>
      <c r="KO90" s="10">
        <f t="shared" si="440"/>
        <v>0</v>
      </c>
      <c r="KP90" s="10">
        <f t="shared" si="441"/>
        <v>0</v>
      </c>
      <c r="KQ90" s="11">
        <v>492.85714285714278</v>
      </c>
      <c r="KR90" s="16"/>
      <c r="KS90" s="12">
        <v>6189.1417310943743</v>
      </c>
      <c r="KT90" s="26">
        <v>98</v>
      </c>
      <c r="KU90" s="26">
        <v>0</v>
      </c>
      <c r="KV90" s="26"/>
      <c r="KW90" s="26">
        <v>-15.01</v>
      </c>
      <c r="KX90" s="26">
        <v>11.03</v>
      </c>
      <c r="KY90" s="27">
        <v>2.9897248032524417</v>
      </c>
      <c r="KZ90" s="27">
        <v>3.4875973766500175</v>
      </c>
      <c r="LA90" s="17"/>
      <c r="LB90" s="2">
        <v>1052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350</v>
      </c>
      <c r="LM90" s="1">
        <v>14</v>
      </c>
      <c r="LN90" s="1">
        <v>0</v>
      </c>
      <c r="LO90" s="1">
        <v>0</v>
      </c>
      <c r="LP90" s="1">
        <v>15</v>
      </c>
      <c r="LQ90" s="1">
        <v>0</v>
      </c>
      <c r="LR90" s="1">
        <v>0</v>
      </c>
      <c r="LS90" s="1">
        <v>0</v>
      </c>
      <c r="LT90" s="1">
        <v>1</v>
      </c>
      <c r="LU90" s="1">
        <v>0</v>
      </c>
      <c r="LV90" s="1">
        <v>0</v>
      </c>
      <c r="LW90" s="1">
        <v>101</v>
      </c>
      <c r="LX90" s="1">
        <v>0</v>
      </c>
      <c r="LY90" s="1">
        <v>0</v>
      </c>
      <c r="LZ90" s="1">
        <v>3</v>
      </c>
      <c r="MA90" s="1">
        <v>0</v>
      </c>
      <c r="MB90" s="1">
        <v>0</v>
      </c>
      <c r="MC90" s="1">
        <v>0</v>
      </c>
      <c r="MD90" s="1">
        <v>568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</v>
      </c>
      <c r="MK90" s="28"/>
      <c r="ML90" t="s">
        <v>906</v>
      </c>
      <c r="MM90" t="s">
        <v>486</v>
      </c>
      <c r="MN90" t="s">
        <v>320</v>
      </c>
      <c r="MO90" t="s">
        <v>337</v>
      </c>
      <c r="MP90" t="s">
        <v>338</v>
      </c>
      <c r="MQ90" t="s">
        <v>339</v>
      </c>
      <c r="MR90">
        <v>0.14000000000000001</v>
      </c>
      <c r="MS90" t="s">
        <v>479</v>
      </c>
      <c r="MT90" t="s">
        <v>480</v>
      </c>
      <c r="MU90" t="s">
        <v>481</v>
      </c>
      <c r="MV90">
        <v>10421.428571428571</v>
      </c>
      <c r="MW90" s="13">
        <v>410</v>
      </c>
      <c r="MX90" s="13" t="s">
        <v>482</v>
      </c>
      <c r="MY90" t="s">
        <v>240</v>
      </c>
      <c r="MZ90" t="s">
        <v>241</v>
      </c>
      <c r="NA90" t="s">
        <v>242</v>
      </c>
      <c r="NB90" t="s">
        <v>483</v>
      </c>
      <c r="ND90" s="18">
        <v>43273</v>
      </c>
      <c r="NE90" s="19">
        <v>0.15277777777777776</v>
      </c>
      <c r="NF90" t="s">
        <v>244</v>
      </c>
      <c r="NG90" t="s">
        <v>245</v>
      </c>
      <c r="NH90" t="s">
        <v>246</v>
      </c>
      <c r="NI90" t="s">
        <v>244</v>
      </c>
      <c r="NJ90" t="s">
        <v>244</v>
      </c>
      <c r="NK90">
        <v>5</v>
      </c>
      <c r="NL90" t="s">
        <v>247</v>
      </c>
      <c r="NM90">
        <v>29.66507</v>
      </c>
      <c r="NN90">
        <v>-84.853530000000006</v>
      </c>
      <c r="NO90" t="s">
        <v>248</v>
      </c>
      <c r="NP90" t="s">
        <v>266</v>
      </c>
      <c r="NQ90" t="s">
        <v>244</v>
      </c>
      <c r="NR90" t="s">
        <v>247</v>
      </c>
      <c r="NS90" t="s">
        <v>484</v>
      </c>
      <c r="NT90" t="s">
        <v>244</v>
      </c>
      <c r="NU90" t="s">
        <v>244</v>
      </c>
      <c r="NV90" t="s">
        <v>248</v>
      </c>
      <c r="NW90" t="s">
        <v>480</v>
      </c>
      <c r="NX90" t="s">
        <v>481</v>
      </c>
      <c r="NY90">
        <v>92.6</v>
      </c>
      <c r="NZ90">
        <v>91.2</v>
      </c>
      <c r="OA90">
        <v>85.1</v>
      </c>
      <c r="OB90" s="14">
        <v>6189.1417310943743</v>
      </c>
      <c r="OC90" t="s">
        <v>248</v>
      </c>
      <c r="OD90" t="s">
        <v>247</v>
      </c>
      <c r="OE90" t="s">
        <v>248</v>
      </c>
      <c r="OF90" t="s">
        <v>485</v>
      </c>
      <c r="OG90" t="s">
        <v>247</v>
      </c>
      <c r="OI90" t="s">
        <v>480</v>
      </c>
      <c r="OK90">
        <v>98</v>
      </c>
      <c r="OL90">
        <v>0</v>
      </c>
      <c r="ON90">
        <v>-15.01</v>
      </c>
      <c r="OO90">
        <v>11.03</v>
      </c>
      <c r="OP90" s="25">
        <v>2.9897248032524417</v>
      </c>
      <c r="OQ90" s="25">
        <v>3.4875973766500175</v>
      </c>
      <c r="OR90" t="s">
        <v>909</v>
      </c>
      <c r="OS90" t="s">
        <v>911</v>
      </c>
    </row>
    <row r="92" spans="1:409" s="14" customFormat="1" x14ac:dyDescent="0.25">
      <c r="A92" s="14" t="s">
        <v>487</v>
      </c>
      <c r="C92" s="21"/>
      <c r="Y92" s="22"/>
      <c r="BV92" s="14" t="s">
        <v>27</v>
      </c>
      <c r="BW92" s="14" t="s">
        <v>28</v>
      </c>
      <c r="BX92" s="14" t="s">
        <v>29</v>
      </c>
      <c r="BY92" s="14" t="s">
        <v>30</v>
      </c>
      <c r="BZ92" s="14" t="s">
        <v>31</v>
      </c>
      <c r="CA92" s="14" t="s">
        <v>32</v>
      </c>
      <c r="CB92" s="14" t="s">
        <v>33</v>
      </c>
      <c r="CC92" s="14" t="s">
        <v>34</v>
      </c>
      <c r="CD92" s="14" t="s">
        <v>35</v>
      </c>
      <c r="CE92" s="14" t="s">
        <v>36</v>
      </c>
      <c r="CF92" s="14" t="s">
        <v>37</v>
      </c>
      <c r="CG92" s="14" t="s">
        <v>38</v>
      </c>
      <c r="CH92" s="14" t="s">
        <v>39</v>
      </c>
      <c r="CI92" s="14" t="s">
        <v>40</v>
      </c>
      <c r="CJ92" s="14" t="s">
        <v>41</v>
      </c>
      <c r="CK92" s="14" t="s">
        <v>42</v>
      </c>
      <c r="CL92" s="14" t="s">
        <v>43</v>
      </c>
      <c r="CM92" s="14" t="s">
        <v>44</v>
      </c>
      <c r="CN92" s="14" t="s">
        <v>45</v>
      </c>
      <c r="CO92" s="14" t="s">
        <v>46</v>
      </c>
      <c r="CP92" s="14" t="s">
        <v>47</v>
      </c>
      <c r="CQ92" s="14" t="s">
        <v>48</v>
      </c>
      <c r="CR92" s="14" t="s">
        <v>49</v>
      </c>
      <c r="CS92" s="14" t="s">
        <v>50</v>
      </c>
      <c r="CT92" s="14" t="s">
        <v>51</v>
      </c>
      <c r="CU92" s="14" t="s">
        <v>52</v>
      </c>
      <c r="CV92" s="14" t="s">
        <v>53</v>
      </c>
      <c r="CW92" s="14" t="s">
        <v>54</v>
      </c>
      <c r="CX92" s="14" t="s">
        <v>55</v>
      </c>
      <c r="CY92" s="14" t="s">
        <v>56</v>
      </c>
      <c r="CZ92" s="14" t="s">
        <v>57</v>
      </c>
      <c r="DA92" s="14" t="s">
        <v>58</v>
      </c>
      <c r="DB92" s="14" t="s">
        <v>59</v>
      </c>
      <c r="DC92" s="14" t="s">
        <v>60</v>
      </c>
      <c r="DD92" s="14" t="s">
        <v>61</v>
      </c>
      <c r="DE92" s="14" t="s">
        <v>62</v>
      </c>
      <c r="DF92" s="14" t="s">
        <v>63</v>
      </c>
      <c r="DG92" s="14" t="s">
        <v>64</v>
      </c>
      <c r="DH92" s="14" t="s">
        <v>65</v>
      </c>
      <c r="DI92" s="14" t="s">
        <v>66</v>
      </c>
      <c r="DJ92" s="14" t="s">
        <v>67</v>
      </c>
      <c r="DK92" s="14" t="s">
        <v>68</v>
      </c>
      <c r="DL92" s="14" t="s">
        <v>69</v>
      </c>
      <c r="DM92" s="14" t="s">
        <v>70</v>
      </c>
      <c r="DN92" s="14" t="s">
        <v>71</v>
      </c>
      <c r="DO92" s="14" t="s">
        <v>72</v>
      </c>
      <c r="DP92" s="14" t="s">
        <v>73</v>
      </c>
      <c r="DQ92" s="14" t="s">
        <v>74</v>
      </c>
      <c r="DR92" s="14" t="s">
        <v>75</v>
      </c>
      <c r="DS92" s="14" t="s">
        <v>76</v>
      </c>
      <c r="DT92" s="14" t="s">
        <v>77</v>
      </c>
      <c r="DU92" s="14" t="s">
        <v>78</v>
      </c>
      <c r="DV92" s="14" t="s">
        <v>79</v>
      </c>
      <c r="DW92" s="14" t="s">
        <v>80</v>
      </c>
      <c r="DX92" s="14" t="s">
        <v>81</v>
      </c>
      <c r="DY92" s="14" t="s">
        <v>82</v>
      </c>
      <c r="DZ92" s="14" t="s">
        <v>83</v>
      </c>
      <c r="EA92" s="14" t="s">
        <v>84</v>
      </c>
      <c r="EB92" s="14" t="s">
        <v>85</v>
      </c>
      <c r="EC92" s="14" t="s">
        <v>86</v>
      </c>
      <c r="ED92" s="14" t="s">
        <v>87</v>
      </c>
      <c r="EE92" s="14" t="s">
        <v>88</v>
      </c>
      <c r="EF92" s="14" t="s">
        <v>89</v>
      </c>
      <c r="EG92" s="14" t="s">
        <v>90</v>
      </c>
      <c r="EH92" s="14" t="s">
        <v>91</v>
      </c>
      <c r="EI92" s="14" t="s">
        <v>92</v>
      </c>
      <c r="EJ92" s="14" t="s">
        <v>93</v>
      </c>
      <c r="EK92" s="14" t="s">
        <v>94</v>
      </c>
      <c r="EL92" s="14" t="s">
        <v>95</v>
      </c>
      <c r="EM92" s="14" t="s">
        <v>96</v>
      </c>
      <c r="EN92" s="14" t="s">
        <v>97</v>
      </c>
      <c r="EO92" s="14" t="s">
        <v>98</v>
      </c>
      <c r="EP92" s="14" t="s">
        <v>99</v>
      </c>
      <c r="EQ92" s="14" t="s">
        <v>100</v>
      </c>
      <c r="ER92" s="14" t="s">
        <v>101</v>
      </c>
      <c r="ES92" s="14" t="s">
        <v>102</v>
      </c>
      <c r="ET92" s="14" t="s">
        <v>103</v>
      </c>
      <c r="EU92" s="14" t="s">
        <v>104</v>
      </c>
      <c r="EV92" s="14" t="s">
        <v>105</v>
      </c>
      <c r="EW92" s="14" t="s">
        <v>106</v>
      </c>
      <c r="EX92" s="14" t="s">
        <v>107</v>
      </c>
      <c r="EY92" s="14" t="s">
        <v>108</v>
      </c>
      <c r="EZ92" s="14" t="s">
        <v>109</v>
      </c>
      <c r="FA92" s="14" t="s">
        <v>110</v>
      </c>
      <c r="FB92" s="14" t="s">
        <v>111</v>
      </c>
      <c r="FC92" s="14" t="s">
        <v>112</v>
      </c>
      <c r="FD92" s="14" t="s">
        <v>113</v>
      </c>
      <c r="FE92" s="14" t="s">
        <v>114</v>
      </c>
      <c r="FF92" s="14" t="s">
        <v>115</v>
      </c>
      <c r="FG92" s="14" t="s">
        <v>116</v>
      </c>
      <c r="FH92" s="14" t="s">
        <v>117</v>
      </c>
      <c r="FI92" s="14" t="s">
        <v>118</v>
      </c>
      <c r="FJ92" s="14" t="s">
        <v>119</v>
      </c>
      <c r="FK92" s="14" t="s">
        <v>120</v>
      </c>
      <c r="FL92" s="14" t="s">
        <v>121</v>
      </c>
      <c r="FM92" s="14" t="s">
        <v>122</v>
      </c>
      <c r="FN92" s="14" t="s">
        <v>123</v>
      </c>
      <c r="FO92" s="14" t="s">
        <v>124</v>
      </c>
      <c r="FP92" s="14" t="s">
        <v>125</v>
      </c>
      <c r="FQ92" s="14" t="s">
        <v>126</v>
      </c>
      <c r="FR92" s="14" t="s">
        <v>127</v>
      </c>
      <c r="FS92" s="14" t="s">
        <v>128</v>
      </c>
      <c r="FT92" s="14" t="s">
        <v>129</v>
      </c>
      <c r="FU92" s="14" t="s">
        <v>130</v>
      </c>
      <c r="FV92" s="14" t="s">
        <v>131</v>
      </c>
      <c r="FW92" s="14" t="s">
        <v>132</v>
      </c>
      <c r="FX92" s="14" t="s">
        <v>133</v>
      </c>
      <c r="FY92" s="14" t="s">
        <v>134</v>
      </c>
      <c r="FZ92" s="14" t="s">
        <v>135</v>
      </c>
      <c r="GA92" s="14" t="s">
        <v>136</v>
      </c>
      <c r="GB92" s="14" t="s">
        <v>137</v>
      </c>
      <c r="GC92" s="14" t="s">
        <v>138</v>
      </c>
      <c r="GD92" s="14" t="s">
        <v>139</v>
      </c>
      <c r="GE92" s="14" t="s">
        <v>140</v>
      </c>
      <c r="GF92" s="20"/>
      <c r="GG92" s="20"/>
      <c r="GH92" s="14" t="s">
        <v>27</v>
      </c>
      <c r="GI92" s="14" t="s">
        <v>28</v>
      </c>
      <c r="GJ92" s="14" t="s">
        <v>29</v>
      </c>
      <c r="GK92" s="14" t="s">
        <v>30</v>
      </c>
      <c r="GL92" s="14" t="s">
        <v>31</v>
      </c>
      <c r="GM92" s="14" t="s">
        <v>32</v>
      </c>
      <c r="GN92" s="14" t="s">
        <v>33</v>
      </c>
      <c r="GO92" s="14" t="s">
        <v>34</v>
      </c>
      <c r="GP92" s="14" t="s">
        <v>35</v>
      </c>
      <c r="GQ92" s="14" t="s">
        <v>36</v>
      </c>
      <c r="GR92" s="14" t="s">
        <v>37</v>
      </c>
      <c r="GS92" s="14" t="s">
        <v>38</v>
      </c>
      <c r="GT92" s="14" t="s">
        <v>39</v>
      </c>
      <c r="GU92" s="14" t="s">
        <v>40</v>
      </c>
      <c r="GV92" s="14" t="s">
        <v>41</v>
      </c>
      <c r="GW92" s="14" t="s">
        <v>42</v>
      </c>
      <c r="GX92" s="14" t="s">
        <v>43</v>
      </c>
      <c r="GY92" s="14" t="s">
        <v>44</v>
      </c>
      <c r="GZ92" s="14" t="s">
        <v>45</v>
      </c>
      <c r="HA92" s="14" t="s">
        <v>46</v>
      </c>
      <c r="HB92" s="14" t="s">
        <v>47</v>
      </c>
      <c r="HC92" s="14" t="s">
        <v>48</v>
      </c>
      <c r="HD92" s="14" t="s">
        <v>49</v>
      </c>
      <c r="HE92" s="14" t="s">
        <v>50</v>
      </c>
      <c r="HF92" s="14" t="s">
        <v>51</v>
      </c>
      <c r="HG92" s="14" t="s">
        <v>52</v>
      </c>
      <c r="HH92" s="14" t="s">
        <v>53</v>
      </c>
      <c r="HI92" s="14" t="s">
        <v>54</v>
      </c>
      <c r="HJ92" s="14" t="s">
        <v>55</v>
      </c>
      <c r="HK92" s="14" t="s">
        <v>56</v>
      </c>
      <c r="HL92" s="14" t="s">
        <v>57</v>
      </c>
      <c r="HM92" s="14" t="s">
        <v>58</v>
      </c>
      <c r="HN92" s="14" t="s">
        <v>59</v>
      </c>
      <c r="HO92" s="14" t="s">
        <v>60</v>
      </c>
      <c r="HP92" s="14" t="s">
        <v>61</v>
      </c>
      <c r="HQ92" s="14" t="s">
        <v>62</v>
      </c>
      <c r="HR92" s="14" t="s">
        <v>63</v>
      </c>
      <c r="HS92" s="14" t="s">
        <v>64</v>
      </c>
      <c r="HT92" s="14" t="s">
        <v>65</v>
      </c>
      <c r="HU92" s="14" t="s">
        <v>66</v>
      </c>
      <c r="HV92" s="14" t="s">
        <v>67</v>
      </c>
      <c r="HW92" s="14" t="s">
        <v>68</v>
      </c>
      <c r="HX92" s="14" t="s">
        <v>69</v>
      </c>
      <c r="HY92" s="14" t="s">
        <v>70</v>
      </c>
      <c r="HZ92" s="14" t="s">
        <v>71</v>
      </c>
      <c r="IA92" s="14" t="s">
        <v>72</v>
      </c>
      <c r="IB92" s="14" t="s">
        <v>73</v>
      </c>
      <c r="IC92" s="14" t="s">
        <v>74</v>
      </c>
      <c r="ID92" s="14" t="s">
        <v>75</v>
      </c>
      <c r="IE92" s="14" t="s">
        <v>76</v>
      </c>
      <c r="IF92" s="14" t="s">
        <v>77</v>
      </c>
      <c r="IG92" s="14" t="s">
        <v>78</v>
      </c>
      <c r="IH92" s="14" t="s">
        <v>79</v>
      </c>
      <c r="II92" s="14" t="s">
        <v>80</v>
      </c>
      <c r="IJ92" s="14" t="s">
        <v>81</v>
      </c>
      <c r="IK92" s="14" t="s">
        <v>82</v>
      </c>
      <c r="IL92" s="14" t="s">
        <v>83</v>
      </c>
      <c r="IM92" s="14" t="s">
        <v>84</v>
      </c>
      <c r="IN92" s="14" t="s">
        <v>85</v>
      </c>
      <c r="IO92" s="14" t="s">
        <v>86</v>
      </c>
      <c r="IP92" s="14" t="s">
        <v>87</v>
      </c>
      <c r="IQ92" s="14" t="s">
        <v>88</v>
      </c>
      <c r="IR92" s="14" t="s">
        <v>89</v>
      </c>
      <c r="IS92" s="14" t="s">
        <v>90</v>
      </c>
      <c r="IT92" s="14" t="s">
        <v>91</v>
      </c>
      <c r="IU92" s="14" t="s">
        <v>92</v>
      </c>
      <c r="IV92" s="14" t="s">
        <v>93</v>
      </c>
      <c r="IW92" s="14" t="s">
        <v>94</v>
      </c>
      <c r="IX92" s="14" t="s">
        <v>95</v>
      </c>
      <c r="IY92" s="14" t="s">
        <v>96</v>
      </c>
      <c r="IZ92" s="14" t="s">
        <v>97</v>
      </c>
      <c r="JA92" s="14" t="s">
        <v>98</v>
      </c>
      <c r="JB92" s="14" t="s">
        <v>99</v>
      </c>
      <c r="JC92" s="14" t="s">
        <v>100</v>
      </c>
      <c r="JD92" s="14" t="s">
        <v>101</v>
      </c>
      <c r="JE92" s="14" t="s">
        <v>102</v>
      </c>
      <c r="JF92" s="14" t="s">
        <v>103</v>
      </c>
      <c r="JH92" s="14" t="s">
        <v>105</v>
      </c>
      <c r="JI92" s="14" t="s">
        <v>107</v>
      </c>
      <c r="JJ92" s="14" t="s">
        <v>108</v>
      </c>
      <c r="JK92" s="14" t="s">
        <v>109</v>
      </c>
      <c r="JL92" s="14" t="s">
        <v>110</v>
      </c>
      <c r="JM92" s="14" t="s">
        <v>111</v>
      </c>
      <c r="JN92" s="14" t="s">
        <v>112</v>
      </c>
      <c r="JO92" s="14" t="s">
        <v>113</v>
      </c>
      <c r="JP92" s="14" t="s">
        <v>114</v>
      </c>
      <c r="JQ92" s="14" t="s">
        <v>115</v>
      </c>
      <c r="JR92" s="14" t="s">
        <v>116</v>
      </c>
      <c r="JS92" s="14" t="s">
        <v>117</v>
      </c>
      <c r="JT92" s="14" t="s">
        <v>118</v>
      </c>
      <c r="JU92" s="14" t="s">
        <v>119</v>
      </c>
      <c r="JV92" s="14" t="s">
        <v>120</v>
      </c>
      <c r="JW92" s="14" t="s">
        <v>121</v>
      </c>
      <c r="JX92" s="14" t="s">
        <v>122</v>
      </c>
      <c r="JY92" s="14" t="s">
        <v>123</v>
      </c>
      <c r="JZ92" s="14" t="s">
        <v>124</v>
      </c>
      <c r="KA92" s="14" t="s">
        <v>125</v>
      </c>
      <c r="KB92" s="14" t="s">
        <v>126</v>
      </c>
      <c r="KC92" s="14" t="s">
        <v>127</v>
      </c>
      <c r="KD92" s="14" t="s">
        <v>128</v>
      </c>
      <c r="KE92" s="14" t="s">
        <v>129</v>
      </c>
      <c r="KF92" s="14" t="s">
        <v>130</v>
      </c>
      <c r="KG92" s="14" t="s">
        <v>131</v>
      </c>
      <c r="KH92" s="14" t="s">
        <v>132</v>
      </c>
      <c r="KI92" s="14" t="s">
        <v>133</v>
      </c>
      <c r="KJ92" s="14" t="s">
        <v>134</v>
      </c>
      <c r="KK92" s="14" t="s">
        <v>135</v>
      </c>
      <c r="KL92" s="14" t="s">
        <v>136</v>
      </c>
      <c r="KM92" s="14" t="s">
        <v>137</v>
      </c>
      <c r="KN92" s="14" t="s">
        <v>138</v>
      </c>
      <c r="KO92" s="14" t="s">
        <v>139</v>
      </c>
      <c r="KP92" s="14" t="s">
        <v>140</v>
      </c>
      <c r="KQ92" s="20"/>
      <c r="KR92" s="20"/>
      <c r="LA92" s="20"/>
      <c r="LB92" s="21" t="s">
        <v>148</v>
      </c>
      <c r="LC92" s="21" t="s">
        <v>149</v>
      </c>
      <c r="LD92" s="21" t="s">
        <v>9</v>
      </c>
      <c r="LE92" s="21" t="s">
        <v>150</v>
      </c>
      <c r="LF92" s="21" t="s">
        <v>151</v>
      </c>
      <c r="LG92" s="21" t="s">
        <v>488</v>
      </c>
      <c r="LH92" s="21" t="s">
        <v>153</v>
      </c>
      <c r="LI92" s="21" t="s">
        <v>7</v>
      </c>
      <c r="LJ92" s="21" t="s">
        <v>7</v>
      </c>
      <c r="LK92" s="21" t="s">
        <v>156</v>
      </c>
      <c r="LL92" s="21" t="s">
        <v>157</v>
      </c>
      <c r="LM92" s="21" t="s">
        <v>6</v>
      </c>
      <c r="LN92" s="21" t="s">
        <v>20</v>
      </c>
      <c r="LO92" s="21" t="s">
        <v>159</v>
      </c>
      <c r="LP92" s="21" t="s">
        <v>160</v>
      </c>
      <c r="LQ92" s="21" t="s">
        <v>161</v>
      </c>
      <c r="LR92" s="21" t="s">
        <v>162</v>
      </c>
      <c r="LS92" s="21" t="s">
        <v>163</v>
      </c>
      <c r="LT92" s="21" t="s">
        <v>164</v>
      </c>
      <c r="LU92" s="21" t="s">
        <v>165</v>
      </c>
      <c r="LV92" s="21" t="s">
        <v>166</v>
      </c>
      <c r="LW92" s="21" t="s">
        <v>167</v>
      </c>
      <c r="LX92" s="21" t="s">
        <v>168</v>
      </c>
      <c r="LY92" s="21" t="s">
        <v>169</v>
      </c>
      <c r="LZ92" s="21" t="s">
        <v>170</v>
      </c>
      <c r="MA92" s="21" t="s">
        <v>171</v>
      </c>
      <c r="MB92" s="21" t="s">
        <v>172</v>
      </c>
      <c r="MC92" s="21" t="s">
        <v>173</v>
      </c>
      <c r="MD92" s="21" t="s">
        <v>10</v>
      </c>
      <c r="ME92" s="21" t="s">
        <v>174</v>
      </c>
      <c r="MF92" s="21" t="s">
        <v>175</v>
      </c>
      <c r="MG92" s="21" t="s">
        <v>176</v>
      </c>
      <c r="MH92" s="21" t="s">
        <v>177</v>
      </c>
      <c r="MI92" s="21" t="s">
        <v>178</v>
      </c>
    </row>
    <row r="93" spans="1:409" s="14" customFormat="1" x14ac:dyDescent="0.25">
      <c r="A93" s="14" t="s">
        <v>489</v>
      </c>
      <c r="C93" s="21"/>
      <c r="Y93" s="22"/>
      <c r="BV93" s="14">
        <v>2303</v>
      </c>
      <c r="BW93" s="14">
        <v>2319</v>
      </c>
      <c r="BX93" s="14">
        <v>2338</v>
      </c>
      <c r="BY93" s="14">
        <v>582845</v>
      </c>
      <c r="BZ93" s="14">
        <v>2283</v>
      </c>
      <c r="CA93" s="14">
        <v>2381</v>
      </c>
      <c r="CB93" s="14">
        <v>2452</v>
      </c>
      <c r="CC93" s="14">
        <v>2498</v>
      </c>
      <c r="CD93" s="14">
        <v>2400</v>
      </c>
      <c r="CE93" s="14">
        <v>227178</v>
      </c>
      <c r="CF93" s="14">
        <v>2436</v>
      </c>
      <c r="CG93" s="14">
        <v>2415</v>
      </c>
      <c r="CH93" s="14">
        <v>2416</v>
      </c>
      <c r="CI93" s="14">
        <v>2586</v>
      </c>
      <c r="CJ93" s="14">
        <v>2557</v>
      </c>
      <c r="CK93" s="14">
        <v>458823</v>
      </c>
      <c r="CL93" s="14">
        <v>2394</v>
      </c>
      <c r="CM93" s="14">
        <v>227164</v>
      </c>
      <c r="CN93" s="14">
        <v>2277</v>
      </c>
      <c r="CO93" s="14">
        <v>2278</v>
      </c>
      <c r="CP93" s="14">
        <v>2134</v>
      </c>
      <c r="CQ93" s="14">
        <v>2162</v>
      </c>
      <c r="CR93" s="14">
        <v>2144</v>
      </c>
      <c r="CS93" s="14">
        <v>2294</v>
      </c>
      <c r="CT93" s="14">
        <v>2345</v>
      </c>
      <c r="CU93" s="14">
        <v>227501</v>
      </c>
      <c r="CV93" s="14">
        <v>2426</v>
      </c>
      <c r="CW93" s="14">
        <v>2185</v>
      </c>
      <c r="CX93" s="14">
        <v>2163</v>
      </c>
      <c r="CY93" s="14">
        <v>2455</v>
      </c>
      <c r="CZ93" s="14">
        <v>2339</v>
      </c>
      <c r="DA93" s="14">
        <v>853823</v>
      </c>
      <c r="DB93" s="14">
        <v>2167</v>
      </c>
      <c r="DC93" s="14">
        <v>2474</v>
      </c>
      <c r="DD93" s="14">
        <v>2369</v>
      </c>
      <c r="DE93" s="14">
        <v>2297</v>
      </c>
      <c r="DF93" s="14">
        <v>2404</v>
      </c>
      <c r="DG93" s="14">
        <v>2444</v>
      </c>
      <c r="DH93" s="14">
        <v>2439</v>
      </c>
      <c r="DI93" s="14">
        <v>2140</v>
      </c>
      <c r="DJ93" s="14">
        <v>2428</v>
      </c>
      <c r="DK93" s="14">
        <v>2513</v>
      </c>
      <c r="DL93" s="14">
        <v>2514</v>
      </c>
      <c r="DM93" s="14">
        <v>2286</v>
      </c>
      <c r="DN93" s="14">
        <v>2559</v>
      </c>
      <c r="DP93" s="14">
        <v>2331</v>
      </c>
      <c r="DQ93" s="14">
        <v>2548</v>
      </c>
      <c r="DR93" s="14">
        <v>2332</v>
      </c>
      <c r="DS93" s="14">
        <v>2391</v>
      </c>
      <c r="DT93" s="14">
        <v>2298</v>
      </c>
      <c r="DU93" s="14">
        <v>2299</v>
      </c>
      <c r="DV93" s="14">
        <v>2333</v>
      </c>
      <c r="DW93" s="14">
        <v>2407</v>
      </c>
      <c r="DX93" s="14">
        <v>2191</v>
      </c>
      <c r="DY93" s="14">
        <v>2490</v>
      </c>
      <c r="DZ93" s="14">
        <v>2309</v>
      </c>
      <c r="EA93" s="14">
        <v>834500</v>
      </c>
      <c r="EB93" s="14">
        <v>2346</v>
      </c>
      <c r="EC93" s="14">
        <v>2461</v>
      </c>
      <c r="ED93" s="14">
        <v>2476</v>
      </c>
      <c r="EE93" s="14">
        <v>2572</v>
      </c>
      <c r="EF93" s="14">
        <v>2366</v>
      </c>
      <c r="EG93" s="14">
        <v>2367</v>
      </c>
      <c r="EH93" s="14">
        <v>2316</v>
      </c>
      <c r="EI93" s="14">
        <v>2300</v>
      </c>
      <c r="EJ93" s="14">
        <v>2325</v>
      </c>
      <c r="EK93" s="14">
        <v>160852</v>
      </c>
      <c r="EL93" s="14">
        <v>2418</v>
      </c>
      <c r="EM93" s="14">
        <v>2397</v>
      </c>
      <c r="EN93" s="14">
        <v>2569</v>
      </c>
      <c r="EO93" s="14">
        <v>2204</v>
      </c>
      <c r="EP93" s="14">
        <v>2573</v>
      </c>
      <c r="EQ93" s="14">
        <v>2320</v>
      </c>
      <c r="ER93" s="14">
        <v>2427</v>
      </c>
      <c r="ES93" s="14">
        <v>2322</v>
      </c>
      <c r="ET93" s="14">
        <v>2420</v>
      </c>
      <c r="EU93" s="14">
        <v>2562</v>
      </c>
      <c r="EV93" s="14">
        <v>2463</v>
      </c>
      <c r="EW93" s="14">
        <v>2562</v>
      </c>
      <c r="EX93" s="14">
        <v>2510</v>
      </c>
      <c r="EY93" s="14">
        <v>227165</v>
      </c>
      <c r="EZ93" s="14">
        <v>2563</v>
      </c>
      <c r="FA93" s="14">
        <v>2318</v>
      </c>
      <c r="FB93" s="14">
        <v>2398</v>
      </c>
      <c r="FC93" s="14">
        <v>2281</v>
      </c>
      <c r="FD93" s="14">
        <v>2301</v>
      </c>
      <c r="FE93" s="14">
        <v>2583</v>
      </c>
      <c r="FF93" s="14">
        <v>2334</v>
      </c>
      <c r="FG93" s="14">
        <v>2433</v>
      </c>
      <c r="FH93" s="14">
        <v>2166</v>
      </c>
      <c r="FI93" s="14">
        <v>2434</v>
      </c>
      <c r="FJ93" s="14">
        <v>2443</v>
      </c>
      <c r="FK93" s="14">
        <v>2189</v>
      </c>
      <c r="FL93" s="14">
        <v>2451</v>
      </c>
      <c r="FM93" s="14">
        <v>2302</v>
      </c>
      <c r="FN93" s="14">
        <v>153200</v>
      </c>
      <c r="FO93" s="14">
        <v>2564</v>
      </c>
      <c r="FP93" s="14">
        <v>2335</v>
      </c>
      <c r="FQ93" s="14">
        <v>2362</v>
      </c>
      <c r="FR93" s="14">
        <v>2526</v>
      </c>
      <c r="FS93" s="14">
        <v>2479</v>
      </c>
      <c r="FT93" s="14">
        <v>2527</v>
      </c>
      <c r="FU93" s="14">
        <v>2469</v>
      </c>
      <c r="FV93" s="14">
        <v>2547</v>
      </c>
      <c r="FW93" s="14">
        <v>2379</v>
      </c>
      <c r="FX93" s="14">
        <v>2470</v>
      </c>
      <c r="FY93" s="14">
        <v>2588</v>
      </c>
      <c r="FZ93" s="14">
        <v>2528</v>
      </c>
      <c r="GB93" s="14">
        <v>227195</v>
      </c>
      <c r="GC93" s="14">
        <v>2570</v>
      </c>
      <c r="GD93" s="14">
        <v>2190</v>
      </c>
      <c r="GE93" s="14">
        <v>227494</v>
      </c>
      <c r="GF93" s="20"/>
      <c r="GG93" s="20"/>
      <c r="GH93" s="14">
        <v>2303</v>
      </c>
      <c r="GI93" s="14">
        <v>2319</v>
      </c>
      <c r="GJ93" s="14">
        <v>2338</v>
      </c>
      <c r="GK93" s="14">
        <v>582845</v>
      </c>
      <c r="GL93" s="14">
        <v>2283</v>
      </c>
      <c r="GM93" s="14">
        <v>2381</v>
      </c>
      <c r="GN93" s="14">
        <v>2452</v>
      </c>
      <c r="GO93" s="14">
        <v>2498</v>
      </c>
      <c r="GP93" s="14">
        <v>2400</v>
      </c>
      <c r="GQ93" s="14">
        <v>227178</v>
      </c>
      <c r="GR93" s="14">
        <v>2436</v>
      </c>
      <c r="GS93" s="14">
        <v>2415</v>
      </c>
      <c r="GT93" s="14">
        <v>2416</v>
      </c>
      <c r="GU93" s="14">
        <v>2586</v>
      </c>
      <c r="GV93" s="14">
        <v>2557</v>
      </c>
      <c r="GW93" s="14">
        <v>458823</v>
      </c>
      <c r="GX93" s="14">
        <v>2394</v>
      </c>
      <c r="GY93" s="14">
        <v>227164</v>
      </c>
      <c r="GZ93" s="14">
        <v>2277</v>
      </c>
      <c r="HA93" s="14">
        <v>2278</v>
      </c>
      <c r="HB93" s="14">
        <v>2134</v>
      </c>
      <c r="HC93" s="14">
        <v>2162</v>
      </c>
      <c r="HD93" s="14">
        <v>2144</v>
      </c>
      <c r="HE93" s="14">
        <v>2294</v>
      </c>
      <c r="HF93" s="14">
        <v>2345</v>
      </c>
      <c r="HG93" s="14">
        <v>227501</v>
      </c>
      <c r="HH93" s="14">
        <v>2426</v>
      </c>
      <c r="HI93" s="14">
        <v>2185</v>
      </c>
      <c r="HJ93" s="14">
        <v>2163</v>
      </c>
      <c r="HK93" s="14">
        <v>2455</v>
      </c>
      <c r="HL93" s="14">
        <v>2339</v>
      </c>
      <c r="HM93" s="14">
        <v>853823</v>
      </c>
      <c r="HN93" s="14">
        <v>2167</v>
      </c>
      <c r="HO93" s="14">
        <v>2474</v>
      </c>
      <c r="HP93" s="14">
        <v>2369</v>
      </c>
      <c r="HQ93" s="14">
        <v>2297</v>
      </c>
      <c r="HR93" s="14">
        <v>2404</v>
      </c>
      <c r="HS93" s="14">
        <v>2444</v>
      </c>
      <c r="HT93" s="14">
        <v>2439</v>
      </c>
      <c r="HU93" s="14">
        <v>2140</v>
      </c>
      <c r="HV93" s="14">
        <v>2428</v>
      </c>
      <c r="HW93" s="14">
        <v>2513</v>
      </c>
      <c r="HX93" s="14">
        <v>2514</v>
      </c>
      <c r="HY93" s="14">
        <v>2286</v>
      </c>
      <c r="HZ93" s="14">
        <v>2559</v>
      </c>
      <c r="IB93" s="14">
        <v>2331</v>
      </c>
      <c r="IC93" s="14">
        <v>2548</v>
      </c>
      <c r="ID93" s="14">
        <v>2332</v>
      </c>
      <c r="IE93" s="14">
        <v>2391</v>
      </c>
      <c r="IF93" s="14">
        <v>2298</v>
      </c>
      <c r="IG93" s="14">
        <v>2299</v>
      </c>
      <c r="IH93" s="14">
        <v>2333</v>
      </c>
      <c r="II93" s="14">
        <v>2407</v>
      </c>
      <c r="IJ93" s="14">
        <v>2191</v>
      </c>
      <c r="IK93" s="14">
        <v>2490</v>
      </c>
      <c r="IL93" s="14">
        <v>2309</v>
      </c>
      <c r="IM93" s="14">
        <v>834500</v>
      </c>
      <c r="IN93" s="14">
        <v>2346</v>
      </c>
      <c r="IO93" s="14">
        <v>2461</v>
      </c>
      <c r="IP93" s="14">
        <v>2476</v>
      </c>
      <c r="IQ93" s="14">
        <v>2572</v>
      </c>
      <c r="IR93" s="14">
        <v>2366</v>
      </c>
      <c r="IS93" s="14">
        <v>2367</v>
      </c>
      <c r="IT93" s="14">
        <v>2316</v>
      </c>
      <c r="IU93" s="14">
        <v>2300</v>
      </c>
      <c r="IV93" s="14">
        <v>2325</v>
      </c>
      <c r="IW93" s="14">
        <v>160852</v>
      </c>
      <c r="IX93" s="14">
        <v>2418</v>
      </c>
      <c r="IY93" s="14">
        <v>2397</v>
      </c>
      <c r="IZ93" s="14">
        <v>2569</v>
      </c>
      <c r="JA93" s="14">
        <v>2204</v>
      </c>
      <c r="JB93" s="14">
        <v>2573</v>
      </c>
      <c r="JC93" s="14">
        <v>2320</v>
      </c>
      <c r="JD93" s="14">
        <v>2427</v>
      </c>
      <c r="JE93" s="14">
        <v>2322</v>
      </c>
      <c r="JF93" s="14">
        <v>2420</v>
      </c>
      <c r="JH93" s="14">
        <v>2463</v>
      </c>
      <c r="JI93" s="14">
        <v>2510</v>
      </c>
      <c r="JJ93" s="14">
        <v>227165</v>
      </c>
      <c r="JK93" s="14">
        <v>2563</v>
      </c>
      <c r="JL93" s="14">
        <v>2318</v>
      </c>
      <c r="JM93" s="14">
        <v>2398</v>
      </c>
      <c r="JN93" s="14">
        <v>2281</v>
      </c>
      <c r="JO93" s="14">
        <v>2301</v>
      </c>
      <c r="JP93" s="14">
        <v>2583</v>
      </c>
      <c r="JQ93" s="14">
        <v>2334</v>
      </c>
      <c r="JR93" s="14">
        <v>2433</v>
      </c>
      <c r="JS93" s="14">
        <v>2166</v>
      </c>
      <c r="JT93" s="14">
        <v>2434</v>
      </c>
      <c r="JU93" s="14">
        <v>2443</v>
      </c>
      <c r="JV93" s="14">
        <v>2189</v>
      </c>
      <c r="JW93" s="14">
        <v>2451</v>
      </c>
      <c r="JX93" s="14">
        <v>2302</v>
      </c>
      <c r="JY93" s="14">
        <v>153200</v>
      </c>
      <c r="JZ93" s="14">
        <v>2564</v>
      </c>
      <c r="KA93" s="14">
        <v>2335</v>
      </c>
      <c r="KB93" s="14">
        <v>2362</v>
      </c>
      <c r="KC93" s="14">
        <v>2526</v>
      </c>
      <c r="KD93" s="14">
        <v>2479</v>
      </c>
      <c r="KE93" s="14">
        <v>2527</v>
      </c>
      <c r="KF93" s="14">
        <v>2469</v>
      </c>
      <c r="KG93" s="14">
        <v>2547</v>
      </c>
      <c r="KH93" s="14">
        <v>2379</v>
      </c>
      <c r="KI93" s="14">
        <v>2470</v>
      </c>
      <c r="KJ93" s="14">
        <v>2588</v>
      </c>
      <c r="KK93" s="14">
        <v>2528</v>
      </c>
      <c r="KM93" s="14">
        <v>227195</v>
      </c>
      <c r="KN93" s="14">
        <v>2570</v>
      </c>
      <c r="KO93" s="14">
        <v>2190</v>
      </c>
      <c r="KP93" s="14">
        <v>227494</v>
      </c>
      <c r="KQ93" s="20"/>
      <c r="KR93" s="20"/>
      <c r="LA93" s="20"/>
      <c r="LB93" s="21">
        <v>1360</v>
      </c>
      <c r="LC93" s="21">
        <v>415046</v>
      </c>
      <c r="LD93" s="21">
        <v>1135</v>
      </c>
      <c r="LE93" s="21">
        <v>1292</v>
      </c>
      <c r="LF93" s="21">
        <v>208</v>
      </c>
      <c r="LG93" s="21">
        <v>1065</v>
      </c>
      <c r="LH93" s="21">
        <v>106057</v>
      </c>
      <c r="LI93" s="21">
        <v>105</v>
      </c>
      <c r="LJ93" s="21">
        <v>105</v>
      </c>
      <c r="LK93" s="21">
        <v>101825</v>
      </c>
      <c r="LL93" s="21">
        <v>106235</v>
      </c>
      <c r="LM93" s="21">
        <v>1082</v>
      </c>
      <c r="LN93" s="21">
        <v>1267</v>
      </c>
      <c r="LO93" s="21">
        <v>101376</v>
      </c>
      <c r="LP93" s="21">
        <v>1130</v>
      </c>
      <c r="LQ93" s="21">
        <v>966</v>
      </c>
      <c r="LR93" s="21">
        <v>101</v>
      </c>
      <c r="LS93" s="21">
        <v>884311</v>
      </c>
      <c r="LT93" s="21">
        <v>106087</v>
      </c>
      <c r="LU93" s="21">
        <v>101395</v>
      </c>
      <c r="LV93" s="21">
        <v>101765</v>
      </c>
      <c r="LW93" s="21">
        <v>149668</v>
      </c>
      <c r="LX93" s="21">
        <v>211</v>
      </c>
      <c r="LY93" s="21">
        <v>129379</v>
      </c>
      <c r="LZ93" s="21">
        <v>215</v>
      </c>
      <c r="MA93" s="21">
        <v>113</v>
      </c>
      <c r="MB93" s="21">
        <v>106238</v>
      </c>
      <c r="MC93" s="21">
        <v>103052</v>
      </c>
      <c r="MD93" s="21">
        <v>883</v>
      </c>
      <c r="ME93" s="21">
        <v>939</v>
      </c>
      <c r="MF93" s="21">
        <v>558</v>
      </c>
      <c r="MG93" s="21">
        <v>101409</v>
      </c>
      <c r="MH93" s="21">
        <v>948</v>
      </c>
      <c r="MI93" s="21">
        <v>243</v>
      </c>
    </row>
    <row r="94" spans="1:409" s="14" customFormat="1" x14ac:dyDescent="0.25">
      <c r="A94" s="14" t="s">
        <v>490</v>
      </c>
      <c r="C94" s="21"/>
      <c r="Y94" s="22"/>
      <c r="BV94" s="14" t="s">
        <v>491</v>
      </c>
      <c r="BW94" s="14" t="s">
        <v>491</v>
      </c>
      <c r="BX94" s="14" t="s">
        <v>491</v>
      </c>
      <c r="BY94" s="14" t="s">
        <v>491</v>
      </c>
      <c r="BZ94" s="14" t="s">
        <v>491</v>
      </c>
      <c r="CA94" s="14" t="s">
        <v>491</v>
      </c>
      <c r="CB94" s="14" t="s">
        <v>491</v>
      </c>
      <c r="CC94" s="14" t="s">
        <v>492</v>
      </c>
      <c r="CD94" s="14" t="s">
        <v>491</v>
      </c>
      <c r="CE94" s="14" t="s">
        <v>491</v>
      </c>
      <c r="CF94" s="14" t="s">
        <v>491</v>
      </c>
      <c r="CG94" s="14" t="s">
        <v>491</v>
      </c>
      <c r="CH94" s="14" t="s">
        <v>491</v>
      </c>
      <c r="CI94" s="14" t="s">
        <v>491</v>
      </c>
      <c r="CJ94" s="14" t="s">
        <v>491</v>
      </c>
      <c r="CK94" s="14" t="s">
        <v>491</v>
      </c>
      <c r="CL94" s="14" t="s">
        <v>491</v>
      </c>
      <c r="CM94" s="14" t="s">
        <v>491</v>
      </c>
      <c r="CN94" s="14" t="s">
        <v>491</v>
      </c>
      <c r="CO94" s="14" t="s">
        <v>491</v>
      </c>
      <c r="CP94" s="14" t="s">
        <v>491</v>
      </c>
      <c r="CQ94" s="14" t="s">
        <v>491</v>
      </c>
      <c r="CR94" s="14" t="s">
        <v>491</v>
      </c>
      <c r="CS94" s="14" t="s">
        <v>491</v>
      </c>
      <c r="CT94" s="14" t="s">
        <v>491</v>
      </c>
      <c r="CU94" s="14" t="s">
        <v>491</v>
      </c>
      <c r="CV94" s="14" t="s">
        <v>491</v>
      </c>
      <c r="CW94" s="14" t="s">
        <v>491</v>
      </c>
      <c r="CX94" s="14" t="s">
        <v>491</v>
      </c>
      <c r="CY94" s="14" t="s">
        <v>491</v>
      </c>
      <c r="CZ94" s="14" t="s">
        <v>491</v>
      </c>
      <c r="DA94" s="14" t="s">
        <v>491</v>
      </c>
      <c r="DB94" s="14" t="s">
        <v>491</v>
      </c>
      <c r="DC94" s="14" t="s">
        <v>491</v>
      </c>
      <c r="DD94" s="14" t="s">
        <v>491</v>
      </c>
      <c r="DE94" s="14" t="s">
        <v>491</v>
      </c>
      <c r="DF94" s="14" t="s">
        <v>491</v>
      </c>
      <c r="DG94" s="14" t="s">
        <v>491</v>
      </c>
      <c r="DH94" s="14" t="s">
        <v>491</v>
      </c>
      <c r="DI94" s="14" t="s">
        <v>491</v>
      </c>
      <c r="DJ94" s="14" t="s">
        <v>491</v>
      </c>
      <c r="DK94" s="14" t="s">
        <v>491</v>
      </c>
      <c r="DL94" s="14" t="s">
        <v>491</v>
      </c>
      <c r="DM94" s="14" t="s">
        <v>491</v>
      </c>
      <c r="DN94" s="14" t="s">
        <v>491</v>
      </c>
      <c r="DP94" s="14" t="s">
        <v>491</v>
      </c>
      <c r="DQ94" s="14" t="s">
        <v>491</v>
      </c>
      <c r="DR94" s="14" t="s">
        <v>491</v>
      </c>
      <c r="DS94" s="14" t="s">
        <v>491</v>
      </c>
      <c r="DT94" s="14" t="s">
        <v>491</v>
      </c>
      <c r="DU94" s="14" t="s">
        <v>491</v>
      </c>
      <c r="DV94" s="14" t="s">
        <v>491</v>
      </c>
      <c r="DW94" s="14" t="s">
        <v>491</v>
      </c>
      <c r="DX94" s="14" t="s">
        <v>491</v>
      </c>
      <c r="DY94" s="14" t="s">
        <v>491</v>
      </c>
      <c r="DZ94" s="14" t="s">
        <v>491</v>
      </c>
      <c r="EA94" s="14" t="s">
        <v>491</v>
      </c>
      <c r="EB94" s="14" t="s">
        <v>491</v>
      </c>
      <c r="EC94" s="14" t="s">
        <v>491</v>
      </c>
      <c r="ED94" s="14" t="s">
        <v>491</v>
      </c>
      <c r="EE94" s="14" t="s">
        <v>491</v>
      </c>
      <c r="EF94" s="14" t="s">
        <v>491</v>
      </c>
      <c r="EG94" s="14" t="s">
        <v>491</v>
      </c>
      <c r="EH94" s="14" t="s">
        <v>491</v>
      </c>
      <c r="EI94" s="14" t="s">
        <v>491</v>
      </c>
      <c r="EJ94" s="14" t="s">
        <v>491</v>
      </c>
      <c r="EK94" s="14" t="s">
        <v>491</v>
      </c>
      <c r="EL94" s="14" t="s">
        <v>491</v>
      </c>
      <c r="EM94" s="14" t="s">
        <v>491</v>
      </c>
      <c r="EN94" s="14" t="s">
        <v>491</v>
      </c>
      <c r="EO94" s="14" t="s">
        <v>491</v>
      </c>
      <c r="EP94" s="14" t="s">
        <v>491</v>
      </c>
      <c r="EQ94" s="14" t="s">
        <v>491</v>
      </c>
      <c r="ER94" s="14" t="s">
        <v>491</v>
      </c>
      <c r="ES94" s="14" t="s">
        <v>491</v>
      </c>
      <c r="ET94" s="14" t="s">
        <v>492</v>
      </c>
      <c r="EU94" s="14" t="s">
        <v>492</v>
      </c>
      <c r="EV94" s="14" t="s">
        <v>491</v>
      </c>
      <c r="EW94" s="14" t="s">
        <v>491</v>
      </c>
      <c r="EX94" s="14" t="s">
        <v>491</v>
      </c>
      <c r="EY94" s="14" t="s">
        <v>491</v>
      </c>
      <c r="EZ94" s="14" t="s">
        <v>491</v>
      </c>
      <c r="FA94" s="14" t="s">
        <v>491</v>
      </c>
      <c r="FB94" s="14" t="s">
        <v>491</v>
      </c>
      <c r="FC94" s="14" t="s">
        <v>491</v>
      </c>
      <c r="FD94" s="14" t="s">
        <v>491</v>
      </c>
      <c r="FE94" s="14" t="s">
        <v>491</v>
      </c>
      <c r="FF94" s="14" t="s">
        <v>491</v>
      </c>
      <c r="FG94" s="14" t="s">
        <v>491</v>
      </c>
      <c r="FH94" s="14" t="s">
        <v>491</v>
      </c>
      <c r="FI94" s="14" t="s">
        <v>491</v>
      </c>
      <c r="FJ94" s="14" t="s">
        <v>491</v>
      </c>
      <c r="FK94" s="14" t="s">
        <v>491</v>
      </c>
      <c r="FL94" s="14" t="s">
        <v>491</v>
      </c>
      <c r="FM94" s="14" t="s">
        <v>491</v>
      </c>
      <c r="FN94" s="14" t="s">
        <v>491</v>
      </c>
      <c r="FO94" s="14" t="s">
        <v>491</v>
      </c>
      <c r="FP94" s="14" t="s">
        <v>491</v>
      </c>
      <c r="FQ94" s="14" t="s">
        <v>491</v>
      </c>
      <c r="FR94" s="14" t="s">
        <v>491</v>
      </c>
      <c r="FS94" s="14" t="s">
        <v>491</v>
      </c>
      <c r="FT94" s="14" t="s">
        <v>491</v>
      </c>
      <c r="FU94" s="14" t="s">
        <v>491</v>
      </c>
      <c r="FV94" s="14" t="s">
        <v>491</v>
      </c>
      <c r="FW94" s="14" t="s">
        <v>491</v>
      </c>
      <c r="FX94" s="14" t="s">
        <v>492</v>
      </c>
      <c r="FY94" s="14" t="s">
        <v>491</v>
      </c>
      <c r="FZ94" s="14" t="s">
        <v>491</v>
      </c>
      <c r="GB94" s="14" t="s">
        <v>491</v>
      </c>
      <c r="GC94" s="14" t="s">
        <v>491</v>
      </c>
      <c r="GD94" s="14" t="s">
        <v>491</v>
      </c>
      <c r="GE94" s="14" t="s">
        <v>491</v>
      </c>
      <c r="GF94" s="20"/>
      <c r="GG94" s="20"/>
      <c r="GH94" s="14" t="s">
        <v>491</v>
      </c>
      <c r="GI94" s="14" t="s">
        <v>491</v>
      </c>
      <c r="GJ94" s="14" t="s">
        <v>491</v>
      </c>
      <c r="GK94" s="14" t="s">
        <v>491</v>
      </c>
      <c r="GL94" s="14" t="s">
        <v>491</v>
      </c>
      <c r="GM94" s="14" t="s">
        <v>491</v>
      </c>
      <c r="GN94" s="14" t="s">
        <v>491</v>
      </c>
      <c r="GO94" s="14" t="s">
        <v>492</v>
      </c>
      <c r="GP94" s="14" t="s">
        <v>491</v>
      </c>
      <c r="GQ94" s="14" t="s">
        <v>491</v>
      </c>
      <c r="GR94" s="14" t="s">
        <v>491</v>
      </c>
      <c r="GS94" s="14" t="s">
        <v>491</v>
      </c>
      <c r="GT94" s="14" t="s">
        <v>491</v>
      </c>
      <c r="GU94" s="14" t="s">
        <v>491</v>
      </c>
      <c r="GV94" s="14" t="s">
        <v>491</v>
      </c>
      <c r="GW94" s="14" t="s">
        <v>491</v>
      </c>
      <c r="GX94" s="14" t="s">
        <v>491</v>
      </c>
      <c r="GY94" s="14" t="s">
        <v>491</v>
      </c>
      <c r="GZ94" s="14" t="s">
        <v>491</v>
      </c>
      <c r="HA94" s="14" t="s">
        <v>491</v>
      </c>
      <c r="HB94" s="14" t="s">
        <v>491</v>
      </c>
      <c r="HC94" s="14" t="s">
        <v>491</v>
      </c>
      <c r="HD94" s="14" t="s">
        <v>491</v>
      </c>
      <c r="HE94" s="14" t="s">
        <v>491</v>
      </c>
      <c r="HF94" s="14" t="s">
        <v>491</v>
      </c>
      <c r="HG94" s="14" t="s">
        <v>491</v>
      </c>
      <c r="HH94" s="14" t="s">
        <v>491</v>
      </c>
      <c r="HI94" s="14" t="s">
        <v>491</v>
      </c>
      <c r="HJ94" s="14" t="s">
        <v>491</v>
      </c>
      <c r="HK94" s="14" t="s">
        <v>491</v>
      </c>
      <c r="HL94" s="14" t="s">
        <v>491</v>
      </c>
      <c r="HM94" s="14" t="s">
        <v>491</v>
      </c>
      <c r="HN94" s="14" t="s">
        <v>491</v>
      </c>
      <c r="HO94" s="14" t="s">
        <v>491</v>
      </c>
      <c r="HP94" s="14" t="s">
        <v>491</v>
      </c>
      <c r="HQ94" s="14" t="s">
        <v>491</v>
      </c>
      <c r="HR94" s="14" t="s">
        <v>491</v>
      </c>
      <c r="HS94" s="14" t="s">
        <v>491</v>
      </c>
      <c r="HT94" s="14" t="s">
        <v>491</v>
      </c>
      <c r="HU94" s="14" t="s">
        <v>491</v>
      </c>
      <c r="HV94" s="14" t="s">
        <v>491</v>
      </c>
      <c r="HW94" s="14" t="s">
        <v>491</v>
      </c>
      <c r="HX94" s="14" t="s">
        <v>491</v>
      </c>
      <c r="HY94" s="14" t="s">
        <v>491</v>
      </c>
      <c r="HZ94" s="14" t="s">
        <v>491</v>
      </c>
      <c r="IB94" s="14" t="s">
        <v>491</v>
      </c>
      <c r="IC94" s="14" t="s">
        <v>491</v>
      </c>
      <c r="ID94" s="14" t="s">
        <v>491</v>
      </c>
      <c r="IE94" s="14" t="s">
        <v>491</v>
      </c>
      <c r="IF94" s="14" t="s">
        <v>491</v>
      </c>
      <c r="IG94" s="14" t="s">
        <v>491</v>
      </c>
      <c r="IH94" s="14" t="s">
        <v>491</v>
      </c>
      <c r="II94" s="14" t="s">
        <v>491</v>
      </c>
      <c r="IJ94" s="14" t="s">
        <v>491</v>
      </c>
      <c r="IK94" s="14" t="s">
        <v>491</v>
      </c>
      <c r="IL94" s="14" t="s">
        <v>491</v>
      </c>
      <c r="IM94" s="14" t="s">
        <v>491</v>
      </c>
      <c r="IN94" s="14" t="s">
        <v>491</v>
      </c>
      <c r="IO94" s="14" t="s">
        <v>491</v>
      </c>
      <c r="IP94" s="14" t="s">
        <v>491</v>
      </c>
      <c r="IQ94" s="14" t="s">
        <v>491</v>
      </c>
      <c r="IR94" s="14" t="s">
        <v>491</v>
      </c>
      <c r="IS94" s="14" t="s">
        <v>491</v>
      </c>
      <c r="IT94" s="14" t="s">
        <v>491</v>
      </c>
      <c r="IU94" s="14" t="s">
        <v>491</v>
      </c>
      <c r="IV94" s="14" t="s">
        <v>491</v>
      </c>
      <c r="IW94" s="14" t="s">
        <v>491</v>
      </c>
      <c r="IX94" s="14" t="s">
        <v>491</v>
      </c>
      <c r="IY94" s="14" t="s">
        <v>491</v>
      </c>
      <c r="IZ94" s="14" t="s">
        <v>491</v>
      </c>
      <c r="JA94" s="14" t="s">
        <v>491</v>
      </c>
      <c r="JB94" s="14" t="s">
        <v>491</v>
      </c>
      <c r="JC94" s="14" t="s">
        <v>491</v>
      </c>
      <c r="JD94" s="14" t="s">
        <v>491</v>
      </c>
      <c r="JE94" s="14" t="s">
        <v>491</v>
      </c>
      <c r="JF94" s="14" t="s">
        <v>492</v>
      </c>
      <c r="JH94" s="14" t="s">
        <v>491</v>
      </c>
      <c r="JI94" s="14" t="s">
        <v>491</v>
      </c>
      <c r="JJ94" s="14" t="s">
        <v>491</v>
      </c>
      <c r="JK94" s="14" t="s">
        <v>491</v>
      </c>
      <c r="JL94" s="14" t="s">
        <v>491</v>
      </c>
      <c r="JM94" s="14" t="s">
        <v>491</v>
      </c>
      <c r="JN94" s="14" t="s">
        <v>491</v>
      </c>
      <c r="JO94" s="14" t="s">
        <v>491</v>
      </c>
      <c r="JP94" s="14" t="s">
        <v>491</v>
      </c>
      <c r="JQ94" s="14" t="s">
        <v>491</v>
      </c>
      <c r="JR94" s="14" t="s">
        <v>491</v>
      </c>
      <c r="JS94" s="14" t="s">
        <v>491</v>
      </c>
      <c r="JT94" s="14" t="s">
        <v>491</v>
      </c>
      <c r="JU94" s="14" t="s">
        <v>491</v>
      </c>
      <c r="JV94" s="14" t="s">
        <v>491</v>
      </c>
      <c r="JW94" s="14" t="s">
        <v>491</v>
      </c>
      <c r="JX94" s="14" t="s">
        <v>491</v>
      </c>
      <c r="JY94" s="14" t="s">
        <v>491</v>
      </c>
      <c r="JZ94" s="14" t="s">
        <v>491</v>
      </c>
      <c r="KA94" s="14" t="s">
        <v>491</v>
      </c>
      <c r="KB94" s="14" t="s">
        <v>491</v>
      </c>
      <c r="KC94" s="14" t="s">
        <v>491</v>
      </c>
      <c r="KD94" s="14" t="s">
        <v>491</v>
      </c>
      <c r="KE94" s="14" t="s">
        <v>491</v>
      </c>
      <c r="KF94" s="14" t="s">
        <v>491</v>
      </c>
      <c r="KG94" s="14" t="s">
        <v>491</v>
      </c>
      <c r="KH94" s="14" t="s">
        <v>491</v>
      </c>
      <c r="KI94" s="14" t="s">
        <v>492</v>
      </c>
      <c r="KJ94" s="14" t="s">
        <v>491</v>
      </c>
      <c r="KK94" s="14" t="s">
        <v>491</v>
      </c>
      <c r="KM94" s="14" t="s">
        <v>491</v>
      </c>
      <c r="KN94" s="14" t="s">
        <v>491</v>
      </c>
      <c r="KO94" s="14" t="s">
        <v>491</v>
      </c>
      <c r="KP94" s="14" t="s">
        <v>491</v>
      </c>
      <c r="KQ94" s="20"/>
      <c r="KR94" s="20"/>
      <c r="LA94" s="20"/>
      <c r="LB94" s="21" t="s">
        <v>491</v>
      </c>
      <c r="LC94" s="21" t="s">
        <v>491</v>
      </c>
      <c r="LD94" s="21" t="s">
        <v>491</v>
      </c>
      <c r="LE94" s="21" t="s">
        <v>491</v>
      </c>
      <c r="LF94" s="21" t="s">
        <v>491</v>
      </c>
      <c r="LG94" s="21" t="s">
        <v>491</v>
      </c>
      <c r="LH94" s="21" t="s">
        <v>491</v>
      </c>
      <c r="LI94" s="21" t="s">
        <v>491</v>
      </c>
      <c r="LJ94" s="21" t="s">
        <v>491</v>
      </c>
      <c r="LK94" s="21" t="s">
        <v>491</v>
      </c>
      <c r="LL94" s="21" t="s">
        <v>491</v>
      </c>
      <c r="LM94" s="21" t="s">
        <v>491</v>
      </c>
      <c r="LN94" s="21" t="s">
        <v>491</v>
      </c>
      <c r="LO94" s="21" t="s">
        <v>491</v>
      </c>
      <c r="LP94" s="21" t="s">
        <v>491</v>
      </c>
      <c r="LQ94" s="21" t="s">
        <v>491</v>
      </c>
      <c r="LR94" s="21" t="s">
        <v>491</v>
      </c>
      <c r="LS94" s="21" t="s">
        <v>491</v>
      </c>
      <c r="LT94" s="21" t="s">
        <v>491</v>
      </c>
      <c r="LU94" s="21" t="s">
        <v>491</v>
      </c>
      <c r="LV94" s="21" t="s">
        <v>491</v>
      </c>
      <c r="LW94" s="21" t="s">
        <v>491</v>
      </c>
      <c r="LX94" s="21" t="s">
        <v>491</v>
      </c>
      <c r="LY94" s="21" t="s">
        <v>491</v>
      </c>
      <c r="LZ94" s="21" t="s">
        <v>491</v>
      </c>
      <c r="MA94" s="21" t="s">
        <v>491</v>
      </c>
      <c r="MB94" s="21" t="s">
        <v>491</v>
      </c>
      <c r="MC94" s="21" t="s">
        <v>491</v>
      </c>
      <c r="MD94" s="21" t="s">
        <v>491</v>
      </c>
      <c r="ME94" s="21" t="s">
        <v>491</v>
      </c>
      <c r="MF94" s="21" t="s">
        <v>491</v>
      </c>
      <c r="MG94" s="21" t="s">
        <v>491</v>
      </c>
      <c r="MH94" s="21" t="s">
        <v>491</v>
      </c>
      <c r="MI94" s="21" t="s">
        <v>491</v>
      </c>
    </row>
    <row r="95" spans="1:409" s="14" customFormat="1" x14ac:dyDescent="0.25">
      <c r="A95" s="14" t="s">
        <v>493</v>
      </c>
      <c r="C95" s="21"/>
      <c r="Y95" s="22"/>
      <c r="BV95" s="14" t="s">
        <v>494</v>
      </c>
      <c r="BW95" s="14" t="s">
        <v>495</v>
      </c>
      <c r="BX95" s="14" t="s">
        <v>496</v>
      </c>
      <c r="BY95" s="14" t="s">
        <v>497</v>
      </c>
      <c r="BZ95" s="14" t="s">
        <v>498</v>
      </c>
      <c r="CA95" s="14" t="s">
        <v>499</v>
      </c>
      <c r="CB95" s="14" t="s">
        <v>500</v>
      </c>
      <c r="CC95" s="14" t="s">
        <v>501</v>
      </c>
      <c r="CD95" s="14" t="s">
        <v>502</v>
      </c>
      <c r="CE95" s="14" t="s">
        <v>503</v>
      </c>
      <c r="CF95" s="14" t="s">
        <v>504</v>
      </c>
      <c r="CG95" s="14" t="s">
        <v>505</v>
      </c>
      <c r="CH95" s="14" t="s">
        <v>506</v>
      </c>
      <c r="CI95" s="14" t="s">
        <v>507</v>
      </c>
      <c r="CJ95" s="14" t="s">
        <v>508</v>
      </c>
      <c r="CK95" s="14" t="s">
        <v>509</v>
      </c>
      <c r="CL95" s="14" t="s">
        <v>510</v>
      </c>
      <c r="CM95" s="14" t="s">
        <v>511</v>
      </c>
      <c r="CN95" s="14" t="s">
        <v>512</v>
      </c>
      <c r="CO95" s="14" t="s">
        <v>513</v>
      </c>
      <c r="CP95" s="14" t="s">
        <v>514</v>
      </c>
      <c r="CQ95" s="14" t="s">
        <v>515</v>
      </c>
      <c r="CR95" s="14" t="s">
        <v>516</v>
      </c>
      <c r="CS95" s="14" t="s">
        <v>517</v>
      </c>
      <c r="CT95" s="14" t="s">
        <v>518</v>
      </c>
      <c r="CU95" s="14" t="s">
        <v>519</v>
      </c>
      <c r="CV95" s="14" t="s">
        <v>520</v>
      </c>
      <c r="CW95" s="14" t="s">
        <v>521</v>
      </c>
      <c r="CX95" s="14" t="s">
        <v>522</v>
      </c>
      <c r="CY95" s="14" t="s">
        <v>523</v>
      </c>
      <c r="CZ95" s="14" t="s">
        <v>524</v>
      </c>
      <c r="DA95" s="14" t="s">
        <v>525</v>
      </c>
      <c r="DB95" s="14" t="s">
        <v>526</v>
      </c>
      <c r="DC95" s="14" t="s">
        <v>527</v>
      </c>
      <c r="DD95" s="14" t="s">
        <v>528</v>
      </c>
      <c r="DE95" s="14" t="s">
        <v>529</v>
      </c>
      <c r="DF95" s="14" t="s">
        <v>530</v>
      </c>
      <c r="DG95" s="14" t="s">
        <v>531</v>
      </c>
      <c r="DH95" s="14" t="s">
        <v>532</v>
      </c>
      <c r="DI95" s="14" t="s">
        <v>533</v>
      </c>
      <c r="DJ95" s="14" t="s">
        <v>534</v>
      </c>
      <c r="DK95" s="14" t="s">
        <v>535</v>
      </c>
      <c r="DL95" s="14" t="s">
        <v>536</v>
      </c>
      <c r="DM95" s="14" t="s">
        <v>537</v>
      </c>
      <c r="DN95" s="14" t="s">
        <v>538</v>
      </c>
      <c r="DP95" s="14" t="s">
        <v>539</v>
      </c>
      <c r="DQ95" s="14" t="s">
        <v>540</v>
      </c>
      <c r="DR95" s="14" t="s">
        <v>541</v>
      </c>
      <c r="DS95" s="14" t="s">
        <v>542</v>
      </c>
      <c r="DT95" s="14" t="s">
        <v>543</v>
      </c>
      <c r="DU95" s="14" t="s">
        <v>544</v>
      </c>
      <c r="DV95" s="14" t="s">
        <v>545</v>
      </c>
      <c r="DW95" s="14" t="s">
        <v>546</v>
      </c>
      <c r="DX95" s="14" t="s">
        <v>547</v>
      </c>
      <c r="DY95" s="14" t="s">
        <v>548</v>
      </c>
      <c r="DZ95" s="14" t="s">
        <v>549</v>
      </c>
      <c r="EA95" s="14" t="s">
        <v>550</v>
      </c>
      <c r="EB95" s="14" t="s">
        <v>551</v>
      </c>
      <c r="EC95" s="14" t="s">
        <v>552</v>
      </c>
      <c r="ED95" s="14" t="s">
        <v>553</v>
      </c>
      <c r="EE95" s="14" t="s">
        <v>554</v>
      </c>
      <c r="EF95" s="14" t="s">
        <v>555</v>
      </c>
      <c r="EG95" s="14" t="s">
        <v>556</v>
      </c>
      <c r="EH95" s="14" t="s">
        <v>557</v>
      </c>
      <c r="EI95" s="14" t="s">
        <v>558</v>
      </c>
      <c r="EJ95" s="14" t="s">
        <v>559</v>
      </c>
      <c r="EK95" s="14" t="s">
        <v>560</v>
      </c>
      <c r="EL95" s="14" t="s">
        <v>561</v>
      </c>
      <c r="EM95" s="14" t="s">
        <v>562</v>
      </c>
      <c r="EN95" s="14" t="s">
        <v>563</v>
      </c>
      <c r="EO95" s="14" t="s">
        <v>564</v>
      </c>
      <c r="EP95" s="14" t="s">
        <v>565</v>
      </c>
      <c r="EQ95" s="14" t="s">
        <v>566</v>
      </c>
      <c r="ER95" s="14" t="s">
        <v>567</v>
      </c>
      <c r="ES95" s="14" t="s">
        <v>568</v>
      </c>
      <c r="ET95" s="14" t="s">
        <v>569</v>
      </c>
      <c r="EU95" s="14" t="s">
        <v>570</v>
      </c>
      <c r="EV95" s="14" t="s">
        <v>571</v>
      </c>
      <c r="EW95" s="14" t="s">
        <v>570</v>
      </c>
      <c r="EX95" s="14" t="s">
        <v>572</v>
      </c>
      <c r="EY95" s="14" t="s">
        <v>573</v>
      </c>
      <c r="EZ95" s="14" t="s">
        <v>574</v>
      </c>
      <c r="FA95" s="14" t="s">
        <v>575</v>
      </c>
      <c r="FB95" s="14" t="s">
        <v>576</v>
      </c>
      <c r="FC95" s="14" t="s">
        <v>577</v>
      </c>
      <c r="FD95" s="14" t="s">
        <v>578</v>
      </c>
      <c r="FE95" s="14" t="s">
        <v>579</v>
      </c>
      <c r="FF95" s="14" t="s">
        <v>580</v>
      </c>
      <c r="FG95" s="14" t="s">
        <v>581</v>
      </c>
      <c r="FH95" s="14" t="s">
        <v>582</v>
      </c>
      <c r="FI95" s="14" t="s">
        <v>583</v>
      </c>
      <c r="FJ95" s="14" t="s">
        <v>584</v>
      </c>
      <c r="FK95" s="14" t="s">
        <v>585</v>
      </c>
      <c r="FL95" s="14" t="s">
        <v>586</v>
      </c>
      <c r="FM95" s="14" t="s">
        <v>587</v>
      </c>
      <c r="FN95" s="14" t="s">
        <v>588</v>
      </c>
      <c r="FO95" s="14" t="s">
        <v>589</v>
      </c>
      <c r="FP95" s="14" t="s">
        <v>590</v>
      </c>
      <c r="FQ95" s="14" t="s">
        <v>591</v>
      </c>
      <c r="FR95" s="14" t="s">
        <v>592</v>
      </c>
      <c r="FS95" s="14" t="s">
        <v>593</v>
      </c>
      <c r="FT95" s="14" t="s">
        <v>594</v>
      </c>
      <c r="FU95" s="14" t="s">
        <v>595</v>
      </c>
      <c r="FV95" s="14" t="s">
        <v>596</v>
      </c>
      <c r="FW95" s="14" t="s">
        <v>597</v>
      </c>
      <c r="FX95" s="14" t="s">
        <v>598</v>
      </c>
      <c r="FY95" s="14" t="s">
        <v>599</v>
      </c>
      <c r="FZ95" s="14" t="s">
        <v>600</v>
      </c>
      <c r="GB95" s="14" t="s">
        <v>601</v>
      </c>
      <c r="GC95" s="14" t="s">
        <v>602</v>
      </c>
      <c r="GD95" s="14" t="s">
        <v>603</v>
      </c>
      <c r="GE95" s="14" t="s">
        <v>604</v>
      </c>
      <c r="GF95" s="20"/>
      <c r="GG95" s="20"/>
      <c r="GH95" s="14" t="s">
        <v>494</v>
      </c>
      <c r="GI95" s="14" t="s">
        <v>495</v>
      </c>
      <c r="GJ95" s="14" t="s">
        <v>496</v>
      </c>
      <c r="GK95" s="14" t="s">
        <v>497</v>
      </c>
      <c r="GL95" s="14" t="s">
        <v>498</v>
      </c>
      <c r="GM95" s="14" t="s">
        <v>499</v>
      </c>
      <c r="GN95" s="14" t="s">
        <v>500</v>
      </c>
      <c r="GO95" s="14" t="s">
        <v>501</v>
      </c>
      <c r="GP95" s="14" t="s">
        <v>502</v>
      </c>
      <c r="GQ95" s="14" t="s">
        <v>503</v>
      </c>
      <c r="GR95" s="14" t="s">
        <v>504</v>
      </c>
      <c r="GS95" s="14" t="s">
        <v>505</v>
      </c>
      <c r="GT95" s="14" t="s">
        <v>506</v>
      </c>
      <c r="GU95" s="14" t="s">
        <v>507</v>
      </c>
      <c r="GV95" s="14" t="s">
        <v>508</v>
      </c>
      <c r="GW95" s="14" t="s">
        <v>509</v>
      </c>
      <c r="GX95" s="14" t="s">
        <v>510</v>
      </c>
      <c r="GY95" s="14" t="s">
        <v>511</v>
      </c>
      <c r="GZ95" s="14" t="s">
        <v>512</v>
      </c>
      <c r="HA95" s="14" t="s">
        <v>513</v>
      </c>
      <c r="HB95" s="14" t="s">
        <v>514</v>
      </c>
      <c r="HC95" s="14" t="s">
        <v>515</v>
      </c>
      <c r="HD95" s="14" t="s">
        <v>516</v>
      </c>
      <c r="HE95" s="14" t="s">
        <v>517</v>
      </c>
      <c r="HF95" s="14" t="s">
        <v>518</v>
      </c>
      <c r="HG95" s="14" t="s">
        <v>519</v>
      </c>
      <c r="HH95" s="14" t="s">
        <v>520</v>
      </c>
      <c r="HI95" s="14" t="s">
        <v>521</v>
      </c>
      <c r="HJ95" s="14" t="s">
        <v>522</v>
      </c>
      <c r="HK95" s="14" t="s">
        <v>523</v>
      </c>
      <c r="HL95" s="14" t="s">
        <v>524</v>
      </c>
      <c r="HM95" s="14" t="s">
        <v>525</v>
      </c>
      <c r="HN95" s="14" t="s">
        <v>526</v>
      </c>
      <c r="HO95" s="14" t="s">
        <v>527</v>
      </c>
      <c r="HP95" s="14" t="s">
        <v>528</v>
      </c>
      <c r="HQ95" s="14" t="s">
        <v>529</v>
      </c>
      <c r="HR95" s="14" t="s">
        <v>530</v>
      </c>
      <c r="HS95" s="14" t="s">
        <v>531</v>
      </c>
      <c r="HT95" s="14" t="s">
        <v>532</v>
      </c>
      <c r="HU95" s="14" t="s">
        <v>533</v>
      </c>
      <c r="HV95" s="14" t="s">
        <v>534</v>
      </c>
      <c r="HW95" s="14" t="s">
        <v>535</v>
      </c>
      <c r="HX95" s="14" t="s">
        <v>536</v>
      </c>
      <c r="HY95" s="14" t="s">
        <v>537</v>
      </c>
      <c r="HZ95" s="14" t="s">
        <v>538</v>
      </c>
      <c r="IB95" s="14" t="s">
        <v>539</v>
      </c>
      <c r="IC95" s="14" t="s">
        <v>540</v>
      </c>
      <c r="ID95" s="14" t="s">
        <v>541</v>
      </c>
      <c r="IE95" s="14" t="s">
        <v>542</v>
      </c>
      <c r="IF95" s="14" t="s">
        <v>543</v>
      </c>
      <c r="IG95" s="14" t="s">
        <v>544</v>
      </c>
      <c r="IH95" s="14" t="s">
        <v>545</v>
      </c>
      <c r="II95" s="14" t="s">
        <v>546</v>
      </c>
      <c r="IJ95" s="14" t="s">
        <v>547</v>
      </c>
      <c r="IK95" s="14" t="s">
        <v>548</v>
      </c>
      <c r="IL95" s="14" t="s">
        <v>549</v>
      </c>
      <c r="IM95" s="14" t="s">
        <v>550</v>
      </c>
      <c r="IN95" s="14" t="s">
        <v>551</v>
      </c>
      <c r="IO95" s="14" t="s">
        <v>552</v>
      </c>
      <c r="IP95" s="14" t="s">
        <v>553</v>
      </c>
      <c r="IQ95" s="14" t="s">
        <v>554</v>
      </c>
      <c r="IR95" s="14" t="s">
        <v>555</v>
      </c>
      <c r="IS95" s="14" t="s">
        <v>556</v>
      </c>
      <c r="IT95" s="14" t="s">
        <v>557</v>
      </c>
      <c r="IU95" s="14" t="s">
        <v>558</v>
      </c>
      <c r="IV95" s="14" t="s">
        <v>559</v>
      </c>
      <c r="IW95" s="14" t="s">
        <v>560</v>
      </c>
      <c r="IX95" s="14" t="s">
        <v>561</v>
      </c>
      <c r="IY95" s="14" t="s">
        <v>562</v>
      </c>
      <c r="IZ95" s="14" t="s">
        <v>563</v>
      </c>
      <c r="JA95" s="14" t="s">
        <v>564</v>
      </c>
      <c r="JB95" s="14" t="s">
        <v>565</v>
      </c>
      <c r="JC95" s="14" t="s">
        <v>566</v>
      </c>
      <c r="JD95" s="14" t="s">
        <v>567</v>
      </c>
      <c r="JE95" s="14" t="s">
        <v>568</v>
      </c>
      <c r="JF95" s="14" t="s">
        <v>569</v>
      </c>
      <c r="JH95" s="14" t="s">
        <v>571</v>
      </c>
      <c r="JI95" s="14" t="s">
        <v>572</v>
      </c>
      <c r="JJ95" s="14" t="s">
        <v>573</v>
      </c>
      <c r="JK95" s="14" t="s">
        <v>574</v>
      </c>
      <c r="JL95" s="14" t="s">
        <v>575</v>
      </c>
      <c r="JM95" s="14" t="s">
        <v>576</v>
      </c>
      <c r="JN95" s="14" t="s">
        <v>577</v>
      </c>
      <c r="JO95" s="14" t="s">
        <v>578</v>
      </c>
      <c r="JP95" s="14" t="s">
        <v>579</v>
      </c>
      <c r="JQ95" s="14" t="s">
        <v>580</v>
      </c>
      <c r="JR95" s="14" t="s">
        <v>581</v>
      </c>
      <c r="JS95" s="14" t="s">
        <v>582</v>
      </c>
      <c r="JT95" s="14" t="s">
        <v>583</v>
      </c>
      <c r="JU95" s="14" t="s">
        <v>584</v>
      </c>
      <c r="JV95" s="14" t="s">
        <v>585</v>
      </c>
      <c r="JW95" s="14" t="s">
        <v>586</v>
      </c>
      <c r="JX95" s="14" t="s">
        <v>587</v>
      </c>
      <c r="JY95" s="14" t="s">
        <v>588</v>
      </c>
      <c r="JZ95" s="14" t="s">
        <v>589</v>
      </c>
      <c r="KA95" s="14" t="s">
        <v>590</v>
      </c>
      <c r="KB95" s="14" t="s">
        <v>591</v>
      </c>
      <c r="KC95" s="14" t="s">
        <v>592</v>
      </c>
      <c r="KD95" s="14" t="s">
        <v>593</v>
      </c>
      <c r="KE95" s="14" t="s">
        <v>594</v>
      </c>
      <c r="KF95" s="14" t="s">
        <v>595</v>
      </c>
      <c r="KG95" s="14" t="s">
        <v>596</v>
      </c>
      <c r="KH95" s="14" t="s">
        <v>597</v>
      </c>
      <c r="KI95" s="14" t="s">
        <v>598</v>
      </c>
      <c r="KJ95" s="14" t="s">
        <v>599</v>
      </c>
      <c r="KK95" s="14" t="s">
        <v>600</v>
      </c>
      <c r="KM95" s="14" t="s">
        <v>601</v>
      </c>
      <c r="KN95" s="14" t="s">
        <v>602</v>
      </c>
      <c r="KO95" s="14" t="s">
        <v>603</v>
      </c>
      <c r="KP95" s="14" t="s">
        <v>604</v>
      </c>
      <c r="KQ95" s="20"/>
      <c r="KR95" s="20"/>
      <c r="LA95" s="20"/>
      <c r="LB95" s="21" t="s">
        <v>605</v>
      </c>
      <c r="LC95" s="21" t="s">
        <v>606</v>
      </c>
      <c r="LD95" s="21" t="s">
        <v>607</v>
      </c>
      <c r="LE95" s="21" t="s">
        <v>608</v>
      </c>
      <c r="LF95" s="21" t="s">
        <v>609</v>
      </c>
      <c r="LG95" s="21" t="s">
        <v>610</v>
      </c>
      <c r="LH95" s="21" t="s">
        <v>611</v>
      </c>
      <c r="LI95" s="21" t="s">
        <v>612</v>
      </c>
      <c r="LJ95" s="21" t="s">
        <v>612</v>
      </c>
      <c r="LK95" s="21" t="s">
        <v>613</v>
      </c>
      <c r="LL95" s="21" t="s">
        <v>614</v>
      </c>
      <c r="LM95" s="21" t="s">
        <v>615</v>
      </c>
      <c r="LN95" s="21" t="s">
        <v>616</v>
      </c>
      <c r="LO95" s="21" t="s">
        <v>617</v>
      </c>
      <c r="LP95" s="21" t="s">
        <v>618</v>
      </c>
      <c r="LQ95" s="21" t="s">
        <v>619</v>
      </c>
      <c r="LR95" s="21" t="s">
        <v>620</v>
      </c>
      <c r="LS95" s="21" t="s">
        <v>621</v>
      </c>
      <c r="LT95" s="21" t="s">
        <v>622</v>
      </c>
      <c r="LU95" s="21" t="s">
        <v>623</v>
      </c>
      <c r="LV95" s="21" t="s">
        <v>624</v>
      </c>
      <c r="LW95" s="21" t="s">
        <v>625</v>
      </c>
      <c r="LX95" s="21" t="s">
        <v>626</v>
      </c>
      <c r="LY95" s="21" t="s">
        <v>627</v>
      </c>
      <c r="LZ95" s="21" t="s">
        <v>628</v>
      </c>
      <c r="MA95" s="21" t="s">
        <v>629</v>
      </c>
      <c r="MB95" s="21" t="s">
        <v>630</v>
      </c>
      <c r="MC95" s="21" t="s">
        <v>631</v>
      </c>
      <c r="MD95" s="21" t="s">
        <v>632</v>
      </c>
      <c r="ME95" s="21" t="s">
        <v>633</v>
      </c>
      <c r="MF95" s="21" t="s">
        <v>634</v>
      </c>
      <c r="MG95" s="21" t="s">
        <v>635</v>
      </c>
      <c r="MH95" s="21" t="s">
        <v>636</v>
      </c>
      <c r="MI95" s="21" t="s">
        <v>637</v>
      </c>
    </row>
    <row r="96" spans="1:409" s="14" customFormat="1" x14ac:dyDescent="0.25">
      <c r="A96" s="14" t="s">
        <v>638</v>
      </c>
      <c r="C96" s="21"/>
      <c r="Y96" s="22"/>
      <c r="BV96" s="14">
        <v>61148</v>
      </c>
      <c r="BW96" s="14">
        <v>61606</v>
      </c>
      <c r="BX96" s="14">
        <v>60875</v>
      </c>
      <c r="BY96" s="14">
        <v>63469</v>
      </c>
      <c r="BZ96" s="14">
        <v>61391</v>
      </c>
      <c r="CA96" s="14">
        <v>60023</v>
      </c>
      <c r="CB96" s="14">
        <v>60377</v>
      </c>
      <c r="CC96" s="14">
        <v>62908</v>
      </c>
      <c r="CD96" s="14">
        <v>59714</v>
      </c>
      <c r="CE96" s="14">
        <v>60194</v>
      </c>
      <c r="CF96" s="14">
        <v>59584</v>
      </c>
      <c r="CG96" s="14">
        <v>59636</v>
      </c>
      <c r="CH96" s="14">
        <v>59509</v>
      </c>
      <c r="CI96" s="14">
        <v>59950</v>
      </c>
      <c r="CJ96" s="14">
        <v>204387</v>
      </c>
      <c r="CK96" s="14">
        <v>59842</v>
      </c>
      <c r="CL96" s="14">
        <v>59804</v>
      </c>
      <c r="CN96" s="14">
        <v>61274</v>
      </c>
      <c r="CO96" s="14">
        <v>61353</v>
      </c>
      <c r="CP96" s="14">
        <v>59492</v>
      </c>
      <c r="CQ96" s="14">
        <v>61187</v>
      </c>
      <c r="CR96" s="14">
        <v>0</v>
      </c>
      <c r="CS96" s="14">
        <v>61188</v>
      </c>
      <c r="CT96" s="14">
        <v>60795</v>
      </c>
      <c r="CU96" s="14">
        <v>61508</v>
      </c>
      <c r="CV96" s="14">
        <v>61138</v>
      </c>
      <c r="CW96" s="14">
        <v>61080</v>
      </c>
      <c r="CX96" s="14">
        <v>61479</v>
      </c>
      <c r="CZ96" s="14">
        <v>60744</v>
      </c>
      <c r="DB96" s="14">
        <v>60711</v>
      </c>
      <c r="DC96" s="14">
        <v>60087</v>
      </c>
      <c r="DD96" s="14">
        <v>61746</v>
      </c>
      <c r="DE96" s="14">
        <v>61437</v>
      </c>
      <c r="DF96" s="14">
        <v>59734</v>
      </c>
      <c r="DG96" s="14">
        <v>60228</v>
      </c>
      <c r="DH96" s="14">
        <v>59630</v>
      </c>
      <c r="DI96" s="14">
        <v>62921</v>
      </c>
      <c r="DJ96" s="14">
        <v>61081</v>
      </c>
      <c r="DK96" s="14">
        <v>62269</v>
      </c>
      <c r="DL96" s="14">
        <v>62385</v>
      </c>
      <c r="DM96" s="14">
        <v>61205</v>
      </c>
      <c r="DN96" s="14">
        <v>62656</v>
      </c>
      <c r="DP96" s="14">
        <v>61692</v>
      </c>
      <c r="DQ96" s="14">
        <v>62066</v>
      </c>
      <c r="DR96" s="14">
        <v>61704</v>
      </c>
      <c r="DS96" s="14">
        <v>59497</v>
      </c>
      <c r="DT96" s="14">
        <v>61224</v>
      </c>
      <c r="DU96" s="14">
        <v>61332</v>
      </c>
      <c r="DV96" s="14">
        <v>61698</v>
      </c>
      <c r="DW96" s="14">
        <v>59677</v>
      </c>
      <c r="DX96" s="14">
        <v>60038</v>
      </c>
      <c r="DY96" s="14">
        <v>60168</v>
      </c>
      <c r="DZ96" s="14">
        <v>61644</v>
      </c>
      <c r="EB96" s="14">
        <v>60712</v>
      </c>
      <c r="EC96" s="14">
        <v>60536</v>
      </c>
      <c r="ED96" s="14">
        <v>60113</v>
      </c>
      <c r="EE96" s="14">
        <v>62435</v>
      </c>
      <c r="EF96" s="14">
        <v>60665</v>
      </c>
      <c r="EG96" s="14">
        <v>60934</v>
      </c>
      <c r="EH96" s="14">
        <v>61578</v>
      </c>
      <c r="EI96" s="14">
        <v>61449</v>
      </c>
      <c r="EJ96" s="14">
        <v>61507</v>
      </c>
      <c r="EK96" s="14">
        <v>228</v>
      </c>
      <c r="EL96" s="14">
        <v>59524</v>
      </c>
      <c r="EM96" s="14">
        <v>59781</v>
      </c>
      <c r="EN96" s="14">
        <v>62582</v>
      </c>
      <c r="EO96" s="14">
        <v>62419</v>
      </c>
      <c r="EP96" s="14">
        <v>62449</v>
      </c>
      <c r="EQ96" s="14">
        <v>61480</v>
      </c>
      <c r="ER96" s="14">
        <v>61126</v>
      </c>
      <c r="ES96" s="14">
        <v>61538</v>
      </c>
      <c r="ET96" s="14">
        <v>59540</v>
      </c>
      <c r="EV96" s="14">
        <v>60383</v>
      </c>
      <c r="EX96" s="14">
        <v>62233</v>
      </c>
      <c r="EY96" s="14">
        <v>61997</v>
      </c>
      <c r="EZ96" s="14">
        <v>62659</v>
      </c>
      <c r="FA96" s="14">
        <v>61589</v>
      </c>
      <c r="FB96" s="14">
        <v>59758</v>
      </c>
      <c r="FC96" s="14">
        <v>61239</v>
      </c>
      <c r="FD96" s="14">
        <v>61467</v>
      </c>
      <c r="FE96" s="14">
        <v>62890</v>
      </c>
      <c r="FF96" s="14">
        <v>0</v>
      </c>
      <c r="FG96" s="14">
        <v>61092</v>
      </c>
      <c r="FH96" s="14">
        <v>61715</v>
      </c>
      <c r="FJ96" s="14">
        <v>59641</v>
      </c>
      <c r="FK96" s="14">
        <v>60203</v>
      </c>
      <c r="FL96" s="14">
        <v>60204</v>
      </c>
      <c r="FM96" s="14">
        <v>61254</v>
      </c>
      <c r="FO96" s="14">
        <v>62701</v>
      </c>
      <c r="FP96" s="14">
        <v>61727</v>
      </c>
      <c r="FQ96" s="14">
        <v>60197</v>
      </c>
      <c r="FR96" s="14">
        <v>60002</v>
      </c>
      <c r="FS96" s="14">
        <v>60073</v>
      </c>
      <c r="FT96" s="14">
        <v>61999</v>
      </c>
      <c r="FU96" s="14">
        <v>60351</v>
      </c>
      <c r="FV96" s="14">
        <v>62789</v>
      </c>
      <c r="FW96" s="14">
        <v>61813</v>
      </c>
      <c r="FX96" s="14">
        <v>60588</v>
      </c>
      <c r="FY96" s="14">
        <v>59976</v>
      </c>
      <c r="FZ96" s="14">
        <v>62003</v>
      </c>
      <c r="GB96" s="14">
        <v>61185</v>
      </c>
      <c r="GC96" s="14">
        <v>62491</v>
      </c>
      <c r="GF96" s="20"/>
      <c r="GG96" s="20"/>
      <c r="GH96" s="14">
        <v>61148</v>
      </c>
      <c r="GI96" s="14">
        <v>61606</v>
      </c>
      <c r="GJ96" s="14">
        <v>60875</v>
      </c>
      <c r="GK96" s="14">
        <v>63469</v>
      </c>
      <c r="GL96" s="14">
        <v>61391</v>
      </c>
      <c r="GM96" s="14">
        <v>60023</v>
      </c>
      <c r="GN96" s="14">
        <v>60377</v>
      </c>
      <c r="GO96" s="14">
        <v>62908</v>
      </c>
      <c r="GP96" s="14">
        <v>59714</v>
      </c>
      <c r="GQ96" s="14">
        <v>60194</v>
      </c>
      <c r="GR96" s="14">
        <v>59584</v>
      </c>
      <c r="GS96" s="14">
        <v>59636</v>
      </c>
      <c r="GT96" s="14">
        <v>59509</v>
      </c>
      <c r="GU96" s="14">
        <v>59950</v>
      </c>
      <c r="GV96" s="14">
        <v>204387</v>
      </c>
      <c r="GW96" s="14">
        <v>59842</v>
      </c>
      <c r="GX96" s="14">
        <v>59804</v>
      </c>
      <c r="GZ96" s="14">
        <v>61274</v>
      </c>
      <c r="HA96" s="14">
        <v>61353</v>
      </c>
      <c r="HB96" s="14">
        <v>59492</v>
      </c>
      <c r="HC96" s="14">
        <v>61187</v>
      </c>
      <c r="HD96" s="14">
        <v>0</v>
      </c>
      <c r="HE96" s="14">
        <v>61188</v>
      </c>
      <c r="HF96" s="14">
        <v>60795</v>
      </c>
      <c r="HG96" s="14">
        <v>61508</v>
      </c>
      <c r="HH96" s="14">
        <v>61138</v>
      </c>
      <c r="HI96" s="14">
        <v>61080</v>
      </c>
      <c r="HJ96" s="14">
        <v>61479</v>
      </c>
      <c r="HL96" s="14">
        <v>60744</v>
      </c>
      <c r="HN96" s="14">
        <v>60711</v>
      </c>
      <c r="HO96" s="14">
        <v>60087</v>
      </c>
      <c r="HP96" s="14">
        <v>61746</v>
      </c>
      <c r="HQ96" s="14">
        <v>61437</v>
      </c>
      <c r="HR96" s="14">
        <v>59734</v>
      </c>
      <c r="HS96" s="14">
        <v>60228</v>
      </c>
      <c r="HT96" s="14">
        <v>59630</v>
      </c>
      <c r="HU96" s="14">
        <v>62921</v>
      </c>
      <c r="HV96" s="14">
        <v>61081</v>
      </c>
      <c r="HW96" s="14">
        <v>62269</v>
      </c>
      <c r="HX96" s="14">
        <v>62385</v>
      </c>
      <c r="HY96" s="14">
        <v>61205</v>
      </c>
      <c r="HZ96" s="14">
        <v>62656</v>
      </c>
      <c r="IB96" s="14">
        <v>61692</v>
      </c>
      <c r="IC96" s="14">
        <v>62066</v>
      </c>
      <c r="ID96" s="14">
        <v>61704</v>
      </c>
      <c r="IE96" s="14">
        <v>59497</v>
      </c>
      <c r="IF96" s="14">
        <v>61224</v>
      </c>
      <c r="IG96" s="14">
        <v>61332</v>
      </c>
      <c r="IH96" s="14">
        <v>61698</v>
      </c>
      <c r="II96" s="14">
        <v>59677</v>
      </c>
      <c r="IJ96" s="14">
        <v>60038</v>
      </c>
      <c r="IK96" s="14">
        <v>60168</v>
      </c>
      <c r="IL96" s="14">
        <v>61644</v>
      </c>
      <c r="IN96" s="14">
        <v>60712</v>
      </c>
      <c r="IO96" s="14">
        <v>60536</v>
      </c>
      <c r="IP96" s="14">
        <v>60113</v>
      </c>
      <c r="IQ96" s="14">
        <v>62435</v>
      </c>
      <c r="IR96" s="14">
        <v>60665</v>
      </c>
      <c r="IS96" s="14">
        <v>60934</v>
      </c>
      <c r="IT96" s="14">
        <v>61578</v>
      </c>
      <c r="IU96" s="14">
        <v>61449</v>
      </c>
      <c r="IV96" s="14">
        <v>61507</v>
      </c>
      <c r="IW96" s="14">
        <v>228</v>
      </c>
      <c r="IX96" s="14">
        <v>59524</v>
      </c>
      <c r="IY96" s="14">
        <v>59781</v>
      </c>
      <c r="IZ96" s="14">
        <v>62582</v>
      </c>
      <c r="JA96" s="14">
        <v>62419</v>
      </c>
      <c r="JB96" s="14">
        <v>62449</v>
      </c>
      <c r="JC96" s="14">
        <v>61480</v>
      </c>
      <c r="JD96" s="14">
        <v>61126</v>
      </c>
      <c r="JE96" s="14">
        <v>61538</v>
      </c>
      <c r="JF96" s="14">
        <v>59540</v>
      </c>
      <c r="JH96" s="14">
        <v>60383</v>
      </c>
      <c r="JI96" s="14">
        <v>62233</v>
      </c>
      <c r="JJ96" s="14">
        <v>61997</v>
      </c>
      <c r="JK96" s="14">
        <v>62659</v>
      </c>
      <c r="JL96" s="14">
        <v>61589</v>
      </c>
      <c r="JM96" s="14">
        <v>59758</v>
      </c>
      <c r="JN96" s="14">
        <v>61239</v>
      </c>
      <c r="JO96" s="14">
        <v>61467</v>
      </c>
      <c r="JP96" s="14">
        <v>62890</v>
      </c>
      <c r="JQ96" s="14">
        <v>0</v>
      </c>
      <c r="JR96" s="14">
        <v>61092</v>
      </c>
      <c r="JS96" s="14">
        <v>61715</v>
      </c>
      <c r="JU96" s="14">
        <v>59641</v>
      </c>
      <c r="JV96" s="14">
        <v>60203</v>
      </c>
      <c r="JW96" s="14">
        <v>60204</v>
      </c>
      <c r="JX96" s="14">
        <v>61254</v>
      </c>
      <c r="JZ96" s="14">
        <v>62701</v>
      </c>
      <c r="KA96" s="14">
        <v>61727</v>
      </c>
      <c r="KB96" s="14">
        <v>60197</v>
      </c>
      <c r="KC96" s="14">
        <v>60002</v>
      </c>
      <c r="KD96" s="14">
        <v>60073</v>
      </c>
      <c r="KE96" s="14">
        <v>61999</v>
      </c>
      <c r="KF96" s="14">
        <v>60351</v>
      </c>
      <c r="KG96" s="14">
        <v>62789</v>
      </c>
      <c r="KH96" s="14">
        <v>61813</v>
      </c>
      <c r="KI96" s="14">
        <v>60588</v>
      </c>
      <c r="KJ96" s="14">
        <v>59976</v>
      </c>
      <c r="KK96" s="14">
        <v>62003</v>
      </c>
      <c r="KM96" s="14">
        <v>61185</v>
      </c>
      <c r="KN96" s="14">
        <v>62491</v>
      </c>
      <c r="KQ96" s="20"/>
      <c r="KR96" s="20"/>
      <c r="LA96" s="20"/>
      <c r="LB96" s="21">
        <v>52485</v>
      </c>
      <c r="LC96" s="21"/>
      <c r="LD96" s="21">
        <v>93294</v>
      </c>
      <c r="LE96" s="21">
        <v>51938</v>
      </c>
      <c r="LF96" s="21">
        <v>79326</v>
      </c>
      <c r="LG96" s="21">
        <v>82696</v>
      </c>
      <c r="LH96" s="21">
        <v>89599</v>
      </c>
      <c r="LI96" s="21">
        <v>79118</v>
      </c>
      <c r="LJ96" s="21">
        <v>79118</v>
      </c>
      <c r="LK96" s="21">
        <v>95423</v>
      </c>
      <c r="LL96" s="21">
        <v>89650</v>
      </c>
      <c r="LM96" s="21">
        <v>89433</v>
      </c>
      <c r="LN96" s="21">
        <v>48738</v>
      </c>
      <c r="LO96" s="21">
        <v>93584</v>
      </c>
      <c r="LP96" s="21">
        <v>95599</v>
      </c>
      <c r="LQ96" s="21">
        <v>66260</v>
      </c>
      <c r="LR96" s="21">
        <v>69459</v>
      </c>
      <c r="LS96" s="21"/>
      <c r="LT96" s="21">
        <v>89560</v>
      </c>
      <c r="LU96" s="21">
        <v>94224</v>
      </c>
      <c r="LV96" s="21">
        <v>94906</v>
      </c>
      <c r="LW96" s="21">
        <v>89855</v>
      </c>
      <c r="LX96" s="21">
        <v>79451</v>
      </c>
      <c r="LY96" s="21">
        <v>65902</v>
      </c>
      <c r="LZ96" s="21">
        <v>79866</v>
      </c>
      <c r="MA96" s="21">
        <v>69746</v>
      </c>
      <c r="MB96" s="21">
        <v>89652</v>
      </c>
      <c r="MC96" s="21">
        <v>657289</v>
      </c>
      <c r="MD96" s="21">
        <v>64358</v>
      </c>
      <c r="ME96" s="21">
        <v>64397</v>
      </c>
      <c r="MF96" s="21">
        <v>46861</v>
      </c>
      <c r="MG96" s="21">
        <v>94903</v>
      </c>
      <c r="MH96" s="21">
        <v>65587</v>
      </c>
      <c r="MI96" s="21">
        <v>81439</v>
      </c>
    </row>
    <row r="97" spans="1:347" s="14" customFormat="1" x14ac:dyDescent="0.25">
      <c r="A97" s="14" t="s">
        <v>639</v>
      </c>
      <c r="C97" s="21"/>
      <c r="Y97" s="22"/>
      <c r="BV97" s="14" t="s">
        <v>640</v>
      </c>
      <c r="BW97" s="14" t="s">
        <v>640</v>
      </c>
      <c r="BX97" s="14" t="s">
        <v>640</v>
      </c>
      <c r="BY97" s="14" t="s">
        <v>640</v>
      </c>
      <c r="BZ97" s="14" t="s">
        <v>640</v>
      </c>
      <c r="CA97" s="14" t="s">
        <v>640</v>
      </c>
      <c r="CB97" s="14" t="s">
        <v>640</v>
      </c>
      <c r="CC97" s="14" t="s">
        <v>640</v>
      </c>
      <c r="CD97" s="14" t="s">
        <v>640</v>
      </c>
      <c r="CE97" s="14" t="s">
        <v>640</v>
      </c>
      <c r="CF97" s="14" t="s">
        <v>640</v>
      </c>
      <c r="CG97" s="14" t="s">
        <v>640</v>
      </c>
      <c r="CH97" s="14" t="s">
        <v>640</v>
      </c>
      <c r="CI97" s="14" t="s">
        <v>640</v>
      </c>
      <c r="CJ97" s="14" t="s">
        <v>640</v>
      </c>
      <c r="CK97" s="14" t="s">
        <v>640</v>
      </c>
      <c r="CL97" s="14" t="s">
        <v>640</v>
      </c>
      <c r="CM97" s="14" t="s">
        <v>640</v>
      </c>
      <c r="CN97" s="14" t="s">
        <v>640</v>
      </c>
      <c r="CO97" s="14" t="s">
        <v>640</v>
      </c>
      <c r="CP97" s="14" t="s">
        <v>640</v>
      </c>
      <c r="CQ97" s="14" t="s">
        <v>640</v>
      </c>
      <c r="CR97" s="14" t="s">
        <v>640</v>
      </c>
      <c r="CS97" s="14" t="s">
        <v>640</v>
      </c>
      <c r="CT97" s="14" t="s">
        <v>640</v>
      </c>
      <c r="CU97" s="14" t="s">
        <v>640</v>
      </c>
      <c r="CV97" s="14" t="s">
        <v>640</v>
      </c>
      <c r="CW97" s="14" t="s">
        <v>640</v>
      </c>
      <c r="CX97" s="14" t="s">
        <v>640</v>
      </c>
      <c r="CY97" s="14" t="s">
        <v>640</v>
      </c>
      <c r="CZ97" s="14" t="s">
        <v>640</v>
      </c>
      <c r="DA97" s="14" t="s">
        <v>640</v>
      </c>
      <c r="DB97" s="14" t="s">
        <v>640</v>
      </c>
      <c r="DC97" s="14" t="s">
        <v>640</v>
      </c>
      <c r="DD97" s="14" t="s">
        <v>640</v>
      </c>
      <c r="DE97" s="14" t="s">
        <v>640</v>
      </c>
      <c r="DF97" s="14" t="s">
        <v>640</v>
      </c>
      <c r="DG97" s="14" t="s">
        <v>640</v>
      </c>
      <c r="DH97" s="14" t="s">
        <v>641</v>
      </c>
      <c r="DI97" s="14" t="s">
        <v>640</v>
      </c>
      <c r="DJ97" s="14" t="s">
        <v>640</v>
      </c>
      <c r="DK97" s="14" t="s">
        <v>640</v>
      </c>
      <c r="DL97" s="14" t="s">
        <v>640</v>
      </c>
      <c r="DM97" s="14" t="s">
        <v>640</v>
      </c>
      <c r="DN97" s="14" t="s">
        <v>640</v>
      </c>
      <c r="DP97" s="14" t="s">
        <v>640</v>
      </c>
      <c r="DQ97" s="14" t="s">
        <v>640</v>
      </c>
      <c r="DR97" s="14" t="s">
        <v>640</v>
      </c>
      <c r="DS97" s="14" t="s">
        <v>640</v>
      </c>
      <c r="DT97" s="14" t="s">
        <v>640</v>
      </c>
      <c r="DU97" s="14" t="s">
        <v>640</v>
      </c>
      <c r="DV97" s="14" t="s">
        <v>640</v>
      </c>
      <c r="DW97" s="14" t="s">
        <v>640</v>
      </c>
      <c r="DX97" s="14" t="s">
        <v>640</v>
      </c>
      <c r="DY97" s="14" t="s">
        <v>640</v>
      </c>
      <c r="DZ97" s="14" t="s">
        <v>640</v>
      </c>
      <c r="EA97" s="14" t="s">
        <v>640</v>
      </c>
      <c r="EB97" s="14" t="s">
        <v>640</v>
      </c>
      <c r="EC97" s="14" t="s">
        <v>640</v>
      </c>
      <c r="ED97" s="14" t="s">
        <v>640</v>
      </c>
      <c r="EE97" s="14" t="s">
        <v>640</v>
      </c>
      <c r="EF97" s="14" t="s">
        <v>640</v>
      </c>
      <c r="EG97" s="14" t="s">
        <v>640</v>
      </c>
      <c r="EH97" s="14" t="s">
        <v>640</v>
      </c>
      <c r="EI97" s="14" t="s">
        <v>640</v>
      </c>
      <c r="EJ97" s="14" t="s">
        <v>640</v>
      </c>
      <c r="EK97" s="14" t="s">
        <v>640</v>
      </c>
      <c r="EL97" s="14" t="s">
        <v>640</v>
      </c>
      <c r="EM97" s="14" t="s">
        <v>640</v>
      </c>
      <c r="EN97" s="14" t="s">
        <v>640</v>
      </c>
      <c r="EO97" s="14" t="s">
        <v>640</v>
      </c>
      <c r="EP97" s="14" t="s">
        <v>640</v>
      </c>
      <c r="EQ97" s="14" t="s">
        <v>640</v>
      </c>
      <c r="ER97" s="14" t="s">
        <v>640</v>
      </c>
      <c r="ES97" s="14" t="s">
        <v>640</v>
      </c>
      <c r="ET97" s="14" t="s">
        <v>640</v>
      </c>
      <c r="EU97" s="14" t="s">
        <v>640</v>
      </c>
      <c r="EV97" s="14" t="s">
        <v>640</v>
      </c>
      <c r="EW97" s="14" t="s">
        <v>640</v>
      </c>
      <c r="EX97" s="14" t="s">
        <v>640</v>
      </c>
      <c r="EY97" s="14" t="s">
        <v>640</v>
      </c>
      <c r="EZ97" s="14" t="s">
        <v>640</v>
      </c>
      <c r="FA97" s="14" t="s">
        <v>640</v>
      </c>
      <c r="FB97" s="14" t="s">
        <v>640</v>
      </c>
      <c r="FC97" s="14" t="s">
        <v>640</v>
      </c>
      <c r="FD97" s="14" t="s">
        <v>640</v>
      </c>
      <c r="FE97" s="14" t="s">
        <v>640</v>
      </c>
      <c r="FF97" s="14" t="s">
        <v>640</v>
      </c>
      <c r="FG97" s="14" t="s">
        <v>640</v>
      </c>
      <c r="FH97" s="14" t="s">
        <v>640</v>
      </c>
      <c r="FI97" s="14" t="s">
        <v>640</v>
      </c>
      <c r="FJ97" s="14" t="s">
        <v>640</v>
      </c>
      <c r="FK97" s="14" t="s">
        <v>640</v>
      </c>
      <c r="FL97" s="14" t="s">
        <v>640</v>
      </c>
      <c r="FM97" s="14" t="s">
        <v>640</v>
      </c>
      <c r="FN97" s="14" t="s">
        <v>640</v>
      </c>
      <c r="FO97" s="14" t="s">
        <v>640</v>
      </c>
      <c r="FP97" s="14" t="s">
        <v>640</v>
      </c>
      <c r="FQ97" s="14" t="s">
        <v>640</v>
      </c>
      <c r="FR97" s="14" t="s">
        <v>640</v>
      </c>
      <c r="FS97" s="14" t="s">
        <v>640</v>
      </c>
      <c r="FT97" s="14" t="s">
        <v>640</v>
      </c>
      <c r="FU97" s="14" t="s">
        <v>640</v>
      </c>
      <c r="FV97" s="14" t="s">
        <v>640</v>
      </c>
      <c r="FW97" s="14" t="s">
        <v>640</v>
      </c>
      <c r="FX97" s="14" t="s">
        <v>642</v>
      </c>
      <c r="FY97" s="14" t="s">
        <v>640</v>
      </c>
      <c r="FZ97" s="14" t="s">
        <v>640</v>
      </c>
      <c r="GB97" s="14" t="s">
        <v>640</v>
      </c>
      <c r="GC97" s="14" t="s">
        <v>640</v>
      </c>
      <c r="GD97" s="14" t="s">
        <v>640</v>
      </c>
      <c r="GE97" s="14" t="s">
        <v>640</v>
      </c>
      <c r="GF97" s="20"/>
      <c r="GG97" s="20"/>
      <c r="GH97" s="14" t="s">
        <v>640</v>
      </c>
      <c r="GI97" s="14" t="s">
        <v>640</v>
      </c>
      <c r="GJ97" s="14" t="s">
        <v>640</v>
      </c>
      <c r="GK97" s="14" t="s">
        <v>640</v>
      </c>
      <c r="GL97" s="14" t="s">
        <v>640</v>
      </c>
      <c r="GM97" s="14" t="s">
        <v>640</v>
      </c>
      <c r="GN97" s="14" t="s">
        <v>640</v>
      </c>
      <c r="GO97" s="14" t="s">
        <v>640</v>
      </c>
      <c r="GP97" s="14" t="s">
        <v>640</v>
      </c>
      <c r="GQ97" s="14" t="s">
        <v>640</v>
      </c>
      <c r="GR97" s="14" t="s">
        <v>640</v>
      </c>
      <c r="GS97" s="14" t="s">
        <v>640</v>
      </c>
      <c r="GT97" s="14" t="s">
        <v>640</v>
      </c>
      <c r="GU97" s="14" t="s">
        <v>640</v>
      </c>
      <c r="GV97" s="14" t="s">
        <v>640</v>
      </c>
      <c r="GW97" s="14" t="s">
        <v>640</v>
      </c>
      <c r="GX97" s="14" t="s">
        <v>640</v>
      </c>
      <c r="GY97" s="14" t="s">
        <v>640</v>
      </c>
      <c r="GZ97" s="14" t="s">
        <v>640</v>
      </c>
      <c r="HA97" s="14" t="s">
        <v>640</v>
      </c>
      <c r="HB97" s="14" t="s">
        <v>640</v>
      </c>
      <c r="HC97" s="14" t="s">
        <v>640</v>
      </c>
      <c r="HD97" s="14" t="s">
        <v>640</v>
      </c>
      <c r="HE97" s="14" t="s">
        <v>640</v>
      </c>
      <c r="HF97" s="14" t="s">
        <v>640</v>
      </c>
      <c r="HG97" s="14" t="s">
        <v>640</v>
      </c>
      <c r="HH97" s="14" t="s">
        <v>640</v>
      </c>
      <c r="HI97" s="14" t="s">
        <v>640</v>
      </c>
      <c r="HJ97" s="14" t="s">
        <v>640</v>
      </c>
      <c r="HK97" s="14" t="s">
        <v>640</v>
      </c>
      <c r="HL97" s="14" t="s">
        <v>640</v>
      </c>
      <c r="HM97" s="14" t="s">
        <v>640</v>
      </c>
      <c r="HN97" s="14" t="s">
        <v>640</v>
      </c>
      <c r="HO97" s="14" t="s">
        <v>640</v>
      </c>
      <c r="HP97" s="14" t="s">
        <v>640</v>
      </c>
      <c r="HQ97" s="14" t="s">
        <v>640</v>
      </c>
      <c r="HR97" s="14" t="s">
        <v>640</v>
      </c>
      <c r="HS97" s="14" t="s">
        <v>640</v>
      </c>
      <c r="HT97" s="14" t="s">
        <v>641</v>
      </c>
      <c r="HU97" s="14" t="s">
        <v>640</v>
      </c>
      <c r="HV97" s="14" t="s">
        <v>640</v>
      </c>
      <c r="HW97" s="14" t="s">
        <v>640</v>
      </c>
      <c r="HX97" s="14" t="s">
        <v>640</v>
      </c>
      <c r="HY97" s="14" t="s">
        <v>640</v>
      </c>
      <c r="HZ97" s="14" t="s">
        <v>640</v>
      </c>
      <c r="IB97" s="14" t="s">
        <v>640</v>
      </c>
      <c r="IC97" s="14" t="s">
        <v>640</v>
      </c>
      <c r="ID97" s="14" t="s">
        <v>640</v>
      </c>
      <c r="IE97" s="14" t="s">
        <v>640</v>
      </c>
      <c r="IF97" s="14" t="s">
        <v>640</v>
      </c>
      <c r="IG97" s="14" t="s">
        <v>640</v>
      </c>
      <c r="IH97" s="14" t="s">
        <v>640</v>
      </c>
      <c r="II97" s="14" t="s">
        <v>640</v>
      </c>
      <c r="IJ97" s="14" t="s">
        <v>640</v>
      </c>
      <c r="IK97" s="14" t="s">
        <v>640</v>
      </c>
      <c r="IL97" s="14" t="s">
        <v>640</v>
      </c>
      <c r="IM97" s="14" t="s">
        <v>640</v>
      </c>
      <c r="IN97" s="14" t="s">
        <v>640</v>
      </c>
      <c r="IO97" s="14" t="s">
        <v>640</v>
      </c>
      <c r="IP97" s="14" t="s">
        <v>640</v>
      </c>
      <c r="IQ97" s="14" t="s">
        <v>640</v>
      </c>
      <c r="IR97" s="14" t="s">
        <v>640</v>
      </c>
      <c r="IS97" s="14" t="s">
        <v>640</v>
      </c>
      <c r="IT97" s="14" t="s">
        <v>640</v>
      </c>
      <c r="IU97" s="14" t="s">
        <v>640</v>
      </c>
      <c r="IV97" s="14" t="s">
        <v>640</v>
      </c>
      <c r="IW97" s="14" t="s">
        <v>640</v>
      </c>
      <c r="IX97" s="14" t="s">
        <v>640</v>
      </c>
      <c r="IY97" s="14" t="s">
        <v>640</v>
      </c>
      <c r="IZ97" s="14" t="s">
        <v>640</v>
      </c>
      <c r="JA97" s="14" t="s">
        <v>640</v>
      </c>
      <c r="JB97" s="14" t="s">
        <v>640</v>
      </c>
      <c r="JC97" s="14" t="s">
        <v>640</v>
      </c>
      <c r="JD97" s="14" t="s">
        <v>640</v>
      </c>
      <c r="JE97" s="14" t="s">
        <v>640</v>
      </c>
      <c r="JF97" s="14" t="s">
        <v>640</v>
      </c>
      <c r="JH97" s="14" t="s">
        <v>640</v>
      </c>
      <c r="JI97" s="14" t="s">
        <v>640</v>
      </c>
      <c r="JJ97" s="14" t="s">
        <v>640</v>
      </c>
      <c r="JK97" s="14" t="s">
        <v>640</v>
      </c>
      <c r="JL97" s="14" t="s">
        <v>640</v>
      </c>
      <c r="JM97" s="14" t="s">
        <v>640</v>
      </c>
      <c r="JN97" s="14" t="s">
        <v>640</v>
      </c>
      <c r="JO97" s="14" t="s">
        <v>640</v>
      </c>
      <c r="JP97" s="14" t="s">
        <v>640</v>
      </c>
      <c r="JQ97" s="14" t="s">
        <v>640</v>
      </c>
      <c r="JR97" s="14" t="s">
        <v>640</v>
      </c>
      <c r="JS97" s="14" t="s">
        <v>640</v>
      </c>
      <c r="JT97" s="14" t="s">
        <v>640</v>
      </c>
      <c r="JU97" s="14" t="s">
        <v>640</v>
      </c>
      <c r="JV97" s="14" t="s">
        <v>640</v>
      </c>
      <c r="JW97" s="14" t="s">
        <v>640</v>
      </c>
      <c r="JX97" s="14" t="s">
        <v>640</v>
      </c>
      <c r="JY97" s="14" t="s">
        <v>640</v>
      </c>
      <c r="JZ97" s="14" t="s">
        <v>640</v>
      </c>
      <c r="KA97" s="14" t="s">
        <v>640</v>
      </c>
      <c r="KB97" s="14" t="s">
        <v>640</v>
      </c>
      <c r="KC97" s="14" t="s">
        <v>640</v>
      </c>
      <c r="KD97" s="14" t="s">
        <v>640</v>
      </c>
      <c r="KE97" s="14" t="s">
        <v>640</v>
      </c>
      <c r="KF97" s="14" t="s">
        <v>640</v>
      </c>
      <c r="KG97" s="14" t="s">
        <v>640</v>
      </c>
      <c r="KH97" s="14" t="s">
        <v>640</v>
      </c>
      <c r="KI97" s="14" t="s">
        <v>642</v>
      </c>
      <c r="KJ97" s="14" t="s">
        <v>640</v>
      </c>
      <c r="KK97" s="14" t="s">
        <v>640</v>
      </c>
      <c r="KM97" s="14" t="s">
        <v>640</v>
      </c>
      <c r="KN97" s="14" t="s">
        <v>640</v>
      </c>
      <c r="KO97" s="14" t="s">
        <v>640</v>
      </c>
      <c r="KP97" s="14" t="s">
        <v>640</v>
      </c>
      <c r="KQ97" s="20"/>
      <c r="KR97" s="20"/>
      <c r="LA97" s="20"/>
      <c r="LB97" s="21" t="s">
        <v>640</v>
      </c>
      <c r="LC97" s="21" t="s">
        <v>640</v>
      </c>
      <c r="LD97" s="21" t="s">
        <v>640</v>
      </c>
      <c r="LE97" s="21" t="s">
        <v>640</v>
      </c>
      <c r="LF97" s="21" t="s">
        <v>640</v>
      </c>
      <c r="LG97" s="21" t="s">
        <v>640</v>
      </c>
      <c r="LH97" s="21" t="s">
        <v>640</v>
      </c>
      <c r="LI97" s="21" t="s">
        <v>640</v>
      </c>
      <c r="LJ97" s="21" t="s">
        <v>640</v>
      </c>
      <c r="LK97" s="21" t="s">
        <v>640</v>
      </c>
      <c r="LL97" s="21" t="s">
        <v>640</v>
      </c>
      <c r="LM97" s="21" t="s">
        <v>640</v>
      </c>
      <c r="LN97" s="21" t="s">
        <v>640</v>
      </c>
      <c r="LO97" s="21" t="s">
        <v>640</v>
      </c>
      <c r="LP97" s="21" t="s">
        <v>640</v>
      </c>
      <c r="LQ97" s="21" t="s">
        <v>640</v>
      </c>
      <c r="LR97" s="21" t="s">
        <v>640</v>
      </c>
      <c r="LS97" s="21" t="s">
        <v>640</v>
      </c>
      <c r="LT97" s="21" t="s">
        <v>640</v>
      </c>
      <c r="LU97" s="21" t="s">
        <v>640</v>
      </c>
      <c r="LV97" s="21" t="s">
        <v>640</v>
      </c>
      <c r="LW97" s="21" t="s">
        <v>640</v>
      </c>
      <c r="LX97" s="21" t="s">
        <v>640</v>
      </c>
      <c r="LY97" s="21" t="s">
        <v>640</v>
      </c>
      <c r="LZ97" s="21" t="s">
        <v>640</v>
      </c>
      <c r="MA97" s="21" t="s">
        <v>640</v>
      </c>
      <c r="MB97" s="21" t="s">
        <v>640</v>
      </c>
      <c r="MC97" s="21" t="s">
        <v>640</v>
      </c>
      <c r="MD97" s="21" t="s">
        <v>640</v>
      </c>
      <c r="ME97" s="21" t="s">
        <v>640</v>
      </c>
      <c r="MF97" s="21" t="s">
        <v>640</v>
      </c>
      <c r="MG97" s="21" t="s">
        <v>640</v>
      </c>
      <c r="MH97" s="21" t="s">
        <v>640</v>
      </c>
      <c r="MI97" s="21" t="s">
        <v>640</v>
      </c>
    </row>
    <row r="98" spans="1:347" s="14" customFormat="1" x14ac:dyDescent="0.25">
      <c r="A98" s="14" t="s">
        <v>487</v>
      </c>
      <c r="C98" s="21"/>
      <c r="Y98" s="22"/>
      <c r="BV98" s="14" t="s">
        <v>27</v>
      </c>
      <c r="BW98" s="14" t="s">
        <v>28</v>
      </c>
      <c r="BX98" s="14" t="s">
        <v>29</v>
      </c>
      <c r="BY98" s="14" t="s">
        <v>30</v>
      </c>
      <c r="BZ98" s="14" t="s">
        <v>31</v>
      </c>
      <c r="CA98" s="14" t="s">
        <v>32</v>
      </c>
      <c r="CB98" s="14" t="s">
        <v>33</v>
      </c>
      <c r="CC98" s="14" t="s">
        <v>643</v>
      </c>
      <c r="CD98" s="14" t="s">
        <v>35</v>
      </c>
      <c r="CE98" s="14" t="s">
        <v>36</v>
      </c>
      <c r="CF98" s="14" t="s">
        <v>37</v>
      </c>
      <c r="CG98" s="14" t="s">
        <v>38</v>
      </c>
      <c r="CH98" s="14" t="s">
        <v>39</v>
      </c>
      <c r="CI98" s="14" t="s">
        <v>40</v>
      </c>
      <c r="CJ98" s="14" t="s">
        <v>41</v>
      </c>
      <c r="CK98" s="14" t="s">
        <v>42</v>
      </c>
      <c r="CL98" s="14" t="s">
        <v>43</v>
      </c>
      <c r="CM98" s="14" t="s">
        <v>44</v>
      </c>
      <c r="CN98" s="14" t="s">
        <v>45</v>
      </c>
      <c r="CO98" s="14" t="s">
        <v>46</v>
      </c>
      <c r="CP98" s="14" t="s">
        <v>47</v>
      </c>
      <c r="CQ98" s="14" t="s">
        <v>48</v>
      </c>
      <c r="CR98" s="14" t="s">
        <v>49</v>
      </c>
      <c r="CS98" s="14" t="s">
        <v>50</v>
      </c>
      <c r="CT98" s="14" t="s">
        <v>51</v>
      </c>
      <c r="CU98" s="14" t="s">
        <v>52</v>
      </c>
      <c r="CV98" s="14" t="s">
        <v>53</v>
      </c>
      <c r="CW98" s="14" t="s">
        <v>54</v>
      </c>
      <c r="CX98" s="14" t="s">
        <v>55</v>
      </c>
      <c r="CY98" s="14" t="s">
        <v>56</v>
      </c>
      <c r="CZ98" s="14" t="s">
        <v>57</v>
      </c>
      <c r="DA98" s="14" t="s">
        <v>58</v>
      </c>
      <c r="DB98" s="14" t="s">
        <v>59</v>
      </c>
      <c r="DC98" s="14" t="s">
        <v>60</v>
      </c>
      <c r="DD98" s="14" t="s">
        <v>61</v>
      </c>
      <c r="DE98" s="14" t="s">
        <v>62</v>
      </c>
      <c r="DF98" s="14" t="s">
        <v>63</v>
      </c>
      <c r="DG98" s="14" t="s">
        <v>64</v>
      </c>
      <c r="DH98" s="14" t="s">
        <v>65</v>
      </c>
      <c r="DI98" s="14" t="s">
        <v>66</v>
      </c>
      <c r="DJ98" s="14" t="s">
        <v>67</v>
      </c>
      <c r="DK98" s="14" t="s">
        <v>68</v>
      </c>
      <c r="DL98" s="14" t="s">
        <v>644</v>
      </c>
      <c r="DM98" s="14" t="s">
        <v>70</v>
      </c>
      <c r="DN98" s="14" t="s">
        <v>71</v>
      </c>
      <c r="DP98" s="14" t="s">
        <v>73</v>
      </c>
      <c r="DQ98" s="14" t="s">
        <v>74</v>
      </c>
      <c r="DR98" s="14" t="s">
        <v>75</v>
      </c>
      <c r="DS98" s="14" t="s">
        <v>76</v>
      </c>
      <c r="DT98" s="14" t="s">
        <v>77</v>
      </c>
      <c r="DU98" s="14" t="s">
        <v>78</v>
      </c>
      <c r="DV98" s="14" t="s">
        <v>79</v>
      </c>
      <c r="DW98" s="14" t="s">
        <v>80</v>
      </c>
      <c r="DX98" s="14" t="s">
        <v>81</v>
      </c>
      <c r="DY98" s="14" t="s">
        <v>82</v>
      </c>
      <c r="DZ98" s="14" t="s">
        <v>83</v>
      </c>
      <c r="EA98" s="14" t="s">
        <v>84</v>
      </c>
      <c r="EB98" s="14" t="s">
        <v>85</v>
      </c>
      <c r="EC98" s="14" t="s">
        <v>86</v>
      </c>
      <c r="ED98" s="14" t="s">
        <v>87</v>
      </c>
      <c r="EE98" s="14" t="s">
        <v>88</v>
      </c>
      <c r="EF98" s="14" t="s">
        <v>89</v>
      </c>
      <c r="EG98" s="14" t="s">
        <v>90</v>
      </c>
      <c r="EH98" s="14" t="s">
        <v>91</v>
      </c>
      <c r="EI98" s="14" t="s">
        <v>645</v>
      </c>
      <c r="EJ98" s="14" t="s">
        <v>93</v>
      </c>
      <c r="EK98" s="14" t="s">
        <v>94</v>
      </c>
      <c r="EL98" s="14" t="s">
        <v>95</v>
      </c>
      <c r="EM98" s="14" t="s">
        <v>96</v>
      </c>
      <c r="EN98" s="14" t="s">
        <v>97</v>
      </c>
      <c r="EO98" s="14" t="s">
        <v>98</v>
      </c>
      <c r="EP98" s="14" t="s">
        <v>99</v>
      </c>
      <c r="EQ98" s="14" t="s">
        <v>100</v>
      </c>
      <c r="ER98" s="14" t="s">
        <v>101</v>
      </c>
      <c r="ES98" s="14" t="s">
        <v>102</v>
      </c>
      <c r="ET98" s="14" t="s">
        <v>646</v>
      </c>
      <c r="EU98" s="14" t="s">
        <v>106</v>
      </c>
      <c r="EV98" s="14" t="s">
        <v>105</v>
      </c>
      <c r="EW98" s="14" t="s">
        <v>106</v>
      </c>
      <c r="EX98" s="14" t="s">
        <v>107</v>
      </c>
      <c r="EY98" s="14" t="s">
        <v>108</v>
      </c>
      <c r="EZ98" s="14" t="s">
        <v>109</v>
      </c>
      <c r="FA98" s="14" t="s">
        <v>110</v>
      </c>
      <c r="FB98" s="14" t="s">
        <v>111</v>
      </c>
      <c r="FC98" s="14" t="s">
        <v>112</v>
      </c>
      <c r="FD98" s="14" t="s">
        <v>113</v>
      </c>
      <c r="FE98" s="14" t="s">
        <v>114</v>
      </c>
      <c r="FF98" s="14" t="s">
        <v>115</v>
      </c>
      <c r="FG98" s="14" t="s">
        <v>116</v>
      </c>
      <c r="FH98" s="14" t="s">
        <v>117</v>
      </c>
      <c r="FI98" s="14" t="s">
        <v>118</v>
      </c>
      <c r="FJ98" s="14" t="s">
        <v>119</v>
      </c>
      <c r="FK98" s="14" t="s">
        <v>120</v>
      </c>
      <c r="FL98" s="14" t="s">
        <v>121</v>
      </c>
      <c r="FM98" s="14" t="s">
        <v>122</v>
      </c>
      <c r="FN98" s="14" t="s">
        <v>123</v>
      </c>
      <c r="FO98" s="14" t="s">
        <v>124</v>
      </c>
      <c r="FP98" s="14" t="s">
        <v>125</v>
      </c>
      <c r="FQ98" s="14" t="s">
        <v>126</v>
      </c>
      <c r="FR98" s="14" t="s">
        <v>127</v>
      </c>
      <c r="FS98" s="14" t="s">
        <v>128</v>
      </c>
      <c r="FT98" s="14" t="s">
        <v>129</v>
      </c>
      <c r="FU98" s="14" t="s">
        <v>130</v>
      </c>
      <c r="FV98" s="14" t="s">
        <v>131</v>
      </c>
      <c r="FW98" s="14" t="s">
        <v>132</v>
      </c>
      <c r="FX98" s="14" t="s">
        <v>647</v>
      </c>
      <c r="FY98" s="14" t="s">
        <v>134</v>
      </c>
      <c r="FZ98" s="14" t="s">
        <v>135</v>
      </c>
      <c r="GB98" s="14" t="s">
        <v>137</v>
      </c>
      <c r="GC98" s="14" t="s">
        <v>138</v>
      </c>
      <c r="GD98" s="14" t="s">
        <v>139</v>
      </c>
      <c r="GE98" s="14" t="s">
        <v>140</v>
      </c>
      <c r="GF98" s="20"/>
      <c r="GG98" s="20"/>
      <c r="GH98" s="14" t="s">
        <v>27</v>
      </c>
      <c r="GI98" s="14" t="s">
        <v>28</v>
      </c>
      <c r="GJ98" s="14" t="s">
        <v>29</v>
      </c>
      <c r="GK98" s="14" t="s">
        <v>30</v>
      </c>
      <c r="GL98" s="14" t="s">
        <v>31</v>
      </c>
      <c r="GM98" s="14" t="s">
        <v>32</v>
      </c>
      <c r="GN98" s="14" t="s">
        <v>33</v>
      </c>
      <c r="GO98" s="14" t="s">
        <v>643</v>
      </c>
      <c r="GP98" s="14" t="s">
        <v>35</v>
      </c>
      <c r="GQ98" s="14" t="s">
        <v>36</v>
      </c>
      <c r="GR98" s="14" t="s">
        <v>37</v>
      </c>
      <c r="GS98" s="14" t="s">
        <v>38</v>
      </c>
      <c r="GT98" s="14" t="s">
        <v>39</v>
      </c>
      <c r="GU98" s="14" t="s">
        <v>40</v>
      </c>
      <c r="GV98" s="14" t="s">
        <v>41</v>
      </c>
      <c r="GW98" s="14" t="s">
        <v>42</v>
      </c>
      <c r="GX98" s="14" t="s">
        <v>43</v>
      </c>
      <c r="GY98" s="14" t="s">
        <v>44</v>
      </c>
      <c r="GZ98" s="14" t="s">
        <v>45</v>
      </c>
      <c r="HA98" s="14" t="s">
        <v>46</v>
      </c>
      <c r="HB98" s="14" t="s">
        <v>47</v>
      </c>
      <c r="HC98" s="14" t="s">
        <v>48</v>
      </c>
      <c r="HD98" s="14" t="s">
        <v>49</v>
      </c>
      <c r="HE98" s="14" t="s">
        <v>50</v>
      </c>
      <c r="HF98" s="14" t="s">
        <v>51</v>
      </c>
      <c r="HG98" s="14" t="s">
        <v>52</v>
      </c>
      <c r="HH98" s="14" t="s">
        <v>53</v>
      </c>
      <c r="HI98" s="14" t="s">
        <v>54</v>
      </c>
      <c r="HJ98" s="14" t="s">
        <v>55</v>
      </c>
      <c r="HK98" s="14" t="s">
        <v>56</v>
      </c>
      <c r="HL98" s="14" t="s">
        <v>57</v>
      </c>
      <c r="HM98" s="14" t="s">
        <v>58</v>
      </c>
      <c r="HN98" s="14" t="s">
        <v>59</v>
      </c>
      <c r="HO98" s="14" t="s">
        <v>60</v>
      </c>
      <c r="HP98" s="14" t="s">
        <v>61</v>
      </c>
      <c r="HQ98" s="14" t="s">
        <v>62</v>
      </c>
      <c r="HR98" s="14" t="s">
        <v>63</v>
      </c>
      <c r="HS98" s="14" t="s">
        <v>64</v>
      </c>
      <c r="HT98" s="14" t="s">
        <v>65</v>
      </c>
      <c r="HU98" s="14" t="s">
        <v>66</v>
      </c>
      <c r="HV98" s="14" t="s">
        <v>67</v>
      </c>
      <c r="HW98" s="14" t="s">
        <v>68</v>
      </c>
      <c r="HX98" s="14" t="s">
        <v>644</v>
      </c>
      <c r="HY98" s="14" t="s">
        <v>70</v>
      </c>
      <c r="HZ98" s="14" t="s">
        <v>71</v>
      </c>
      <c r="IB98" s="14" t="s">
        <v>73</v>
      </c>
      <c r="IC98" s="14" t="s">
        <v>74</v>
      </c>
      <c r="ID98" s="14" t="s">
        <v>75</v>
      </c>
      <c r="IE98" s="14" t="s">
        <v>76</v>
      </c>
      <c r="IF98" s="14" t="s">
        <v>77</v>
      </c>
      <c r="IG98" s="14" t="s">
        <v>78</v>
      </c>
      <c r="IH98" s="14" t="s">
        <v>79</v>
      </c>
      <c r="II98" s="14" t="s">
        <v>80</v>
      </c>
      <c r="IJ98" s="14" t="s">
        <v>81</v>
      </c>
      <c r="IK98" s="14" t="s">
        <v>82</v>
      </c>
      <c r="IL98" s="14" t="s">
        <v>83</v>
      </c>
      <c r="IM98" s="14" t="s">
        <v>84</v>
      </c>
      <c r="IN98" s="14" t="s">
        <v>85</v>
      </c>
      <c r="IO98" s="14" t="s">
        <v>86</v>
      </c>
      <c r="IP98" s="14" t="s">
        <v>87</v>
      </c>
      <c r="IQ98" s="14" t="s">
        <v>88</v>
      </c>
      <c r="IR98" s="14" t="s">
        <v>89</v>
      </c>
      <c r="IS98" s="14" t="s">
        <v>90</v>
      </c>
      <c r="IT98" s="14" t="s">
        <v>91</v>
      </c>
      <c r="IU98" s="14" t="s">
        <v>645</v>
      </c>
      <c r="IV98" s="14" t="s">
        <v>93</v>
      </c>
      <c r="IW98" s="14" t="s">
        <v>94</v>
      </c>
      <c r="IX98" s="14" t="s">
        <v>95</v>
      </c>
      <c r="IY98" s="14" t="s">
        <v>96</v>
      </c>
      <c r="IZ98" s="14" t="s">
        <v>97</v>
      </c>
      <c r="JA98" s="14" t="s">
        <v>98</v>
      </c>
      <c r="JB98" s="14" t="s">
        <v>99</v>
      </c>
      <c r="JC98" s="14" t="s">
        <v>100</v>
      </c>
      <c r="JD98" s="14" t="s">
        <v>101</v>
      </c>
      <c r="JE98" s="14" t="s">
        <v>102</v>
      </c>
      <c r="JF98" s="14" t="s">
        <v>646</v>
      </c>
      <c r="JH98" s="14" t="s">
        <v>105</v>
      </c>
      <c r="JI98" s="14" t="s">
        <v>107</v>
      </c>
      <c r="JJ98" s="14" t="s">
        <v>108</v>
      </c>
      <c r="JK98" s="14" t="s">
        <v>109</v>
      </c>
      <c r="JL98" s="14" t="s">
        <v>110</v>
      </c>
      <c r="JM98" s="14" t="s">
        <v>111</v>
      </c>
      <c r="JN98" s="14" t="s">
        <v>112</v>
      </c>
      <c r="JO98" s="14" t="s">
        <v>113</v>
      </c>
      <c r="JP98" s="14" t="s">
        <v>114</v>
      </c>
      <c r="JQ98" s="14" t="s">
        <v>115</v>
      </c>
      <c r="JR98" s="14" t="s">
        <v>116</v>
      </c>
      <c r="JS98" s="14" t="s">
        <v>117</v>
      </c>
      <c r="JT98" s="14" t="s">
        <v>118</v>
      </c>
      <c r="JU98" s="14" t="s">
        <v>119</v>
      </c>
      <c r="JV98" s="14" t="s">
        <v>120</v>
      </c>
      <c r="JW98" s="14" t="s">
        <v>121</v>
      </c>
      <c r="JX98" s="14" t="s">
        <v>122</v>
      </c>
      <c r="JY98" s="14" t="s">
        <v>123</v>
      </c>
      <c r="JZ98" s="14" t="s">
        <v>124</v>
      </c>
      <c r="KA98" s="14" t="s">
        <v>125</v>
      </c>
      <c r="KB98" s="14" t="s">
        <v>126</v>
      </c>
      <c r="KC98" s="14" t="s">
        <v>127</v>
      </c>
      <c r="KD98" s="14" t="s">
        <v>128</v>
      </c>
      <c r="KE98" s="14" t="s">
        <v>129</v>
      </c>
      <c r="KF98" s="14" t="s">
        <v>130</v>
      </c>
      <c r="KG98" s="14" t="s">
        <v>131</v>
      </c>
      <c r="KH98" s="14" t="s">
        <v>132</v>
      </c>
      <c r="KI98" s="14" t="s">
        <v>647</v>
      </c>
      <c r="KJ98" s="14" t="s">
        <v>134</v>
      </c>
      <c r="KK98" s="14" t="s">
        <v>135</v>
      </c>
      <c r="KM98" s="14" t="s">
        <v>137</v>
      </c>
      <c r="KN98" s="14" t="s">
        <v>138</v>
      </c>
      <c r="KO98" s="14" t="s">
        <v>139</v>
      </c>
      <c r="KP98" s="14" t="s">
        <v>140</v>
      </c>
      <c r="KQ98" s="20"/>
      <c r="KR98" s="20"/>
      <c r="LA98" s="20"/>
      <c r="LB98" s="21" t="s">
        <v>148</v>
      </c>
      <c r="LC98" s="21" t="s">
        <v>149</v>
      </c>
      <c r="LD98" s="21" t="s">
        <v>9</v>
      </c>
      <c r="LE98" s="21" t="s">
        <v>150</v>
      </c>
      <c r="LF98" s="21" t="s">
        <v>151</v>
      </c>
      <c r="LG98" s="21" t="s">
        <v>488</v>
      </c>
      <c r="LH98" s="21" t="s">
        <v>153</v>
      </c>
      <c r="LI98" s="21" t="s">
        <v>7</v>
      </c>
      <c r="LJ98" s="21" t="s">
        <v>7</v>
      </c>
      <c r="LK98" s="21" t="s">
        <v>156</v>
      </c>
      <c r="LL98" s="21" t="s">
        <v>157</v>
      </c>
      <c r="LM98" s="21" t="s">
        <v>6</v>
      </c>
      <c r="LN98" s="21" t="s">
        <v>20</v>
      </c>
      <c r="LO98" s="21" t="s">
        <v>159</v>
      </c>
      <c r="LP98" s="21" t="s">
        <v>160</v>
      </c>
      <c r="LQ98" s="21" t="s">
        <v>161</v>
      </c>
      <c r="LR98" s="21" t="s">
        <v>162</v>
      </c>
      <c r="LS98" s="21" t="s">
        <v>163</v>
      </c>
      <c r="LT98" s="21" t="s">
        <v>164</v>
      </c>
      <c r="LU98" s="21" t="s">
        <v>165</v>
      </c>
      <c r="LV98" s="21" t="s">
        <v>166</v>
      </c>
      <c r="LW98" s="21" t="s">
        <v>167</v>
      </c>
      <c r="LX98" s="21" t="s">
        <v>168</v>
      </c>
      <c r="LY98" s="21" t="s">
        <v>169</v>
      </c>
      <c r="LZ98" s="21" t="s">
        <v>170</v>
      </c>
      <c r="MA98" s="21" t="s">
        <v>171</v>
      </c>
      <c r="MB98" s="21" t="s">
        <v>172</v>
      </c>
      <c r="MC98" s="21" t="s">
        <v>173</v>
      </c>
      <c r="MD98" s="21" t="s">
        <v>10</v>
      </c>
      <c r="ME98" s="21" t="s">
        <v>174</v>
      </c>
      <c r="MF98" s="21" t="s">
        <v>175</v>
      </c>
      <c r="MG98" s="21" t="s">
        <v>176</v>
      </c>
      <c r="MH98" s="21" t="s">
        <v>177</v>
      </c>
      <c r="MI98" s="21" t="s">
        <v>178</v>
      </c>
    </row>
    <row r="99" spans="1:347" s="14" customFormat="1" x14ac:dyDescent="0.25">
      <c r="A99" s="14" t="s">
        <v>648</v>
      </c>
      <c r="C99" s="21"/>
      <c r="Y99" s="22"/>
      <c r="BV99" s="14" t="s">
        <v>649</v>
      </c>
      <c r="BW99" s="14" t="s">
        <v>650</v>
      </c>
      <c r="BX99" s="14" t="s">
        <v>651</v>
      </c>
      <c r="BY99" s="14" t="s">
        <v>652</v>
      </c>
      <c r="BZ99" s="14" t="s">
        <v>650</v>
      </c>
      <c r="CA99" s="14" t="s">
        <v>653</v>
      </c>
      <c r="CB99" s="14" t="s">
        <v>654</v>
      </c>
      <c r="CC99" s="14" t="s">
        <v>655</v>
      </c>
      <c r="CD99" s="14" t="s">
        <v>650</v>
      </c>
      <c r="CE99" s="14" t="s">
        <v>650</v>
      </c>
      <c r="CF99" s="14" t="s">
        <v>656</v>
      </c>
      <c r="CG99" s="14" t="s">
        <v>657</v>
      </c>
      <c r="CH99" s="14" t="s">
        <v>658</v>
      </c>
      <c r="CI99" s="14" t="s">
        <v>659</v>
      </c>
      <c r="CJ99" s="14" t="s">
        <v>651</v>
      </c>
      <c r="CK99" s="14" t="s">
        <v>660</v>
      </c>
      <c r="CL99" s="14" t="s">
        <v>661</v>
      </c>
      <c r="CM99" s="14" t="s">
        <v>662</v>
      </c>
      <c r="CN99" s="14" t="s">
        <v>663</v>
      </c>
      <c r="CO99" s="14" t="s">
        <v>664</v>
      </c>
      <c r="CQ99" s="14" t="s">
        <v>665</v>
      </c>
      <c r="CR99" s="14" t="s">
        <v>666</v>
      </c>
      <c r="CS99" s="14" t="s">
        <v>667</v>
      </c>
      <c r="CT99" s="14" t="s">
        <v>664</v>
      </c>
      <c r="CU99" s="14" t="s">
        <v>668</v>
      </c>
      <c r="CV99" s="14" t="s">
        <v>663</v>
      </c>
      <c r="CW99" s="14" t="s">
        <v>664</v>
      </c>
      <c r="CX99" s="14" t="s">
        <v>664</v>
      </c>
      <c r="CY99" s="14" t="s">
        <v>650</v>
      </c>
      <c r="CZ99" s="14" t="s">
        <v>658</v>
      </c>
      <c r="DA99" s="14" t="s">
        <v>669</v>
      </c>
      <c r="DB99" s="14" t="s">
        <v>667</v>
      </c>
      <c r="DC99" s="14" t="s">
        <v>661</v>
      </c>
      <c r="DD99" s="14" t="s">
        <v>670</v>
      </c>
      <c r="DE99" s="14" t="s">
        <v>671</v>
      </c>
      <c r="DF99" s="14" t="s">
        <v>672</v>
      </c>
      <c r="DG99" s="14" t="s">
        <v>654</v>
      </c>
      <c r="DH99" s="14" t="s">
        <v>673</v>
      </c>
      <c r="DI99" s="14" t="s">
        <v>674</v>
      </c>
      <c r="DJ99" s="14" t="s">
        <v>675</v>
      </c>
      <c r="DK99" s="14" t="s">
        <v>676</v>
      </c>
      <c r="DL99" s="14" t="s">
        <v>677</v>
      </c>
      <c r="DM99" s="14" t="s">
        <v>678</v>
      </c>
      <c r="DN99" s="14" t="s">
        <v>679</v>
      </c>
      <c r="DP99" s="14" t="s">
        <v>650</v>
      </c>
      <c r="DQ99" s="14" t="s">
        <v>656</v>
      </c>
      <c r="DR99" s="14" t="s">
        <v>678</v>
      </c>
      <c r="DS99" s="14" t="s">
        <v>680</v>
      </c>
      <c r="DT99" s="14" t="s">
        <v>678</v>
      </c>
      <c r="DU99" s="14" t="s">
        <v>681</v>
      </c>
      <c r="DV99" s="14" t="s">
        <v>682</v>
      </c>
      <c r="DW99" s="14" t="s">
        <v>683</v>
      </c>
      <c r="DX99" s="14" t="s">
        <v>667</v>
      </c>
      <c r="DY99" s="14" t="s">
        <v>663</v>
      </c>
      <c r="DZ99" s="14" t="s">
        <v>660</v>
      </c>
      <c r="EA99" s="14" t="s">
        <v>684</v>
      </c>
      <c r="EB99" s="14" t="s">
        <v>664</v>
      </c>
      <c r="EC99" s="14" t="s">
        <v>685</v>
      </c>
      <c r="ED99" s="14" t="s">
        <v>653</v>
      </c>
      <c r="EE99" s="14" t="s">
        <v>664</v>
      </c>
      <c r="EF99" s="14" t="s">
        <v>661</v>
      </c>
      <c r="EG99" s="14" t="s">
        <v>658</v>
      </c>
      <c r="EH99" s="14" t="s">
        <v>686</v>
      </c>
      <c r="EI99" s="14" t="s">
        <v>660</v>
      </c>
      <c r="EJ99" s="14" t="s">
        <v>669</v>
      </c>
      <c r="EK99" s="14" t="s">
        <v>662</v>
      </c>
      <c r="EL99" s="14" t="s">
        <v>655</v>
      </c>
      <c r="EM99" s="14" t="s">
        <v>650</v>
      </c>
      <c r="EN99" s="14" t="s">
        <v>687</v>
      </c>
      <c r="EO99" s="14" t="s">
        <v>688</v>
      </c>
      <c r="EP99" s="14" t="s">
        <v>689</v>
      </c>
      <c r="EQ99" s="14" t="s">
        <v>660</v>
      </c>
      <c r="ER99" s="14" t="s">
        <v>690</v>
      </c>
      <c r="ES99" s="14" t="s">
        <v>691</v>
      </c>
      <c r="ET99" s="14" t="s">
        <v>692</v>
      </c>
      <c r="EU99" s="14" t="s">
        <v>693</v>
      </c>
      <c r="EV99" s="14" t="s">
        <v>694</v>
      </c>
      <c r="EW99" s="14" t="s">
        <v>693</v>
      </c>
      <c r="EX99" s="14" t="s">
        <v>663</v>
      </c>
      <c r="EY99" s="14" t="s">
        <v>695</v>
      </c>
      <c r="EZ99" s="14" t="s">
        <v>696</v>
      </c>
      <c r="FA99" s="14" t="s">
        <v>697</v>
      </c>
      <c r="FB99" s="14" t="s">
        <v>698</v>
      </c>
      <c r="FC99" s="14" t="s">
        <v>660</v>
      </c>
      <c r="FD99" s="14" t="s">
        <v>650</v>
      </c>
      <c r="FE99" s="14" t="s">
        <v>699</v>
      </c>
      <c r="FF99" s="14" t="s">
        <v>694</v>
      </c>
      <c r="FG99" s="14" t="s">
        <v>700</v>
      </c>
      <c r="FH99" s="14" t="s">
        <v>701</v>
      </c>
      <c r="FI99" s="14" t="s">
        <v>702</v>
      </c>
      <c r="FJ99" s="14" t="s">
        <v>703</v>
      </c>
      <c r="FK99" s="14" t="s">
        <v>664</v>
      </c>
      <c r="FL99" s="14" t="s">
        <v>663</v>
      </c>
      <c r="FM99" s="14" t="s">
        <v>665</v>
      </c>
      <c r="FN99" s="14" t="s">
        <v>704</v>
      </c>
      <c r="FO99" s="14" t="s">
        <v>663</v>
      </c>
      <c r="FP99" s="14" t="s">
        <v>669</v>
      </c>
      <c r="FQ99" s="14" t="s">
        <v>650</v>
      </c>
      <c r="FR99" s="14" t="s">
        <v>656</v>
      </c>
      <c r="FS99" s="14" t="s">
        <v>656</v>
      </c>
      <c r="FT99" s="14" t="s">
        <v>705</v>
      </c>
      <c r="FU99" s="14" t="s">
        <v>663</v>
      </c>
      <c r="FV99" s="14" t="s">
        <v>651</v>
      </c>
      <c r="FW99" s="14" t="s">
        <v>659</v>
      </c>
      <c r="FX99" s="14" t="s">
        <v>706</v>
      </c>
      <c r="FY99" s="14" t="s">
        <v>678</v>
      </c>
      <c r="FZ99" s="14" t="s">
        <v>650</v>
      </c>
      <c r="GB99" s="14" t="s">
        <v>682</v>
      </c>
      <c r="GC99" s="14" t="s">
        <v>687</v>
      </c>
      <c r="GD99" s="14" t="s">
        <v>707</v>
      </c>
      <c r="GE99" s="14" t="s">
        <v>650</v>
      </c>
      <c r="GF99" s="20"/>
      <c r="GG99" s="20"/>
      <c r="GH99" s="14" t="s">
        <v>649</v>
      </c>
      <c r="GI99" s="14" t="s">
        <v>650</v>
      </c>
      <c r="GJ99" s="14" t="s">
        <v>651</v>
      </c>
      <c r="GK99" s="14" t="s">
        <v>652</v>
      </c>
      <c r="GL99" s="14" t="s">
        <v>650</v>
      </c>
      <c r="GM99" s="14" t="s">
        <v>653</v>
      </c>
      <c r="GN99" s="14" t="s">
        <v>654</v>
      </c>
      <c r="GO99" s="14" t="s">
        <v>655</v>
      </c>
      <c r="GP99" s="14" t="s">
        <v>650</v>
      </c>
      <c r="GQ99" s="14" t="s">
        <v>650</v>
      </c>
      <c r="GR99" s="14" t="s">
        <v>656</v>
      </c>
      <c r="GS99" s="14" t="s">
        <v>657</v>
      </c>
      <c r="GT99" s="14" t="s">
        <v>658</v>
      </c>
      <c r="GU99" s="14" t="s">
        <v>659</v>
      </c>
      <c r="GV99" s="14" t="s">
        <v>651</v>
      </c>
      <c r="GW99" s="14" t="s">
        <v>660</v>
      </c>
      <c r="GX99" s="14" t="s">
        <v>661</v>
      </c>
      <c r="GY99" s="14" t="s">
        <v>662</v>
      </c>
      <c r="GZ99" s="14" t="s">
        <v>663</v>
      </c>
      <c r="HA99" s="14" t="s">
        <v>664</v>
      </c>
      <c r="HC99" s="14" t="s">
        <v>665</v>
      </c>
      <c r="HD99" s="14" t="s">
        <v>666</v>
      </c>
      <c r="HE99" s="14" t="s">
        <v>667</v>
      </c>
      <c r="HF99" s="14" t="s">
        <v>664</v>
      </c>
      <c r="HG99" s="14" t="s">
        <v>668</v>
      </c>
      <c r="HH99" s="14" t="s">
        <v>663</v>
      </c>
      <c r="HI99" s="14" t="s">
        <v>664</v>
      </c>
      <c r="HJ99" s="14" t="s">
        <v>664</v>
      </c>
      <c r="HK99" s="14" t="s">
        <v>650</v>
      </c>
      <c r="HL99" s="14" t="s">
        <v>658</v>
      </c>
      <c r="HM99" s="14" t="s">
        <v>669</v>
      </c>
      <c r="HN99" s="14" t="s">
        <v>667</v>
      </c>
      <c r="HO99" s="14" t="s">
        <v>661</v>
      </c>
      <c r="HP99" s="14" t="s">
        <v>670</v>
      </c>
      <c r="HQ99" s="14" t="s">
        <v>671</v>
      </c>
      <c r="HR99" s="14" t="s">
        <v>672</v>
      </c>
      <c r="HS99" s="14" t="s">
        <v>654</v>
      </c>
      <c r="HT99" s="14" t="s">
        <v>673</v>
      </c>
      <c r="HU99" s="14" t="s">
        <v>674</v>
      </c>
      <c r="HV99" s="14" t="s">
        <v>675</v>
      </c>
      <c r="HW99" s="14" t="s">
        <v>676</v>
      </c>
      <c r="HX99" s="14" t="s">
        <v>677</v>
      </c>
      <c r="HY99" s="14" t="s">
        <v>678</v>
      </c>
      <c r="HZ99" s="14" t="s">
        <v>679</v>
      </c>
      <c r="IB99" s="14" t="s">
        <v>650</v>
      </c>
      <c r="IC99" s="14" t="s">
        <v>656</v>
      </c>
      <c r="ID99" s="14" t="s">
        <v>678</v>
      </c>
      <c r="IE99" s="14" t="s">
        <v>680</v>
      </c>
      <c r="IF99" s="14" t="s">
        <v>678</v>
      </c>
      <c r="IG99" s="14" t="s">
        <v>681</v>
      </c>
      <c r="IH99" s="14" t="s">
        <v>682</v>
      </c>
      <c r="II99" s="14" t="s">
        <v>683</v>
      </c>
      <c r="IJ99" s="14" t="s">
        <v>667</v>
      </c>
      <c r="IK99" s="14" t="s">
        <v>663</v>
      </c>
      <c r="IL99" s="14" t="s">
        <v>660</v>
      </c>
      <c r="IM99" s="14" t="s">
        <v>684</v>
      </c>
      <c r="IN99" s="14" t="s">
        <v>664</v>
      </c>
      <c r="IO99" s="14" t="s">
        <v>685</v>
      </c>
      <c r="IP99" s="14" t="s">
        <v>653</v>
      </c>
      <c r="IQ99" s="14" t="s">
        <v>664</v>
      </c>
      <c r="IR99" s="14" t="s">
        <v>661</v>
      </c>
      <c r="IS99" s="14" t="s">
        <v>658</v>
      </c>
      <c r="IT99" s="14" t="s">
        <v>686</v>
      </c>
      <c r="IU99" s="14" t="s">
        <v>660</v>
      </c>
      <c r="IV99" s="14" t="s">
        <v>669</v>
      </c>
      <c r="IW99" s="14" t="s">
        <v>662</v>
      </c>
      <c r="IX99" s="14" t="s">
        <v>655</v>
      </c>
      <c r="IY99" s="14" t="s">
        <v>650</v>
      </c>
      <c r="IZ99" s="14" t="s">
        <v>687</v>
      </c>
      <c r="JA99" s="14" t="s">
        <v>688</v>
      </c>
      <c r="JB99" s="14" t="s">
        <v>689</v>
      </c>
      <c r="JC99" s="14" t="s">
        <v>660</v>
      </c>
      <c r="JD99" s="14" t="s">
        <v>690</v>
      </c>
      <c r="JE99" s="14" t="s">
        <v>691</v>
      </c>
      <c r="JF99" s="14" t="s">
        <v>692</v>
      </c>
      <c r="JH99" s="14" t="s">
        <v>694</v>
      </c>
      <c r="JI99" s="14" t="s">
        <v>663</v>
      </c>
      <c r="JJ99" s="14" t="s">
        <v>695</v>
      </c>
      <c r="JK99" s="14" t="s">
        <v>696</v>
      </c>
      <c r="JL99" s="14" t="s">
        <v>697</v>
      </c>
      <c r="JM99" s="14" t="s">
        <v>698</v>
      </c>
      <c r="JN99" s="14" t="s">
        <v>660</v>
      </c>
      <c r="JO99" s="14" t="s">
        <v>650</v>
      </c>
      <c r="JP99" s="14" t="s">
        <v>699</v>
      </c>
      <c r="JQ99" s="14" t="s">
        <v>694</v>
      </c>
      <c r="JR99" s="14" t="s">
        <v>700</v>
      </c>
      <c r="JS99" s="14" t="s">
        <v>701</v>
      </c>
      <c r="JT99" s="14" t="s">
        <v>702</v>
      </c>
      <c r="JU99" s="14" t="s">
        <v>703</v>
      </c>
      <c r="JV99" s="14" t="s">
        <v>664</v>
      </c>
      <c r="JW99" s="14" t="s">
        <v>663</v>
      </c>
      <c r="JX99" s="14" t="s">
        <v>665</v>
      </c>
      <c r="JY99" s="14" t="s">
        <v>704</v>
      </c>
      <c r="JZ99" s="14" t="s">
        <v>663</v>
      </c>
      <c r="KA99" s="14" t="s">
        <v>669</v>
      </c>
      <c r="KB99" s="14" t="s">
        <v>650</v>
      </c>
      <c r="KC99" s="14" t="s">
        <v>656</v>
      </c>
      <c r="KD99" s="14" t="s">
        <v>656</v>
      </c>
      <c r="KE99" s="14" t="s">
        <v>705</v>
      </c>
      <c r="KF99" s="14" t="s">
        <v>663</v>
      </c>
      <c r="KG99" s="14" t="s">
        <v>651</v>
      </c>
      <c r="KH99" s="14" t="s">
        <v>659</v>
      </c>
      <c r="KI99" s="14" t="s">
        <v>706</v>
      </c>
      <c r="KJ99" s="14" t="s">
        <v>678</v>
      </c>
      <c r="KK99" s="14" t="s">
        <v>650</v>
      </c>
      <c r="KM99" s="14" t="s">
        <v>682</v>
      </c>
      <c r="KN99" s="14" t="s">
        <v>687</v>
      </c>
      <c r="KO99" s="14" t="s">
        <v>707</v>
      </c>
      <c r="KP99" s="14" t="s">
        <v>650</v>
      </c>
      <c r="KQ99" s="20"/>
      <c r="KR99" s="20"/>
      <c r="LA99" s="20"/>
      <c r="LB99" s="21"/>
      <c r="LC99" s="21" t="s">
        <v>708</v>
      </c>
      <c r="LD99" s="21" t="s">
        <v>709</v>
      </c>
      <c r="LE99" s="21" t="s">
        <v>710</v>
      </c>
      <c r="LF99" s="21" t="s">
        <v>711</v>
      </c>
      <c r="LG99" s="21" t="s">
        <v>712</v>
      </c>
      <c r="LH99" s="21" t="s">
        <v>713</v>
      </c>
      <c r="LI99" s="21" t="s">
        <v>714</v>
      </c>
      <c r="LJ99" s="21" t="s">
        <v>714</v>
      </c>
      <c r="LK99" s="21" t="s">
        <v>715</v>
      </c>
      <c r="LL99" s="21" t="s">
        <v>716</v>
      </c>
      <c r="LM99" s="21" t="s">
        <v>717</v>
      </c>
      <c r="LN99" s="21" t="s">
        <v>718</v>
      </c>
      <c r="LO99" s="21" t="s">
        <v>719</v>
      </c>
      <c r="LP99" s="21" t="s">
        <v>720</v>
      </c>
      <c r="LQ99" s="21" t="s">
        <v>721</v>
      </c>
      <c r="LR99" s="21" t="s">
        <v>722</v>
      </c>
      <c r="LS99" s="21" t="s">
        <v>723</v>
      </c>
      <c r="LT99" s="21" t="s">
        <v>714</v>
      </c>
      <c r="LU99" s="21" t="s">
        <v>724</v>
      </c>
      <c r="LV99" s="21" t="s">
        <v>725</v>
      </c>
      <c r="LW99" s="21" t="s">
        <v>726</v>
      </c>
      <c r="LX99" s="21" t="s">
        <v>727</v>
      </c>
      <c r="LY99" s="21" t="s">
        <v>714</v>
      </c>
      <c r="LZ99" s="21" t="s">
        <v>727</v>
      </c>
      <c r="MA99" s="21" t="s">
        <v>727</v>
      </c>
      <c r="MB99" s="21" t="s">
        <v>728</v>
      </c>
      <c r="MC99" s="21" t="s">
        <v>729</v>
      </c>
      <c r="MD99" s="21" t="s">
        <v>730</v>
      </c>
      <c r="ME99" s="21" t="s">
        <v>731</v>
      </c>
      <c r="MF99" s="21" t="s">
        <v>732</v>
      </c>
      <c r="MG99" s="21" t="s">
        <v>733</v>
      </c>
      <c r="MH99" s="21" t="s">
        <v>730</v>
      </c>
      <c r="MI99" s="21" t="s">
        <v>727</v>
      </c>
    </row>
    <row r="100" spans="1:347" s="14" customFormat="1" x14ac:dyDescent="0.25">
      <c r="A100" s="14" t="s">
        <v>734</v>
      </c>
      <c r="C100" s="21"/>
      <c r="Y100" s="22"/>
      <c r="BV100" s="14">
        <v>2303</v>
      </c>
      <c r="BW100" s="14">
        <v>2319</v>
      </c>
      <c r="BX100" s="14">
        <v>2338</v>
      </c>
      <c r="BY100" s="14">
        <v>582845</v>
      </c>
      <c r="BZ100" s="14">
        <v>2283</v>
      </c>
      <c r="CA100" s="14">
        <v>2381</v>
      </c>
      <c r="CB100" s="14">
        <v>2452</v>
      </c>
      <c r="CC100" s="14">
        <v>2498</v>
      </c>
      <c r="CD100" s="14">
        <v>2400</v>
      </c>
      <c r="CE100" s="14">
        <v>227178</v>
      </c>
      <c r="CF100" s="14">
        <v>2436</v>
      </c>
      <c r="CG100" s="14">
        <v>2415</v>
      </c>
      <c r="CH100" s="14">
        <v>2416</v>
      </c>
      <c r="CI100" s="14">
        <v>2586</v>
      </c>
      <c r="CJ100" s="14">
        <v>2557</v>
      </c>
      <c r="CK100" s="14">
        <v>458823</v>
      </c>
      <c r="CL100" s="14">
        <v>2394</v>
      </c>
      <c r="CM100" s="14">
        <v>227164</v>
      </c>
      <c r="CN100" s="14">
        <v>2277</v>
      </c>
      <c r="CO100" s="14">
        <v>2278</v>
      </c>
      <c r="CP100" s="14">
        <v>2134</v>
      </c>
      <c r="CQ100" s="14">
        <v>2162</v>
      </c>
      <c r="CR100" s="14">
        <v>2144</v>
      </c>
      <c r="CS100" s="14">
        <v>2294</v>
      </c>
      <c r="CT100" s="14">
        <v>2345</v>
      </c>
      <c r="CU100" s="14">
        <v>227501</v>
      </c>
      <c r="CV100" s="14">
        <v>2426</v>
      </c>
      <c r="CW100" s="14">
        <v>2185</v>
      </c>
      <c r="CX100" s="14">
        <v>2163</v>
      </c>
      <c r="CY100" s="14">
        <v>2455</v>
      </c>
      <c r="CZ100" s="14">
        <v>2339</v>
      </c>
      <c r="DA100" s="14">
        <v>853823</v>
      </c>
      <c r="DB100" s="14">
        <v>2167</v>
      </c>
      <c r="DC100" s="14">
        <v>2474</v>
      </c>
      <c r="DD100" s="14">
        <v>2369</v>
      </c>
      <c r="DE100" s="14">
        <v>2297</v>
      </c>
      <c r="DF100" s="14">
        <v>2404</v>
      </c>
      <c r="DG100" s="14">
        <v>2444</v>
      </c>
      <c r="DH100" s="14">
        <v>2439</v>
      </c>
      <c r="DI100" s="14">
        <v>2140</v>
      </c>
      <c r="DJ100" s="14">
        <v>2428</v>
      </c>
      <c r="DK100" s="14">
        <v>2513</v>
      </c>
      <c r="DL100" s="14">
        <v>2514</v>
      </c>
      <c r="DM100" s="14">
        <v>2286</v>
      </c>
      <c r="DN100" s="14">
        <v>2559</v>
      </c>
      <c r="DP100" s="14">
        <v>2331</v>
      </c>
      <c r="DQ100" s="14">
        <v>2548</v>
      </c>
      <c r="DR100" s="14">
        <v>2332</v>
      </c>
      <c r="DS100" s="14">
        <v>2391</v>
      </c>
      <c r="DT100" s="14">
        <v>2298</v>
      </c>
      <c r="DU100" s="14">
        <v>2299</v>
      </c>
      <c r="DV100" s="14">
        <v>2333</v>
      </c>
      <c r="DW100" s="14">
        <v>2407</v>
      </c>
      <c r="DX100" s="14">
        <v>2191</v>
      </c>
      <c r="DY100" s="14">
        <v>2490</v>
      </c>
      <c r="DZ100" s="14">
        <v>2309</v>
      </c>
      <c r="EA100" s="14">
        <v>834500</v>
      </c>
      <c r="EB100" s="14">
        <v>2346</v>
      </c>
      <c r="EC100" s="14">
        <v>2461</v>
      </c>
      <c r="ED100" s="14">
        <v>2476</v>
      </c>
      <c r="EE100" s="14">
        <v>2572</v>
      </c>
      <c r="EF100" s="14">
        <v>2366</v>
      </c>
      <c r="EG100" s="14">
        <v>2367</v>
      </c>
      <c r="EH100" s="14">
        <v>2316</v>
      </c>
      <c r="EI100" s="14">
        <v>2300</v>
      </c>
      <c r="EJ100" s="14">
        <v>2325</v>
      </c>
      <c r="EK100" s="14">
        <v>160852</v>
      </c>
      <c r="EL100" s="14">
        <v>2418</v>
      </c>
      <c r="EM100" s="14">
        <v>2397</v>
      </c>
      <c r="EN100" s="14">
        <v>2569</v>
      </c>
      <c r="EO100" s="14">
        <v>2204</v>
      </c>
      <c r="EP100" s="14">
        <v>2573</v>
      </c>
      <c r="EQ100" s="14">
        <v>2320</v>
      </c>
      <c r="ER100" s="14">
        <v>2427</v>
      </c>
      <c r="ES100" s="14">
        <v>2322</v>
      </c>
      <c r="ET100" s="14">
        <v>2420</v>
      </c>
      <c r="EU100" s="14">
        <v>2562</v>
      </c>
      <c r="EV100" s="14">
        <v>2463</v>
      </c>
      <c r="EW100" s="14">
        <v>2562</v>
      </c>
      <c r="EX100" s="14">
        <v>2510</v>
      </c>
      <c r="EY100" s="14">
        <v>227165</v>
      </c>
      <c r="EZ100" s="14">
        <v>2563</v>
      </c>
      <c r="FA100" s="14">
        <v>2318</v>
      </c>
      <c r="FB100" s="14">
        <v>2398</v>
      </c>
      <c r="FC100" s="14">
        <v>2281</v>
      </c>
      <c r="FD100" s="14">
        <v>2301</v>
      </c>
      <c r="FE100" s="14">
        <v>2583</v>
      </c>
      <c r="FF100" s="14">
        <v>2334</v>
      </c>
      <c r="FG100" s="14">
        <v>2433</v>
      </c>
      <c r="FH100" s="14">
        <v>2166</v>
      </c>
      <c r="FI100" s="14">
        <v>2434</v>
      </c>
      <c r="FJ100" s="14">
        <v>2443</v>
      </c>
      <c r="FK100" s="14">
        <v>2189</v>
      </c>
      <c r="FL100" s="14">
        <v>2451</v>
      </c>
      <c r="FM100" s="14">
        <v>2302</v>
      </c>
      <c r="FN100" s="14">
        <v>153200</v>
      </c>
      <c r="FO100" s="14">
        <v>2564</v>
      </c>
      <c r="FP100" s="14">
        <v>2335</v>
      </c>
      <c r="FQ100" s="14">
        <v>2362</v>
      </c>
      <c r="FR100" s="14">
        <v>2526</v>
      </c>
      <c r="FS100" s="14">
        <v>2479</v>
      </c>
      <c r="FT100" s="14">
        <v>2527</v>
      </c>
      <c r="FU100" s="14">
        <v>2469</v>
      </c>
      <c r="FV100" s="14">
        <v>2547</v>
      </c>
      <c r="FW100" s="14">
        <v>2379</v>
      </c>
      <c r="FX100" s="14">
        <v>2455</v>
      </c>
      <c r="FY100" s="14">
        <v>2588</v>
      </c>
      <c r="FZ100" s="14">
        <v>2528</v>
      </c>
      <c r="GB100" s="14">
        <v>227195</v>
      </c>
      <c r="GC100" s="14">
        <v>2570</v>
      </c>
      <c r="GD100" s="14">
        <v>2190</v>
      </c>
      <c r="GE100" s="14">
        <v>227494</v>
      </c>
      <c r="GF100" s="20"/>
      <c r="GG100" s="20"/>
      <c r="GH100" s="14">
        <v>2303</v>
      </c>
      <c r="GI100" s="14">
        <v>2319</v>
      </c>
      <c r="GJ100" s="14">
        <v>2338</v>
      </c>
      <c r="GK100" s="14">
        <v>582845</v>
      </c>
      <c r="GL100" s="14">
        <v>2283</v>
      </c>
      <c r="GM100" s="14">
        <v>2381</v>
      </c>
      <c r="GN100" s="14">
        <v>2452</v>
      </c>
      <c r="GO100" s="14">
        <v>2498</v>
      </c>
      <c r="GP100" s="14">
        <v>2400</v>
      </c>
      <c r="GQ100" s="14">
        <v>227178</v>
      </c>
      <c r="GR100" s="14">
        <v>2436</v>
      </c>
      <c r="GS100" s="14">
        <v>2415</v>
      </c>
      <c r="GT100" s="14">
        <v>2416</v>
      </c>
      <c r="GU100" s="14">
        <v>2586</v>
      </c>
      <c r="GV100" s="14">
        <v>2557</v>
      </c>
      <c r="GW100" s="14">
        <v>458823</v>
      </c>
      <c r="GX100" s="14">
        <v>2394</v>
      </c>
      <c r="GY100" s="14">
        <v>227164</v>
      </c>
      <c r="GZ100" s="14">
        <v>2277</v>
      </c>
      <c r="HA100" s="14">
        <v>2278</v>
      </c>
      <c r="HB100" s="14">
        <v>2134</v>
      </c>
      <c r="HC100" s="14">
        <v>2162</v>
      </c>
      <c r="HD100" s="14">
        <v>2144</v>
      </c>
      <c r="HE100" s="14">
        <v>2294</v>
      </c>
      <c r="HF100" s="14">
        <v>2345</v>
      </c>
      <c r="HG100" s="14">
        <v>227501</v>
      </c>
      <c r="HH100" s="14">
        <v>2426</v>
      </c>
      <c r="HI100" s="14">
        <v>2185</v>
      </c>
      <c r="HJ100" s="14">
        <v>2163</v>
      </c>
      <c r="HK100" s="14">
        <v>2455</v>
      </c>
      <c r="HL100" s="14">
        <v>2339</v>
      </c>
      <c r="HM100" s="14">
        <v>853823</v>
      </c>
      <c r="HN100" s="14">
        <v>2167</v>
      </c>
      <c r="HO100" s="14">
        <v>2474</v>
      </c>
      <c r="HP100" s="14">
        <v>2369</v>
      </c>
      <c r="HQ100" s="14">
        <v>2297</v>
      </c>
      <c r="HR100" s="14">
        <v>2404</v>
      </c>
      <c r="HS100" s="14">
        <v>2444</v>
      </c>
      <c r="HT100" s="14">
        <v>2439</v>
      </c>
      <c r="HU100" s="14">
        <v>2140</v>
      </c>
      <c r="HV100" s="14">
        <v>2428</v>
      </c>
      <c r="HW100" s="14">
        <v>2513</v>
      </c>
      <c r="HX100" s="14">
        <v>2514</v>
      </c>
      <c r="HY100" s="14">
        <v>2286</v>
      </c>
      <c r="HZ100" s="14">
        <v>2559</v>
      </c>
      <c r="IB100" s="14">
        <v>2331</v>
      </c>
      <c r="IC100" s="14">
        <v>2548</v>
      </c>
      <c r="ID100" s="14">
        <v>2332</v>
      </c>
      <c r="IE100" s="14">
        <v>2391</v>
      </c>
      <c r="IF100" s="14">
        <v>2298</v>
      </c>
      <c r="IG100" s="14">
        <v>2299</v>
      </c>
      <c r="IH100" s="14">
        <v>2333</v>
      </c>
      <c r="II100" s="14">
        <v>2407</v>
      </c>
      <c r="IJ100" s="14">
        <v>2191</v>
      </c>
      <c r="IK100" s="14">
        <v>2490</v>
      </c>
      <c r="IL100" s="14">
        <v>2309</v>
      </c>
      <c r="IM100" s="14">
        <v>834500</v>
      </c>
      <c r="IN100" s="14">
        <v>2346</v>
      </c>
      <c r="IO100" s="14">
        <v>2461</v>
      </c>
      <c r="IP100" s="14">
        <v>2476</v>
      </c>
      <c r="IQ100" s="14">
        <v>2572</v>
      </c>
      <c r="IR100" s="14">
        <v>2366</v>
      </c>
      <c r="IS100" s="14">
        <v>2367</v>
      </c>
      <c r="IT100" s="14">
        <v>2316</v>
      </c>
      <c r="IU100" s="14">
        <v>2300</v>
      </c>
      <c r="IV100" s="14">
        <v>2325</v>
      </c>
      <c r="IW100" s="14">
        <v>160852</v>
      </c>
      <c r="IX100" s="14">
        <v>2418</v>
      </c>
      <c r="IY100" s="14">
        <v>2397</v>
      </c>
      <c r="IZ100" s="14">
        <v>2569</v>
      </c>
      <c r="JA100" s="14">
        <v>2204</v>
      </c>
      <c r="JB100" s="14">
        <v>2573</v>
      </c>
      <c r="JC100" s="14">
        <v>2320</v>
      </c>
      <c r="JD100" s="14">
        <v>2427</v>
      </c>
      <c r="JE100" s="14">
        <v>2322</v>
      </c>
      <c r="JF100" s="14">
        <v>2420</v>
      </c>
      <c r="JH100" s="14">
        <v>2463</v>
      </c>
      <c r="JI100" s="14">
        <v>2510</v>
      </c>
      <c r="JJ100" s="14">
        <v>227165</v>
      </c>
      <c r="JK100" s="14">
        <v>2563</v>
      </c>
      <c r="JL100" s="14">
        <v>2318</v>
      </c>
      <c r="JM100" s="14">
        <v>2398</v>
      </c>
      <c r="JN100" s="14">
        <v>2281</v>
      </c>
      <c r="JO100" s="14">
        <v>2301</v>
      </c>
      <c r="JP100" s="14">
        <v>2583</v>
      </c>
      <c r="JQ100" s="14">
        <v>2334</v>
      </c>
      <c r="JR100" s="14">
        <v>2433</v>
      </c>
      <c r="JS100" s="14">
        <v>2166</v>
      </c>
      <c r="JT100" s="14">
        <v>2434</v>
      </c>
      <c r="JU100" s="14">
        <v>2443</v>
      </c>
      <c r="JV100" s="14">
        <v>2189</v>
      </c>
      <c r="JW100" s="14">
        <v>2451</v>
      </c>
      <c r="JX100" s="14">
        <v>2302</v>
      </c>
      <c r="JY100" s="14">
        <v>153200</v>
      </c>
      <c r="JZ100" s="14">
        <v>2564</v>
      </c>
      <c r="KA100" s="14">
        <v>2335</v>
      </c>
      <c r="KB100" s="14">
        <v>2362</v>
      </c>
      <c r="KC100" s="14">
        <v>2526</v>
      </c>
      <c r="KD100" s="14">
        <v>2479</v>
      </c>
      <c r="KE100" s="14">
        <v>2527</v>
      </c>
      <c r="KF100" s="14">
        <v>2469</v>
      </c>
      <c r="KG100" s="14">
        <v>2547</v>
      </c>
      <c r="KH100" s="14">
        <v>2379</v>
      </c>
      <c r="KI100" s="14">
        <v>2455</v>
      </c>
      <c r="KJ100" s="14">
        <v>2588</v>
      </c>
      <c r="KK100" s="14">
        <v>2528</v>
      </c>
      <c r="KM100" s="14">
        <v>227195</v>
      </c>
      <c r="KN100" s="14">
        <v>2570</v>
      </c>
      <c r="KO100" s="14">
        <v>2190</v>
      </c>
      <c r="KP100" s="14">
        <v>227494</v>
      </c>
      <c r="KQ100" s="20"/>
      <c r="KR100" s="20"/>
      <c r="LA100" s="20"/>
      <c r="LB100" s="21">
        <v>1360</v>
      </c>
      <c r="LC100" s="21">
        <v>415046</v>
      </c>
      <c r="LD100" s="21">
        <v>1135</v>
      </c>
      <c r="LE100" s="21">
        <v>1292</v>
      </c>
      <c r="LF100" s="21">
        <v>208</v>
      </c>
      <c r="LG100" s="21">
        <v>1065</v>
      </c>
      <c r="LH100" s="21">
        <v>106057</v>
      </c>
      <c r="LI100" s="21">
        <v>105</v>
      </c>
      <c r="LJ100" s="21">
        <v>105</v>
      </c>
      <c r="LK100" s="21">
        <v>101825</v>
      </c>
      <c r="LL100" s="21">
        <v>106235</v>
      </c>
      <c r="LM100" s="21">
        <v>1082</v>
      </c>
      <c r="LN100" s="21">
        <v>1267</v>
      </c>
      <c r="LO100" s="21">
        <v>101376</v>
      </c>
      <c r="LP100" s="21">
        <v>1130</v>
      </c>
      <c r="LQ100" s="21">
        <v>966</v>
      </c>
      <c r="LR100" s="21">
        <v>101</v>
      </c>
      <c r="LS100" s="21">
        <v>884311</v>
      </c>
      <c r="LT100" s="21">
        <v>106087</v>
      </c>
      <c r="LU100" s="21">
        <v>101395</v>
      </c>
      <c r="LV100" s="21">
        <v>101765</v>
      </c>
      <c r="LW100" s="21">
        <v>149668</v>
      </c>
      <c r="LX100" s="21">
        <v>211</v>
      </c>
      <c r="LY100" s="21">
        <v>129379</v>
      </c>
      <c r="LZ100" s="21">
        <v>215</v>
      </c>
      <c r="MA100" s="21">
        <v>113</v>
      </c>
      <c r="MB100" s="21">
        <v>106238</v>
      </c>
      <c r="MC100" s="21">
        <v>103052</v>
      </c>
      <c r="MD100" s="21">
        <v>883</v>
      </c>
      <c r="ME100" s="21">
        <v>939</v>
      </c>
      <c r="MF100" s="21">
        <v>558</v>
      </c>
      <c r="MG100" s="21">
        <v>101409</v>
      </c>
      <c r="MH100" s="21">
        <v>948</v>
      </c>
      <c r="MI100" s="21">
        <v>243</v>
      </c>
    </row>
    <row r="101" spans="1:347" s="14" customFormat="1" x14ac:dyDescent="0.25">
      <c r="A101" s="14" t="s">
        <v>735</v>
      </c>
      <c r="C101" s="21"/>
      <c r="Y101" s="22"/>
      <c r="BV101" s="14" t="s">
        <v>27</v>
      </c>
      <c r="BW101" s="14" t="s">
        <v>28</v>
      </c>
      <c r="BX101" s="14" t="s">
        <v>29</v>
      </c>
      <c r="BY101" s="14" t="s">
        <v>30</v>
      </c>
      <c r="BZ101" s="14" t="s">
        <v>31</v>
      </c>
      <c r="CA101" s="14" t="s">
        <v>32</v>
      </c>
      <c r="CB101" s="14" t="s">
        <v>33</v>
      </c>
      <c r="CC101" s="14" t="s">
        <v>643</v>
      </c>
      <c r="CD101" s="14" t="s">
        <v>35</v>
      </c>
      <c r="CE101" s="14" t="s">
        <v>36</v>
      </c>
      <c r="CF101" s="14" t="s">
        <v>37</v>
      </c>
      <c r="CG101" s="14" t="s">
        <v>38</v>
      </c>
      <c r="CH101" s="14" t="s">
        <v>39</v>
      </c>
      <c r="CI101" s="14" t="s">
        <v>40</v>
      </c>
      <c r="CJ101" s="14" t="s">
        <v>41</v>
      </c>
      <c r="CK101" s="14" t="s">
        <v>42</v>
      </c>
      <c r="CL101" s="14" t="s">
        <v>43</v>
      </c>
      <c r="CM101" s="14" t="s">
        <v>44</v>
      </c>
      <c r="CN101" s="14" t="s">
        <v>45</v>
      </c>
      <c r="CO101" s="14" t="s">
        <v>46</v>
      </c>
      <c r="CP101" s="14" t="s">
        <v>47</v>
      </c>
      <c r="CQ101" s="14" t="s">
        <v>48</v>
      </c>
      <c r="CR101" s="14" t="s">
        <v>49</v>
      </c>
      <c r="CS101" s="14" t="s">
        <v>50</v>
      </c>
      <c r="CT101" s="14" t="s">
        <v>51</v>
      </c>
      <c r="CU101" s="14" t="s">
        <v>52</v>
      </c>
      <c r="CV101" s="14" t="s">
        <v>53</v>
      </c>
      <c r="CW101" s="14" t="s">
        <v>54</v>
      </c>
      <c r="CX101" s="14" t="s">
        <v>55</v>
      </c>
      <c r="CY101" s="14" t="s">
        <v>56</v>
      </c>
      <c r="CZ101" s="14" t="s">
        <v>57</v>
      </c>
      <c r="DA101" s="14" t="s">
        <v>58</v>
      </c>
      <c r="DB101" s="14" t="s">
        <v>59</v>
      </c>
      <c r="DC101" s="14" t="s">
        <v>60</v>
      </c>
      <c r="DD101" s="14" t="s">
        <v>61</v>
      </c>
      <c r="DE101" s="14" t="s">
        <v>62</v>
      </c>
      <c r="DF101" s="14" t="s">
        <v>63</v>
      </c>
      <c r="DG101" s="14" t="s">
        <v>64</v>
      </c>
      <c r="DH101" s="14" t="s">
        <v>65</v>
      </c>
      <c r="DI101" s="14" t="s">
        <v>66</v>
      </c>
      <c r="DJ101" s="14" t="s">
        <v>67</v>
      </c>
      <c r="DK101" s="14" t="s">
        <v>68</v>
      </c>
      <c r="DL101" s="14" t="s">
        <v>644</v>
      </c>
      <c r="DM101" s="14" t="s">
        <v>70</v>
      </c>
      <c r="DN101" s="14" t="s">
        <v>71</v>
      </c>
      <c r="DP101" s="14" t="s">
        <v>73</v>
      </c>
      <c r="DQ101" s="14" t="s">
        <v>74</v>
      </c>
      <c r="DR101" s="14" t="s">
        <v>75</v>
      </c>
      <c r="DS101" s="14" t="s">
        <v>76</v>
      </c>
      <c r="DT101" s="14" t="s">
        <v>77</v>
      </c>
      <c r="DU101" s="14" t="s">
        <v>78</v>
      </c>
      <c r="DV101" s="14" t="s">
        <v>79</v>
      </c>
      <c r="DW101" s="14" t="s">
        <v>80</v>
      </c>
      <c r="DX101" s="14" t="s">
        <v>81</v>
      </c>
      <c r="DY101" s="14" t="s">
        <v>82</v>
      </c>
      <c r="DZ101" s="14" t="s">
        <v>83</v>
      </c>
      <c r="EA101" s="14" t="s">
        <v>84</v>
      </c>
      <c r="EB101" s="14" t="s">
        <v>85</v>
      </c>
      <c r="EC101" s="14" t="s">
        <v>86</v>
      </c>
      <c r="ED101" s="14" t="s">
        <v>87</v>
      </c>
      <c r="EE101" s="14" t="s">
        <v>88</v>
      </c>
      <c r="EF101" s="14" t="s">
        <v>89</v>
      </c>
      <c r="EG101" s="14" t="s">
        <v>90</v>
      </c>
      <c r="EH101" s="14" t="s">
        <v>91</v>
      </c>
      <c r="EI101" s="14" t="s">
        <v>645</v>
      </c>
      <c r="EJ101" s="14" t="s">
        <v>93</v>
      </c>
      <c r="EK101" s="14" t="s">
        <v>94</v>
      </c>
      <c r="EL101" s="14" t="s">
        <v>95</v>
      </c>
      <c r="EM101" s="14" t="s">
        <v>96</v>
      </c>
      <c r="EN101" s="14" t="s">
        <v>97</v>
      </c>
      <c r="EO101" s="14" t="s">
        <v>98</v>
      </c>
      <c r="EP101" s="14" t="s">
        <v>99</v>
      </c>
      <c r="EQ101" s="14" t="s">
        <v>100</v>
      </c>
      <c r="ER101" s="14" t="s">
        <v>101</v>
      </c>
      <c r="ES101" s="14" t="s">
        <v>102</v>
      </c>
      <c r="ET101" s="14" t="s">
        <v>646</v>
      </c>
      <c r="EU101" s="14" t="s">
        <v>106</v>
      </c>
      <c r="EV101" s="14" t="s">
        <v>105</v>
      </c>
      <c r="EW101" s="14" t="s">
        <v>106</v>
      </c>
      <c r="EX101" s="14" t="s">
        <v>107</v>
      </c>
      <c r="EY101" s="14" t="s">
        <v>108</v>
      </c>
      <c r="EZ101" s="14" t="s">
        <v>109</v>
      </c>
      <c r="FA101" s="14" t="s">
        <v>110</v>
      </c>
      <c r="FB101" s="14" t="s">
        <v>111</v>
      </c>
      <c r="FC101" s="14" t="s">
        <v>112</v>
      </c>
      <c r="FD101" s="14" t="s">
        <v>113</v>
      </c>
      <c r="FE101" s="14" t="s">
        <v>114</v>
      </c>
      <c r="FF101" s="14" t="s">
        <v>115</v>
      </c>
      <c r="FG101" s="14" t="s">
        <v>116</v>
      </c>
      <c r="FH101" s="14" t="s">
        <v>117</v>
      </c>
      <c r="FI101" s="14" t="s">
        <v>118</v>
      </c>
      <c r="FJ101" s="14" t="s">
        <v>119</v>
      </c>
      <c r="FK101" s="14" t="s">
        <v>120</v>
      </c>
      <c r="FL101" s="14" t="s">
        <v>121</v>
      </c>
      <c r="FM101" s="14" t="s">
        <v>122</v>
      </c>
      <c r="FN101" s="14" t="s">
        <v>123</v>
      </c>
      <c r="FO101" s="14" t="s">
        <v>124</v>
      </c>
      <c r="FP101" s="14" t="s">
        <v>125</v>
      </c>
      <c r="FQ101" s="14" t="s">
        <v>126</v>
      </c>
      <c r="FR101" s="14" t="s">
        <v>127</v>
      </c>
      <c r="FS101" s="14" t="s">
        <v>128</v>
      </c>
      <c r="FT101" s="14" t="s">
        <v>129</v>
      </c>
      <c r="FU101" s="14" t="s">
        <v>130</v>
      </c>
      <c r="FV101" s="14" t="s">
        <v>131</v>
      </c>
      <c r="FW101" s="14" t="s">
        <v>132</v>
      </c>
      <c r="FX101" s="14" t="s">
        <v>56</v>
      </c>
      <c r="FY101" s="14" t="s">
        <v>134</v>
      </c>
      <c r="FZ101" s="14" t="s">
        <v>135</v>
      </c>
      <c r="GB101" s="14" t="s">
        <v>137</v>
      </c>
      <c r="GC101" s="14" t="s">
        <v>138</v>
      </c>
      <c r="GD101" s="14" t="s">
        <v>139</v>
      </c>
      <c r="GE101" s="14" t="s">
        <v>140</v>
      </c>
      <c r="GF101" s="20"/>
      <c r="GG101" s="20"/>
      <c r="GH101" s="14" t="s">
        <v>27</v>
      </c>
      <c r="GI101" s="14" t="s">
        <v>28</v>
      </c>
      <c r="GJ101" s="14" t="s">
        <v>29</v>
      </c>
      <c r="GK101" s="14" t="s">
        <v>30</v>
      </c>
      <c r="GL101" s="14" t="s">
        <v>31</v>
      </c>
      <c r="GM101" s="14" t="s">
        <v>32</v>
      </c>
      <c r="GN101" s="14" t="s">
        <v>33</v>
      </c>
      <c r="GO101" s="14" t="s">
        <v>643</v>
      </c>
      <c r="GP101" s="14" t="s">
        <v>35</v>
      </c>
      <c r="GQ101" s="14" t="s">
        <v>36</v>
      </c>
      <c r="GR101" s="14" t="s">
        <v>37</v>
      </c>
      <c r="GS101" s="14" t="s">
        <v>38</v>
      </c>
      <c r="GT101" s="14" t="s">
        <v>39</v>
      </c>
      <c r="GU101" s="14" t="s">
        <v>40</v>
      </c>
      <c r="GV101" s="14" t="s">
        <v>41</v>
      </c>
      <c r="GW101" s="14" t="s">
        <v>42</v>
      </c>
      <c r="GX101" s="14" t="s">
        <v>43</v>
      </c>
      <c r="GY101" s="14" t="s">
        <v>44</v>
      </c>
      <c r="GZ101" s="14" t="s">
        <v>45</v>
      </c>
      <c r="HA101" s="14" t="s">
        <v>46</v>
      </c>
      <c r="HB101" s="14" t="s">
        <v>47</v>
      </c>
      <c r="HC101" s="14" t="s">
        <v>48</v>
      </c>
      <c r="HD101" s="14" t="s">
        <v>49</v>
      </c>
      <c r="HE101" s="14" t="s">
        <v>50</v>
      </c>
      <c r="HF101" s="14" t="s">
        <v>51</v>
      </c>
      <c r="HG101" s="14" t="s">
        <v>52</v>
      </c>
      <c r="HH101" s="14" t="s">
        <v>53</v>
      </c>
      <c r="HI101" s="14" t="s">
        <v>54</v>
      </c>
      <c r="HJ101" s="14" t="s">
        <v>55</v>
      </c>
      <c r="HK101" s="14" t="s">
        <v>56</v>
      </c>
      <c r="HL101" s="14" t="s">
        <v>57</v>
      </c>
      <c r="HM101" s="14" t="s">
        <v>58</v>
      </c>
      <c r="HN101" s="14" t="s">
        <v>59</v>
      </c>
      <c r="HO101" s="14" t="s">
        <v>60</v>
      </c>
      <c r="HP101" s="14" t="s">
        <v>61</v>
      </c>
      <c r="HQ101" s="14" t="s">
        <v>62</v>
      </c>
      <c r="HR101" s="14" t="s">
        <v>63</v>
      </c>
      <c r="HS101" s="14" t="s">
        <v>64</v>
      </c>
      <c r="HT101" s="14" t="s">
        <v>65</v>
      </c>
      <c r="HU101" s="14" t="s">
        <v>66</v>
      </c>
      <c r="HV101" s="14" t="s">
        <v>67</v>
      </c>
      <c r="HW101" s="14" t="s">
        <v>68</v>
      </c>
      <c r="HX101" s="14" t="s">
        <v>644</v>
      </c>
      <c r="HY101" s="14" t="s">
        <v>70</v>
      </c>
      <c r="HZ101" s="14" t="s">
        <v>71</v>
      </c>
      <c r="IB101" s="14" t="s">
        <v>73</v>
      </c>
      <c r="IC101" s="14" t="s">
        <v>74</v>
      </c>
      <c r="ID101" s="14" t="s">
        <v>75</v>
      </c>
      <c r="IE101" s="14" t="s">
        <v>76</v>
      </c>
      <c r="IF101" s="14" t="s">
        <v>77</v>
      </c>
      <c r="IG101" s="14" t="s">
        <v>78</v>
      </c>
      <c r="IH101" s="14" t="s">
        <v>79</v>
      </c>
      <c r="II101" s="14" t="s">
        <v>80</v>
      </c>
      <c r="IJ101" s="14" t="s">
        <v>81</v>
      </c>
      <c r="IK101" s="14" t="s">
        <v>82</v>
      </c>
      <c r="IL101" s="14" t="s">
        <v>83</v>
      </c>
      <c r="IM101" s="14" t="s">
        <v>84</v>
      </c>
      <c r="IN101" s="14" t="s">
        <v>85</v>
      </c>
      <c r="IO101" s="14" t="s">
        <v>86</v>
      </c>
      <c r="IP101" s="14" t="s">
        <v>87</v>
      </c>
      <c r="IQ101" s="14" t="s">
        <v>88</v>
      </c>
      <c r="IR101" s="14" t="s">
        <v>89</v>
      </c>
      <c r="IS101" s="14" t="s">
        <v>90</v>
      </c>
      <c r="IT101" s="14" t="s">
        <v>91</v>
      </c>
      <c r="IU101" s="14" t="s">
        <v>645</v>
      </c>
      <c r="IV101" s="14" t="s">
        <v>93</v>
      </c>
      <c r="IW101" s="14" t="s">
        <v>94</v>
      </c>
      <c r="IX101" s="14" t="s">
        <v>95</v>
      </c>
      <c r="IY101" s="14" t="s">
        <v>96</v>
      </c>
      <c r="IZ101" s="14" t="s">
        <v>97</v>
      </c>
      <c r="JA101" s="14" t="s">
        <v>98</v>
      </c>
      <c r="JB101" s="14" t="s">
        <v>99</v>
      </c>
      <c r="JC101" s="14" t="s">
        <v>100</v>
      </c>
      <c r="JD101" s="14" t="s">
        <v>101</v>
      </c>
      <c r="JE101" s="14" t="s">
        <v>102</v>
      </c>
      <c r="JF101" s="14" t="s">
        <v>646</v>
      </c>
      <c r="JH101" s="14" t="s">
        <v>105</v>
      </c>
      <c r="JI101" s="14" t="s">
        <v>107</v>
      </c>
      <c r="JJ101" s="14" t="s">
        <v>108</v>
      </c>
      <c r="JK101" s="14" t="s">
        <v>109</v>
      </c>
      <c r="JL101" s="14" t="s">
        <v>110</v>
      </c>
      <c r="JM101" s="14" t="s">
        <v>111</v>
      </c>
      <c r="JN101" s="14" t="s">
        <v>112</v>
      </c>
      <c r="JO101" s="14" t="s">
        <v>113</v>
      </c>
      <c r="JP101" s="14" t="s">
        <v>114</v>
      </c>
      <c r="JQ101" s="14" t="s">
        <v>115</v>
      </c>
      <c r="JR101" s="14" t="s">
        <v>116</v>
      </c>
      <c r="JS101" s="14" t="s">
        <v>117</v>
      </c>
      <c r="JT101" s="14" t="s">
        <v>118</v>
      </c>
      <c r="JU101" s="14" t="s">
        <v>119</v>
      </c>
      <c r="JV101" s="14" t="s">
        <v>120</v>
      </c>
      <c r="JW101" s="14" t="s">
        <v>121</v>
      </c>
      <c r="JX101" s="14" t="s">
        <v>122</v>
      </c>
      <c r="JY101" s="14" t="s">
        <v>123</v>
      </c>
      <c r="JZ101" s="14" t="s">
        <v>124</v>
      </c>
      <c r="KA101" s="14" t="s">
        <v>125</v>
      </c>
      <c r="KB101" s="14" t="s">
        <v>126</v>
      </c>
      <c r="KC101" s="14" t="s">
        <v>127</v>
      </c>
      <c r="KD101" s="14" t="s">
        <v>128</v>
      </c>
      <c r="KE101" s="14" t="s">
        <v>129</v>
      </c>
      <c r="KF101" s="14" t="s">
        <v>130</v>
      </c>
      <c r="KG101" s="14" t="s">
        <v>131</v>
      </c>
      <c r="KH101" s="14" t="s">
        <v>132</v>
      </c>
      <c r="KI101" s="14" t="s">
        <v>56</v>
      </c>
      <c r="KJ101" s="14" t="s">
        <v>134</v>
      </c>
      <c r="KK101" s="14" t="s">
        <v>135</v>
      </c>
      <c r="KM101" s="14" t="s">
        <v>137</v>
      </c>
      <c r="KN101" s="14" t="s">
        <v>138</v>
      </c>
      <c r="KO101" s="14" t="s">
        <v>139</v>
      </c>
      <c r="KP101" s="14" t="s">
        <v>140</v>
      </c>
      <c r="KQ101" s="20"/>
      <c r="KR101" s="20"/>
      <c r="LA101" s="20"/>
      <c r="LB101" s="21" t="s">
        <v>148</v>
      </c>
      <c r="LC101" s="21" t="s">
        <v>149</v>
      </c>
      <c r="LD101" s="21" t="s">
        <v>9</v>
      </c>
      <c r="LE101" s="21" t="s">
        <v>150</v>
      </c>
      <c r="LF101" s="21" t="s">
        <v>151</v>
      </c>
      <c r="LG101" s="21" t="s">
        <v>488</v>
      </c>
      <c r="LH101" s="21" t="s">
        <v>153</v>
      </c>
      <c r="LI101" s="21" t="s">
        <v>7</v>
      </c>
      <c r="LJ101" s="21" t="s">
        <v>7</v>
      </c>
      <c r="LK101" s="21" t="s">
        <v>156</v>
      </c>
      <c r="LL101" s="21" t="s">
        <v>157</v>
      </c>
      <c r="LM101" s="21" t="s">
        <v>6</v>
      </c>
      <c r="LN101" s="21" t="s">
        <v>20</v>
      </c>
      <c r="LO101" s="21" t="s">
        <v>159</v>
      </c>
      <c r="LP101" s="21" t="s">
        <v>160</v>
      </c>
      <c r="LQ101" s="21" t="s">
        <v>161</v>
      </c>
      <c r="LR101" s="21" t="s">
        <v>162</v>
      </c>
      <c r="LS101" s="21" t="s">
        <v>163</v>
      </c>
      <c r="LT101" s="21" t="s">
        <v>164</v>
      </c>
      <c r="LU101" s="21" t="s">
        <v>165</v>
      </c>
      <c r="LV101" s="21" t="s">
        <v>166</v>
      </c>
      <c r="LW101" s="21" t="s">
        <v>167</v>
      </c>
      <c r="LX101" s="21" t="s">
        <v>168</v>
      </c>
      <c r="LY101" s="21" t="s">
        <v>169</v>
      </c>
      <c r="LZ101" s="21" t="s">
        <v>170</v>
      </c>
      <c r="MA101" s="21" t="s">
        <v>171</v>
      </c>
      <c r="MB101" s="21" t="s">
        <v>172</v>
      </c>
      <c r="MC101" s="21" t="s">
        <v>173</v>
      </c>
      <c r="MD101" s="21" t="s">
        <v>10</v>
      </c>
      <c r="ME101" s="21" t="s">
        <v>174</v>
      </c>
      <c r="MF101" s="21" t="s">
        <v>175</v>
      </c>
      <c r="MG101" s="21" t="s">
        <v>176</v>
      </c>
      <c r="MH101" s="21" t="s">
        <v>177</v>
      </c>
      <c r="MI101" s="21" t="s">
        <v>178</v>
      </c>
    </row>
    <row r="102" spans="1:347" s="14" customFormat="1" x14ac:dyDescent="0.25">
      <c r="A102" s="14" t="s">
        <v>736</v>
      </c>
      <c r="C102" s="21"/>
      <c r="Y102" s="22"/>
      <c r="BV102" s="14" t="s">
        <v>649</v>
      </c>
      <c r="BW102" s="14" t="s">
        <v>650</v>
      </c>
      <c r="BX102" s="14" t="s">
        <v>651</v>
      </c>
      <c r="BY102" s="14" t="s">
        <v>652</v>
      </c>
      <c r="BZ102" s="14" t="s">
        <v>650</v>
      </c>
      <c r="CA102" s="14" t="s">
        <v>653</v>
      </c>
      <c r="CB102" s="14" t="s">
        <v>654</v>
      </c>
      <c r="CC102" s="14" t="s">
        <v>655</v>
      </c>
      <c r="CD102" s="14" t="s">
        <v>650</v>
      </c>
      <c r="CE102" s="14" t="s">
        <v>650</v>
      </c>
      <c r="CF102" s="14" t="s">
        <v>656</v>
      </c>
      <c r="CG102" s="14" t="s">
        <v>657</v>
      </c>
      <c r="CH102" s="14" t="s">
        <v>658</v>
      </c>
      <c r="CI102" s="14" t="s">
        <v>659</v>
      </c>
      <c r="CJ102" s="14" t="s">
        <v>651</v>
      </c>
      <c r="CK102" s="14" t="s">
        <v>660</v>
      </c>
      <c r="CL102" s="14" t="s">
        <v>661</v>
      </c>
      <c r="CM102" s="14" t="s">
        <v>662</v>
      </c>
      <c r="CN102" s="14" t="s">
        <v>663</v>
      </c>
      <c r="CO102" s="14" t="s">
        <v>664</v>
      </c>
      <c r="CQ102" s="14" t="s">
        <v>665</v>
      </c>
      <c r="CR102" s="14" t="s">
        <v>666</v>
      </c>
      <c r="CS102" s="14" t="s">
        <v>667</v>
      </c>
      <c r="CT102" s="14" t="s">
        <v>664</v>
      </c>
      <c r="CU102" s="14" t="s">
        <v>668</v>
      </c>
      <c r="CV102" s="14" t="s">
        <v>663</v>
      </c>
      <c r="CW102" s="14" t="s">
        <v>664</v>
      </c>
      <c r="CX102" s="14" t="s">
        <v>664</v>
      </c>
      <c r="CY102" s="14" t="s">
        <v>650</v>
      </c>
      <c r="CZ102" s="14" t="s">
        <v>658</v>
      </c>
      <c r="DA102" s="14" t="s">
        <v>669</v>
      </c>
      <c r="DB102" s="14" t="s">
        <v>667</v>
      </c>
      <c r="DC102" s="14" t="s">
        <v>661</v>
      </c>
      <c r="DD102" s="14" t="s">
        <v>670</v>
      </c>
      <c r="DE102" s="14" t="s">
        <v>671</v>
      </c>
      <c r="DF102" s="14" t="s">
        <v>672</v>
      </c>
      <c r="DG102" s="14" t="s">
        <v>654</v>
      </c>
      <c r="DH102" s="14" t="s">
        <v>673</v>
      </c>
      <c r="DI102" s="14" t="s">
        <v>674</v>
      </c>
      <c r="DJ102" s="14" t="s">
        <v>675</v>
      </c>
      <c r="DK102" s="14" t="s">
        <v>676</v>
      </c>
      <c r="DL102" s="14" t="s">
        <v>677</v>
      </c>
      <c r="DM102" s="14" t="s">
        <v>678</v>
      </c>
      <c r="DN102" s="14" t="s">
        <v>679</v>
      </c>
      <c r="DP102" s="14" t="s">
        <v>650</v>
      </c>
      <c r="DQ102" s="14" t="s">
        <v>656</v>
      </c>
      <c r="DR102" s="14" t="s">
        <v>678</v>
      </c>
      <c r="DS102" s="14" t="s">
        <v>680</v>
      </c>
      <c r="DT102" s="14" t="s">
        <v>678</v>
      </c>
      <c r="DU102" s="14" t="s">
        <v>681</v>
      </c>
      <c r="DV102" s="14" t="s">
        <v>682</v>
      </c>
      <c r="DW102" s="14" t="s">
        <v>683</v>
      </c>
      <c r="DX102" s="14" t="s">
        <v>667</v>
      </c>
      <c r="DY102" s="14" t="s">
        <v>663</v>
      </c>
      <c r="DZ102" s="14" t="s">
        <v>660</v>
      </c>
      <c r="EA102" s="14" t="s">
        <v>684</v>
      </c>
      <c r="EB102" s="14" t="s">
        <v>664</v>
      </c>
      <c r="EC102" s="14" t="s">
        <v>685</v>
      </c>
      <c r="ED102" s="14" t="s">
        <v>653</v>
      </c>
      <c r="EE102" s="14" t="s">
        <v>664</v>
      </c>
      <c r="EF102" s="14" t="s">
        <v>661</v>
      </c>
      <c r="EG102" s="14" t="s">
        <v>658</v>
      </c>
      <c r="EH102" s="14" t="s">
        <v>686</v>
      </c>
      <c r="EI102" s="14" t="s">
        <v>660</v>
      </c>
      <c r="EJ102" s="14" t="s">
        <v>669</v>
      </c>
      <c r="EK102" s="14" t="s">
        <v>662</v>
      </c>
      <c r="EL102" s="14" t="s">
        <v>655</v>
      </c>
      <c r="EM102" s="14" t="s">
        <v>650</v>
      </c>
      <c r="EN102" s="14" t="s">
        <v>687</v>
      </c>
      <c r="EO102" s="14" t="s">
        <v>688</v>
      </c>
      <c r="EP102" s="14" t="s">
        <v>689</v>
      </c>
      <c r="EQ102" s="14" t="s">
        <v>660</v>
      </c>
      <c r="ER102" s="14" t="s">
        <v>690</v>
      </c>
      <c r="ES102" s="14" t="s">
        <v>691</v>
      </c>
      <c r="ET102" s="14" t="s">
        <v>692</v>
      </c>
      <c r="EU102" s="14" t="s">
        <v>693</v>
      </c>
      <c r="EV102" s="14" t="s">
        <v>694</v>
      </c>
      <c r="EW102" s="14" t="s">
        <v>693</v>
      </c>
      <c r="EX102" s="14" t="s">
        <v>663</v>
      </c>
      <c r="EY102" s="14" t="s">
        <v>695</v>
      </c>
      <c r="EZ102" s="14" t="s">
        <v>696</v>
      </c>
      <c r="FA102" s="14" t="s">
        <v>697</v>
      </c>
      <c r="FB102" s="14" t="s">
        <v>698</v>
      </c>
      <c r="FC102" s="14" t="s">
        <v>660</v>
      </c>
      <c r="FD102" s="14" t="s">
        <v>650</v>
      </c>
      <c r="FE102" s="14" t="s">
        <v>699</v>
      </c>
      <c r="FF102" s="14" t="s">
        <v>694</v>
      </c>
      <c r="FG102" s="14" t="s">
        <v>700</v>
      </c>
      <c r="FH102" s="14" t="s">
        <v>701</v>
      </c>
      <c r="FI102" s="14" t="s">
        <v>702</v>
      </c>
      <c r="FJ102" s="14" t="s">
        <v>703</v>
      </c>
      <c r="FK102" s="14" t="s">
        <v>664</v>
      </c>
      <c r="FL102" s="14" t="s">
        <v>663</v>
      </c>
      <c r="FM102" s="14" t="s">
        <v>665</v>
      </c>
      <c r="FN102" s="14" t="s">
        <v>704</v>
      </c>
      <c r="FO102" s="14" t="s">
        <v>663</v>
      </c>
      <c r="FP102" s="14" t="s">
        <v>669</v>
      </c>
      <c r="FQ102" s="14" t="s">
        <v>650</v>
      </c>
      <c r="FR102" s="14" t="s">
        <v>656</v>
      </c>
      <c r="FS102" s="14" t="s">
        <v>656</v>
      </c>
      <c r="FT102" s="14" t="s">
        <v>705</v>
      </c>
      <c r="FU102" s="14" t="s">
        <v>663</v>
      </c>
      <c r="FV102" s="14" t="s">
        <v>651</v>
      </c>
      <c r="FW102" s="14" t="s">
        <v>659</v>
      </c>
      <c r="FX102" s="14" t="s">
        <v>650</v>
      </c>
      <c r="FY102" s="14" t="s">
        <v>678</v>
      </c>
      <c r="FZ102" s="14" t="s">
        <v>650</v>
      </c>
      <c r="GB102" s="14" t="s">
        <v>682</v>
      </c>
      <c r="GC102" s="14" t="s">
        <v>687</v>
      </c>
      <c r="GD102" s="14" t="s">
        <v>707</v>
      </c>
      <c r="GE102" s="14" t="s">
        <v>650</v>
      </c>
      <c r="GF102" s="20"/>
      <c r="GG102" s="20"/>
      <c r="GH102" s="14" t="s">
        <v>649</v>
      </c>
      <c r="GI102" s="14" t="s">
        <v>650</v>
      </c>
      <c r="GJ102" s="14" t="s">
        <v>651</v>
      </c>
      <c r="GK102" s="14" t="s">
        <v>652</v>
      </c>
      <c r="GL102" s="14" t="s">
        <v>650</v>
      </c>
      <c r="GM102" s="14" t="s">
        <v>653</v>
      </c>
      <c r="GN102" s="14" t="s">
        <v>654</v>
      </c>
      <c r="GO102" s="14" t="s">
        <v>655</v>
      </c>
      <c r="GP102" s="14" t="s">
        <v>650</v>
      </c>
      <c r="GQ102" s="14" t="s">
        <v>650</v>
      </c>
      <c r="GR102" s="14" t="s">
        <v>656</v>
      </c>
      <c r="GS102" s="14" t="s">
        <v>657</v>
      </c>
      <c r="GT102" s="14" t="s">
        <v>658</v>
      </c>
      <c r="GU102" s="14" t="s">
        <v>659</v>
      </c>
      <c r="GV102" s="14" t="s">
        <v>651</v>
      </c>
      <c r="GW102" s="14" t="s">
        <v>660</v>
      </c>
      <c r="GX102" s="14" t="s">
        <v>661</v>
      </c>
      <c r="GY102" s="14" t="s">
        <v>662</v>
      </c>
      <c r="GZ102" s="14" t="s">
        <v>663</v>
      </c>
      <c r="HA102" s="14" t="s">
        <v>664</v>
      </c>
      <c r="HC102" s="14" t="s">
        <v>665</v>
      </c>
      <c r="HD102" s="14" t="s">
        <v>666</v>
      </c>
      <c r="HE102" s="14" t="s">
        <v>667</v>
      </c>
      <c r="HF102" s="14" t="s">
        <v>664</v>
      </c>
      <c r="HG102" s="14" t="s">
        <v>668</v>
      </c>
      <c r="HH102" s="14" t="s">
        <v>663</v>
      </c>
      <c r="HI102" s="14" t="s">
        <v>664</v>
      </c>
      <c r="HJ102" s="14" t="s">
        <v>664</v>
      </c>
      <c r="HK102" s="14" t="s">
        <v>650</v>
      </c>
      <c r="HL102" s="14" t="s">
        <v>658</v>
      </c>
      <c r="HM102" s="14" t="s">
        <v>669</v>
      </c>
      <c r="HN102" s="14" t="s">
        <v>667</v>
      </c>
      <c r="HO102" s="14" t="s">
        <v>661</v>
      </c>
      <c r="HP102" s="14" t="s">
        <v>670</v>
      </c>
      <c r="HQ102" s="14" t="s">
        <v>671</v>
      </c>
      <c r="HR102" s="14" t="s">
        <v>672</v>
      </c>
      <c r="HS102" s="14" t="s">
        <v>654</v>
      </c>
      <c r="HT102" s="14" t="s">
        <v>673</v>
      </c>
      <c r="HU102" s="14" t="s">
        <v>674</v>
      </c>
      <c r="HV102" s="14" t="s">
        <v>675</v>
      </c>
      <c r="HW102" s="14" t="s">
        <v>676</v>
      </c>
      <c r="HX102" s="14" t="s">
        <v>677</v>
      </c>
      <c r="HY102" s="14" t="s">
        <v>678</v>
      </c>
      <c r="HZ102" s="14" t="s">
        <v>679</v>
      </c>
      <c r="IB102" s="14" t="s">
        <v>650</v>
      </c>
      <c r="IC102" s="14" t="s">
        <v>656</v>
      </c>
      <c r="ID102" s="14" t="s">
        <v>678</v>
      </c>
      <c r="IE102" s="14" t="s">
        <v>680</v>
      </c>
      <c r="IF102" s="14" t="s">
        <v>678</v>
      </c>
      <c r="IG102" s="14" t="s">
        <v>681</v>
      </c>
      <c r="IH102" s="14" t="s">
        <v>682</v>
      </c>
      <c r="II102" s="14" t="s">
        <v>683</v>
      </c>
      <c r="IJ102" s="14" t="s">
        <v>667</v>
      </c>
      <c r="IK102" s="14" t="s">
        <v>663</v>
      </c>
      <c r="IL102" s="14" t="s">
        <v>660</v>
      </c>
      <c r="IM102" s="14" t="s">
        <v>684</v>
      </c>
      <c r="IN102" s="14" t="s">
        <v>664</v>
      </c>
      <c r="IO102" s="14" t="s">
        <v>685</v>
      </c>
      <c r="IP102" s="14" t="s">
        <v>653</v>
      </c>
      <c r="IQ102" s="14" t="s">
        <v>664</v>
      </c>
      <c r="IR102" s="14" t="s">
        <v>661</v>
      </c>
      <c r="IS102" s="14" t="s">
        <v>658</v>
      </c>
      <c r="IT102" s="14" t="s">
        <v>686</v>
      </c>
      <c r="IU102" s="14" t="s">
        <v>660</v>
      </c>
      <c r="IV102" s="14" t="s">
        <v>669</v>
      </c>
      <c r="IW102" s="14" t="s">
        <v>662</v>
      </c>
      <c r="IX102" s="14" t="s">
        <v>655</v>
      </c>
      <c r="IY102" s="14" t="s">
        <v>650</v>
      </c>
      <c r="IZ102" s="14" t="s">
        <v>687</v>
      </c>
      <c r="JA102" s="14" t="s">
        <v>688</v>
      </c>
      <c r="JB102" s="14" t="s">
        <v>689</v>
      </c>
      <c r="JC102" s="14" t="s">
        <v>660</v>
      </c>
      <c r="JD102" s="14" t="s">
        <v>690</v>
      </c>
      <c r="JE102" s="14" t="s">
        <v>691</v>
      </c>
      <c r="JF102" s="14" t="s">
        <v>692</v>
      </c>
      <c r="JH102" s="14" t="s">
        <v>694</v>
      </c>
      <c r="JI102" s="14" t="s">
        <v>663</v>
      </c>
      <c r="JJ102" s="14" t="s">
        <v>695</v>
      </c>
      <c r="JK102" s="14" t="s">
        <v>696</v>
      </c>
      <c r="JL102" s="14" t="s">
        <v>697</v>
      </c>
      <c r="JM102" s="14" t="s">
        <v>698</v>
      </c>
      <c r="JN102" s="14" t="s">
        <v>660</v>
      </c>
      <c r="JO102" s="14" t="s">
        <v>650</v>
      </c>
      <c r="JP102" s="14" t="s">
        <v>699</v>
      </c>
      <c r="JQ102" s="14" t="s">
        <v>694</v>
      </c>
      <c r="JR102" s="14" t="s">
        <v>700</v>
      </c>
      <c r="JS102" s="14" t="s">
        <v>701</v>
      </c>
      <c r="JT102" s="14" t="s">
        <v>702</v>
      </c>
      <c r="JU102" s="14" t="s">
        <v>703</v>
      </c>
      <c r="JV102" s="14" t="s">
        <v>664</v>
      </c>
      <c r="JW102" s="14" t="s">
        <v>663</v>
      </c>
      <c r="JX102" s="14" t="s">
        <v>665</v>
      </c>
      <c r="JY102" s="14" t="s">
        <v>704</v>
      </c>
      <c r="JZ102" s="14" t="s">
        <v>663</v>
      </c>
      <c r="KA102" s="14" t="s">
        <v>669</v>
      </c>
      <c r="KB102" s="14" t="s">
        <v>650</v>
      </c>
      <c r="KC102" s="14" t="s">
        <v>656</v>
      </c>
      <c r="KD102" s="14" t="s">
        <v>656</v>
      </c>
      <c r="KE102" s="14" t="s">
        <v>705</v>
      </c>
      <c r="KF102" s="14" t="s">
        <v>663</v>
      </c>
      <c r="KG102" s="14" t="s">
        <v>651</v>
      </c>
      <c r="KH102" s="14" t="s">
        <v>659</v>
      </c>
      <c r="KI102" s="14" t="s">
        <v>650</v>
      </c>
      <c r="KJ102" s="14" t="s">
        <v>678</v>
      </c>
      <c r="KK102" s="14" t="s">
        <v>650</v>
      </c>
      <c r="KM102" s="14" t="s">
        <v>682</v>
      </c>
      <c r="KN102" s="14" t="s">
        <v>687</v>
      </c>
      <c r="KO102" s="14" t="s">
        <v>707</v>
      </c>
      <c r="KP102" s="14" t="s">
        <v>650</v>
      </c>
      <c r="KQ102" s="20"/>
      <c r="KR102" s="20"/>
      <c r="LA102" s="20"/>
      <c r="LB102" s="21"/>
      <c r="LC102" s="21" t="s">
        <v>708</v>
      </c>
      <c r="LD102" s="21" t="s">
        <v>709</v>
      </c>
      <c r="LE102" s="21" t="s">
        <v>710</v>
      </c>
      <c r="LF102" s="21" t="s">
        <v>711</v>
      </c>
      <c r="LG102" s="21" t="s">
        <v>712</v>
      </c>
      <c r="LH102" s="21" t="s">
        <v>713</v>
      </c>
      <c r="LI102" s="21" t="s">
        <v>714</v>
      </c>
      <c r="LJ102" s="21" t="s">
        <v>714</v>
      </c>
      <c r="LK102" s="21" t="s">
        <v>715</v>
      </c>
      <c r="LL102" s="21" t="s">
        <v>716</v>
      </c>
      <c r="LM102" s="21" t="s">
        <v>717</v>
      </c>
      <c r="LN102" s="21" t="s">
        <v>718</v>
      </c>
      <c r="LO102" s="21" t="s">
        <v>719</v>
      </c>
      <c r="LP102" s="21" t="s">
        <v>720</v>
      </c>
      <c r="LQ102" s="21" t="s">
        <v>721</v>
      </c>
      <c r="LR102" s="21" t="s">
        <v>722</v>
      </c>
      <c r="LS102" s="21" t="s">
        <v>723</v>
      </c>
      <c r="LT102" s="21" t="s">
        <v>714</v>
      </c>
      <c r="LU102" s="21" t="s">
        <v>724</v>
      </c>
      <c r="LV102" s="21" t="s">
        <v>725</v>
      </c>
      <c r="LW102" s="21" t="s">
        <v>726</v>
      </c>
      <c r="LX102" s="21" t="s">
        <v>727</v>
      </c>
      <c r="LY102" s="21" t="s">
        <v>714</v>
      </c>
      <c r="LZ102" s="21" t="s">
        <v>727</v>
      </c>
      <c r="MA102" s="21" t="s">
        <v>727</v>
      </c>
      <c r="MB102" s="21" t="s">
        <v>728</v>
      </c>
      <c r="MC102" s="21" t="s">
        <v>729</v>
      </c>
      <c r="MD102" s="21" t="s">
        <v>730</v>
      </c>
      <c r="ME102" s="21" t="s">
        <v>731</v>
      </c>
      <c r="MF102" s="21" t="s">
        <v>732</v>
      </c>
      <c r="MG102" s="21" t="s">
        <v>733</v>
      </c>
      <c r="MH102" s="21" t="s">
        <v>730</v>
      </c>
      <c r="MI102" s="21" t="s">
        <v>727</v>
      </c>
    </row>
    <row r="103" spans="1:347" s="14" customFormat="1" x14ac:dyDescent="0.25">
      <c r="A103" s="14" t="s">
        <v>737</v>
      </c>
      <c r="C103" s="21"/>
      <c r="Y103" s="22"/>
      <c r="BV103" s="14" t="s">
        <v>738</v>
      </c>
      <c r="BW103" s="14" t="s">
        <v>738</v>
      </c>
      <c r="BX103" s="14" t="s">
        <v>738</v>
      </c>
      <c r="BY103" s="14" t="s">
        <v>738</v>
      </c>
      <c r="BZ103" s="14" t="s">
        <v>738</v>
      </c>
      <c r="CA103" s="14" t="s">
        <v>738</v>
      </c>
      <c r="CB103" s="14" t="s">
        <v>738</v>
      </c>
      <c r="CC103" s="14" t="s">
        <v>738</v>
      </c>
      <c r="CD103" s="14" t="s">
        <v>738</v>
      </c>
      <c r="CE103" s="14" t="s">
        <v>738</v>
      </c>
      <c r="CF103" s="14" t="s">
        <v>738</v>
      </c>
      <c r="CG103" s="14" t="s">
        <v>738</v>
      </c>
      <c r="CH103" s="14" t="s">
        <v>738</v>
      </c>
      <c r="CI103" s="14" t="s">
        <v>738</v>
      </c>
      <c r="CJ103" s="14" t="s">
        <v>738</v>
      </c>
      <c r="CK103" s="14" t="s">
        <v>738</v>
      </c>
      <c r="CL103" s="14" t="s">
        <v>738</v>
      </c>
      <c r="CM103" s="14" t="s">
        <v>738</v>
      </c>
      <c r="CN103" s="14" t="s">
        <v>738</v>
      </c>
      <c r="CO103" s="14" t="s">
        <v>738</v>
      </c>
      <c r="CP103" s="14" t="s">
        <v>738</v>
      </c>
      <c r="CQ103" s="14" t="s">
        <v>738</v>
      </c>
      <c r="CR103" s="14" t="s">
        <v>738</v>
      </c>
      <c r="CS103" s="14" t="s">
        <v>738</v>
      </c>
      <c r="CT103" s="14" t="s">
        <v>738</v>
      </c>
      <c r="CU103" s="14" t="s">
        <v>738</v>
      </c>
      <c r="CV103" s="14" t="s">
        <v>738</v>
      </c>
      <c r="CW103" s="14" t="s">
        <v>738</v>
      </c>
      <c r="CX103" s="14" t="s">
        <v>738</v>
      </c>
      <c r="CY103" s="14" t="s">
        <v>738</v>
      </c>
      <c r="CZ103" s="14" t="s">
        <v>738</v>
      </c>
      <c r="DA103" s="14" t="s">
        <v>738</v>
      </c>
      <c r="DB103" s="14" t="s">
        <v>738</v>
      </c>
      <c r="DC103" s="14" t="s">
        <v>738</v>
      </c>
      <c r="DD103" s="14" t="s">
        <v>738</v>
      </c>
      <c r="DE103" s="14" t="s">
        <v>738</v>
      </c>
      <c r="DF103" s="14" t="s">
        <v>738</v>
      </c>
      <c r="DG103" s="14" t="s">
        <v>738</v>
      </c>
      <c r="DH103" s="14" t="s">
        <v>738</v>
      </c>
      <c r="DI103" s="14" t="s">
        <v>738</v>
      </c>
      <c r="DJ103" s="14" t="s">
        <v>738</v>
      </c>
      <c r="DK103" s="14" t="s">
        <v>738</v>
      </c>
      <c r="DL103" s="14" t="s">
        <v>738</v>
      </c>
      <c r="DM103" s="14" t="s">
        <v>738</v>
      </c>
      <c r="DN103" s="14" t="s">
        <v>738</v>
      </c>
      <c r="DP103" s="14" t="s">
        <v>738</v>
      </c>
      <c r="DQ103" s="14" t="s">
        <v>738</v>
      </c>
      <c r="DR103" s="14" t="s">
        <v>738</v>
      </c>
      <c r="DS103" s="14" t="s">
        <v>738</v>
      </c>
      <c r="DT103" s="14" t="s">
        <v>738</v>
      </c>
      <c r="DU103" s="14" t="s">
        <v>738</v>
      </c>
      <c r="DV103" s="14" t="s">
        <v>738</v>
      </c>
      <c r="DW103" s="14" t="s">
        <v>738</v>
      </c>
      <c r="DX103" s="14" t="s">
        <v>738</v>
      </c>
      <c r="DY103" s="14" t="s">
        <v>738</v>
      </c>
      <c r="DZ103" s="14" t="s">
        <v>738</v>
      </c>
      <c r="EA103" s="14" t="s">
        <v>738</v>
      </c>
      <c r="EB103" s="14" t="s">
        <v>738</v>
      </c>
      <c r="EC103" s="14" t="s">
        <v>738</v>
      </c>
      <c r="ED103" s="14" t="s">
        <v>738</v>
      </c>
      <c r="EE103" s="14" t="s">
        <v>738</v>
      </c>
      <c r="EF103" s="14" t="s">
        <v>738</v>
      </c>
      <c r="EG103" s="14" t="s">
        <v>738</v>
      </c>
      <c r="EH103" s="14" t="s">
        <v>738</v>
      </c>
      <c r="EI103" s="14" t="s">
        <v>738</v>
      </c>
      <c r="EJ103" s="14" t="s">
        <v>738</v>
      </c>
      <c r="EK103" s="14" t="s">
        <v>738</v>
      </c>
      <c r="EL103" s="14" t="s">
        <v>738</v>
      </c>
      <c r="EM103" s="14" t="s">
        <v>738</v>
      </c>
      <c r="EN103" s="14" t="s">
        <v>738</v>
      </c>
      <c r="EO103" s="14" t="s">
        <v>738</v>
      </c>
      <c r="EP103" s="14" t="s">
        <v>738</v>
      </c>
      <c r="EQ103" s="14" t="s">
        <v>738</v>
      </c>
      <c r="ER103" s="14" t="s">
        <v>738</v>
      </c>
      <c r="ES103" s="14" t="s">
        <v>738</v>
      </c>
      <c r="ET103" s="14" t="s">
        <v>738</v>
      </c>
      <c r="EU103" s="14" t="s">
        <v>738</v>
      </c>
      <c r="EV103" s="14" t="s">
        <v>738</v>
      </c>
      <c r="EW103" s="14" t="s">
        <v>738</v>
      </c>
      <c r="EX103" s="14" t="s">
        <v>738</v>
      </c>
      <c r="EY103" s="14" t="s">
        <v>738</v>
      </c>
      <c r="EZ103" s="14" t="s">
        <v>738</v>
      </c>
      <c r="FA103" s="14" t="s">
        <v>738</v>
      </c>
      <c r="FB103" s="14" t="s">
        <v>738</v>
      </c>
      <c r="FC103" s="14" t="s">
        <v>738</v>
      </c>
      <c r="FD103" s="14" t="s">
        <v>738</v>
      </c>
      <c r="FE103" s="14" t="s">
        <v>738</v>
      </c>
      <c r="FF103" s="14" t="s">
        <v>738</v>
      </c>
      <c r="FG103" s="14" t="s">
        <v>738</v>
      </c>
      <c r="FH103" s="14" t="s">
        <v>738</v>
      </c>
      <c r="FI103" s="14" t="s">
        <v>738</v>
      </c>
      <c r="FJ103" s="14" t="s">
        <v>738</v>
      </c>
      <c r="FK103" s="14" t="s">
        <v>738</v>
      </c>
      <c r="FL103" s="14" t="s">
        <v>738</v>
      </c>
      <c r="FM103" s="14" t="s">
        <v>738</v>
      </c>
      <c r="FN103" s="14" t="s">
        <v>738</v>
      </c>
      <c r="FO103" s="14" t="s">
        <v>738</v>
      </c>
      <c r="FP103" s="14" t="s">
        <v>738</v>
      </c>
      <c r="FQ103" s="14" t="s">
        <v>738</v>
      </c>
      <c r="FR103" s="14" t="s">
        <v>738</v>
      </c>
      <c r="FS103" s="14" t="s">
        <v>738</v>
      </c>
      <c r="FT103" s="14" t="s">
        <v>738</v>
      </c>
      <c r="FU103" s="14" t="s">
        <v>738</v>
      </c>
      <c r="FV103" s="14" t="s">
        <v>738</v>
      </c>
      <c r="FW103" s="14" t="s">
        <v>738</v>
      </c>
      <c r="FX103" s="14" t="s">
        <v>738</v>
      </c>
      <c r="FY103" s="14" t="s">
        <v>738</v>
      </c>
      <c r="FZ103" s="14" t="s">
        <v>738</v>
      </c>
      <c r="GB103" s="14" t="s">
        <v>738</v>
      </c>
      <c r="GC103" s="14" t="s">
        <v>738</v>
      </c>
      <c r="GD103" s="14" t="s">
        <v>738</v>
      </c>
      <c r="GE103" s="14" t="s">
        <v>738</v>
      </c>
      <c r="GF103" s="20"/>
      <c r="GG103" s="20"/>
      <c r="GH103" s="14" t="s">
        <v>738</v>
      </c>
      <c r="GI103" s="14" t="s">
        <v>738</v>
      </c>
      <c r="GJ103" s="14" t="s">
        <v>738</v>
      </c>
      <c r="GK103" s="14" t="s">
        <v>738</v>
      </c>
      <c r="GL103" s="14" t="s">
        <v>738</v>
      </c>
      <c r="GM103" s="14" t="s">
        <v>738</v>
      </c>
      <c r="GN103" s="14" t="s">
        <v>738</v>
      </c>
      <c r="GO103" s="14" t="s">
        <v>738</v>
      </c>
      <c r="GP103" s="14" t="s">
        <v>738</v>
      </c>
      <c r="GQ103" s="14" t="s">
        <v>738</v>
      </c>
      <c r="GR103" s="14" t="s">
        <v>738</v>
      </c>
      <c r="GS103" s="14" t="s">
        <v>738</v>
      </c>
      <c r="GT103" s="14" t="s">
        <v>738</v>
      </c>
      <c r="GU103" s="14" t="s">
        <v>738</v>
      </c>
      <c r="GV103" s="14" t="s">
        <v>738</v>
      </c>
      <c r="GW103" s="14" t="s">
        <v>738</v>
      </c>
      <c r="GX103" s="14" t="s">
        <v>738</v>
      </c>
      <c r="GY103" s="14" t="s">
        <v>738</v>
      </c>
      <c r="GZ103" s="14" t="s">
        <v>738</v>
      </c>
      <c r="HA103" s="14" t="s">
        <v>738</v>
      </c>
      <c r="HB103" s="14" t="s">
        <v>738</v>
      </c>
      <c r="HC103" s="14" t="s">
        <v>738</v>
      </c>
      <c r="HD103" s="14" t="s">
        <v>738</v>
      </c>
      <c r="HE103" s="14" t="s">
        <v>738</v>
      </c>
      <c r="HF103" s="14" t="s">
        <v>738</v>
      </c>
      <c r="HG103" s="14" t="s">
        <v>738</v>
      </c>
      <c r="HH103" s="14" t="s">
        <v>738</v>
      </c>
      <c r="HI103" s="14" t="s">
        <v>738</v>
      </c>
      <c r="HJ103" s="14" t="s">
        <v>738</v>
      </c>
      <c r="HK103" s="14" t="s">
        <v>738</v>
      </c>
      <c r="HL103" s="14" t="s">
        <v>738</v>
      </c>
      <c r="HM103" s="14" t="s">
        <v>738</v>
      </c>
      <c r="HN103" s="14" t="s">
        <v>738</v>
      </c>
      <c r="HO103" s="14" t="s">
        <v>738</v>
      </c>
      <c r="HP103" s="14" t="s">
        <v>738</v>
      </c>
      <c r="HQ103" s="14" t="s">
        <v>738</v>
      </c>
      <c r="HR103" s="14" t="s">
        <v>738</v>
      </c>
      <c r="HS103" s="14" t="s">
        <v>738</v>
      </c>
      <c r="HT103" s="14" t="s">
        <v>738</v>
      </c>
      <c r="HU103" s="14" t="s">
        <v>738</v>
      </c>
      <c r="HV103" s="14" t="s">
        <v>738</v>
      </c>
      <c r="HW103" s="14" t="s">
        <v>738</v>
      </c>
      <c r="HX103" s="14" t="s">
        <v>738</v>
      </c>
      <c r="HY103" s="14" t="s">
        <v>738</v>
      </c>
      <c r="HZ103" s="14" t="s">
        <v>738</v>
      </c>
      <c r="IB103" s="14" t="s">
        <v>738</v>
      </c>
      <c r="IC103" s="14" t="s">
        <v>738</v>
      </c>
      <c r="ID103" s="14" t="s">
        <v>738</v>
      </c>
      <c r="IE103" s="14" t="s">
        <v>738</v>
      </c>
      <c r="IF103" s="14" t="s">
        <v>738</v>
      </c>
      <c r="IG103" s="14" t="s">
        <v>738</v>
      </c>
      <c r="IH103" s="14" t="s">
        <v>738</v>
      </c>
      <c r="II103" s="14" t="s">
        <v>738</v>
      </c>
      <c r="IJ103" s="14" t="s">
        <v>738</v>
      </c>
      <c r="IK103" s="14" t="s">
        <v>738</v>
      </c>
      <c r="IL103" s="14" t="s">
        <v>738</v>
      </c>
      <c r="IM103" s="14" t="s">
        <v>738</v>
      </c>
      <c r="IN103" s="14" t="s">
        <v>738</v>
      </c>
      <c r="IO103" s="14" t="s">
        <v>738</v>
      </c>
      <c r="IP103" s="14" t="s">
        <v>738</v>
      </c>
      <c r="IQ103" s="14" t="s">
        <v>738</v>
      </c>
      <c r="IR103" s="14" t="s">
        <v>738</v>
      </c>
      <c r="IS103" s="14" t="s">
        <v>738</v>
      </c>
      <c r="IT103" s="14" t="s">
        <v>738</v>
      </c>
      <c r="IU103" s="14" t="s">
        <v>738</v>
      </c>
      <c r="IV103" s="14" t="s">
        <v>738</v>
      </c>
      <c r="IW103" s="14" t="s">
        <v>738</v>
      </c>
      <c r="IX103" s="14" t="s">
        <v>738</v>
      </c>
      <c r="IY103" s="14" t="s">
        <v>738</v>
      </c>
      <c r="IZ103" s="14" t="s">
        <v>738</v>
      </c>
      <c r="JA103" s="14" t="s">
        <v>738</v>
      </c>
      <c r="JB103" s="14" t="s">
        <v>738</v>
      </c>
      <c r="JC103" s="14" t="s">
        <v>738</v>
      </c>
      <c r="JD103" s="14" t="s">
        <v>738</v>
      </c>
      <c r="JE103" s="14" t="s">
        <v>738</v>
      </c>
      <c r="JF103" s="14" t="s">
        <v>738</v>
      </c>
      <c r="JH103" s="14" t="s">
        <v>738</v>
      </c>
      <c r="JI103" s="14" t="s">
        <v>738</v>
      </c>
      <c r="JJ103" s="14" t="s">
        <v>738</v>
      </c>
      <c r="JK103" s="14" t="s">
        <v>738</v>
      </c>
      <c r="JL103" s="14" t="s">
        <v>738</v>
      </c>
      <c r="JM103" s="14" t="s">
        <v>738</v>
      </c>
      <c r="JN103" s="14" t="s">
        <v>738</v>
      </c>
      <c r="JO103" s="14" t="s">
        <v>738</v>
      </c>
      <c r="JP103" s="14" t="s">
        <v>738</v>
      </c>
      <c r="JQ103" s="14" t="s">
        <v>738</v>
      </c>
      <c r="JR103" s="14" t="s">
        <v>738</v>
      </c>
      <c r="JS103" s="14" t="s">
        <v>738</v>
      </c>
      <c r="JT103" s="14" t="s">
        <v>738</v>
      </c>
      <c r="JU103" s="14" t="s">
        <v>738</v>
      </c>
      <c r="JV103" s="14" t="s">
        <v>738</v>
      </c>
      <c r="JW103" s="14" t="s">
        <v>738</v>
      </c>
      <c r="JX103" s="14" t="s">
        <v>738</v>
      </c>
      <c r="JY103" s="14" t="s">
        <v>738</v>
      </c>
      <c r="JZ103" s="14" t="s">
        <v>738</v>
      </c>
      <c r="KA103" s="14" t="s">
        <v>738</v>
      </c>
      <c r="KB103" s="14" t="s">
        <v>738</v>
      </c>
      <c r="KC103" s="14" t="s">
        <v>738</v>
      </c>
      <c r="KD103" s="14" t="s">
        <v>738</v>
      </c>
      <c r="KE103" s="14" t="s">
        <v>738</v>
      </c>
      <c r="KF103" s="14" t="s">
        <v>738</v>
      </c>
      <c r="KG103" s="14" t="s">
        <v>738</v>
      </c>
      <c r="KH103" s="14" t="s">
        <v>738</v>
      </c>
      <c r="KI103" s="14" t="s">
        <v>738</v>
      </c>
      <c r="KJ103" s="14" t="s">
        <v>738</v>
      </c>
      <c r="KK103" s="14" t="s">
        <v>738</v>
      </c>
      <c r="KM103" s="14" t="s">
        <v>738</v>
      </c>
      <c r="KN103" s="14" t="s">
        <v>738</v>
      </c>
      <c r="KO103" s="14" t="s">
        <v>738</v>
      </c>
      <c r="KP103" s="14" t="s">
        <v>738</v>
      </c>
      <c r="KQ103" s="20"/>
      <c r="KR103" s="20"/>
      <c r="LA103" s="20"/>
      <c r="LB103" s="21" t="s">
        <v>738</v>
      </c>
      <c r="LC103" s="21" t="s">
        <v>738</v>
      </c>
      <c r="LD103" s="21" t="s">
        <v>738</v>
      </c>
      <c r="LE103" s="21" t="s">
        <v>738</v>
      </c>
      <c r="LF103" s="21" t="s">
        <v>738</v>
      </c>
      <c r="LG103" s="21" t="s">
        <v>738</v>
      </c>
      <c r="LH103" s="21" t="s">
        <v>738</v>
      </c>
      <c r="LI103" s="21" t="s">
        <v>738</v>
      </c>
      <c r="LJ103" s="21" t="s">
        <v>738</v>
      </c>
      <c r="LK103" s="21" t="s">
        <v>738</v>
      </c>
      <c r="LL103" s="21" t="s">
        <v>738</v>
      </c>
      <c r="LM103" s="21" t="s">
        <v>738</v>
      </c>
      <c r="LN103" s="21" t="s">
        <v>738</v>
      </c>
      <c r="LO103" s="21" t="s">
        <v>738</v>
      </c>
      <c r="LP103" s="21" t="s">
        <v>738</v>
      </c>
      <c r="LQ103" s="21" t="s">
        <v>738</v>
      </c>
      <c r="LR103" s="21" t="s">
        <v>738</v>
      </c>
      <c r="LS103" s="21" t="s">
        <v>738</v>
      </c>
      <c r="LT103" s="21" t="s">
        <v>738</v>
      </c>
      <c r="LU103" s="21" t="s">
        <v>738</v>
      </c>
      <c r="LV103" s="21" t="s">
        <v>738</v>
      </c>
      <c r="LW103" s="21" t="s">
        <v>738</v>
      </c>
      <c r="LX103" s="21" t="s">
        <v>738</v>
      </c>
      <c r="LY103" s="21" t="s">
        <v>738</v>
      </c>
      <c r="LZ103" s="21" t="s">
        <v>738</v>
      </c>
      <c r="MA103" s="21" t="s">
        <v>738</v>
      </c>
      <c r="MB103" s="21" t="s">
        <v>738</v>
      </c>
      <c r="MC103" s="21" t="s">
        <v>738</v>
      </c>
      <c r="MD103" s="21" t="s">
        <v>738</v>
      </c>
      <c r="ME103" s="21" t="s">
        <v>738</v>
      </c>
      <c r="MF103" s="21" t="s">
        <v>738</v>
      </c>
      <c r="MG103" s="21" t="s">
        <v>738</v>
      </c>
      <c r="MH103" s="21" t="s">
        <v>738</v>
      </c>
      <c r="MI103" s="21" t="s">
        <v>738</v>
      </c>
    </row>
    <row r="104" spans="1:347" s="14" customFormat="1" x14ac:dyDescent="0.25">
      <c r="A104" s="14" t="s">
        <v>739</v>
      </c>
      <c r="C104" s="21"/>
      <c r="Y104" s="22"/>
      <c r="BV104" s="14" t="s">
        <v>740</v>
      </c>
      <c r="BW104" s="14" t="s">
        <v>740</v>
      </c>
      <c r="BX104" s="14" t="s">
        <v>740</v>
      </c>
      <c r="BY104" s="14" t="s">
        <v>740</v>
      </c>
      <c r="BZ104" s="14" t="s">
        <v>740</v>
      </c>
      <c r="CA104" s="14" t="s">
        <v>740</v>
      </c>
      <c r="CB104" s="14" t="s">
        <v>740</v>
      </c>
      <c r="CC104" s="14" t="s">
        <v>740</v>
      </c>
      <c r="CD104" s="14" t="s">
        <v>740</v>
      </c>
      <c r="CE104" s="14" t="s">
        <v>740</v>
      </c>
      <c r="CF104" s="14" t="s">
        <v>740</v>
      </c>
      <c r="CG104" s="14" t="s">
        <v>740</v>
      </c>
      <c r="CH104" s="14" t="s">
        <v>740</v>
      </c>
      <c r="CI104" s="14" t="s">
        <v>740</v>
      </c>
      <c r="CJ104" s="14" t="s">
        <v>740</v>
      </c>
      <c r="CK104" s="14" t="s">
        <v>740</v>
      </c>
      <c r="CL104" s="14" t="s">
        <v>740</v>
      </c>
      <c r="CM104" s="14" t="s">
        <v>740</v>
      </c>
      <c r="CN104" s="14" t="s">
        <v>740</v>
      </c>
      <c r="CO104" s="14" t="s">
        <v>740</v>
      </c>
      <c r="CP104" s="14" t="s">
        <v>740</v>
      </c>
      <c r="CQ104" s="14" t="s">
        <v>740</v>
      </c>
      <c r="CR104" s="14" t="s">
        <v>740</v>
      </c>
      <c r="CS104" s="14" t="s">
        <v>740</v>
      </c>
      <c r="CT104" s="14" t="s">
        <v>740</v>
      </c>
      <c r="CU104" s="14" t="s">
        <v>740</v>
      </c>
      <c r="CV104" s="14" t="s">
        <v>740</v>
      </c>
      <c r="CW104" s="14" t="s">
        <v>740</v>
      </c>
      <c r="CX104" s="14" t="s">
        <v>740</v>
      </c>
      <c r="CY104" s="14" t="s">
        <v>740</v>
      </c>
      <c r="CZ104" s="14" t="s">
        <v>740</v>
      </c>
      <c r="DA104" s="14" t="s">
        <v>740</v>
      </c>
      <c r="DB104" s="14" t="s">
        <v>740</v>
      </c>
      <c r="DC104" s="14" t="s">
        <v>740</v>
      </c>
      <c r="DD104" s="14" t="s">
        <v>740</v>
      </c>
      <c r="DE104" s="14" t="s">
        <v>740</v>
      </c>
      <c r="DF104" s="14" t="s">
        <v>740</v>
      </c>
      <c r="DG104" s="14" t="s">
        <v>740</v>
      </c>
      <c r="DH104" s="14" t="s">
        <v>740</v>
      </c>
      <c r="DI104" s="14" t="s">
        <v>740</v>
      </c>
      <c r="DJ104" s="14" t="s">
        <v>740</v>
      </c>
      <c r="DK104" s="14" t="s">
        <v>740</v>
      </c>
      <c r="DL104" s="14" t="s">
        <v>740</v>
      </c>
      <c r="DM104" s="14" t="s">
        <v>740</v>
      </c>
      <c r="DN104" s="14" t="s">
        <v>740</v>
      </c>
      <c r="DP104" s="14" t="s">
        <v>740</v>
      </c>
      <c r="DQ104" s="14" t="s">
        <v>740</v>
      </c>
      <c r="DR104" s="14" t="s">
        <v>740</v>
      </c>
      <c r="DS104" s="14" t="s">
        <v>740</v>
      </c>
      <c r="DT104" s="14" t="s">
        <v>740</v>
      </c>
      <c r="DU104" s="14" t="s">
        <v>740</v>
      </c>
      <c r="DV104" s="14" t="s">
        <v>740</v>
      </c>
      <c r="DW104" s="14" t="s">
        <v>740</v>
      </c>
      <c r="DX104" s="14" t="s">
        <v>740</v>
      </c>
      <c r="DY104" s="14" t="s">
        <v>740</v>
      </c>
      <c r="DZ104" s="14" t="s">
        <v>740</v>
      </c>
      <c r="EA104" s="14" t="s">
        <v>740</v>
      </c>
      <c r="EB104" s="14" t="s">
        <v>740</v>
      </c>
      <c r="EC104" s="14" t="s">
        <v>740</v>
      </c>
      <c r="ED104" s="14" t="s">
        <v>740</v>
      </c>
      <c r="EE104" s="14" t="s">
        <v>740</v>
      </c>
      <c r="EF104" s="14" t="s">
        <v>740</v>
      </c>
      <c r="EG104" s="14" t="s">
        <v>740</v>
      </c>
      <c r="EH104" s="14" t="s">
        <v>740</v>
      </c>
      <c r="EI104" s="14" t="s">
        <v>740</v>
      </c>
      <c r="EJ104" s="14" t="s">
        <v>740</v>
      </c>
      <c r="EK104" s="14" t="s">
        <v>740</v>
      </c>
      <c r="EL104" s="14" t="s">
        <v>740</v>
      </c>
      <c r="EM104" s="14" t="s">
        <v>740</v>
      </c>
      <c r="EN104" s="14" t="s">
        <v>740</v>
      </c>
      <c r="EO104" s="14" t="s">
        <v>740</v>
      </c>
      <c r="EP104" s="14" t="s">
        <v>740</v>
      </c>
      <c r="EQ104" s="14" t="s">
        <v>740</v>
      </c>
      <c r="ER104" s="14" t="s">
        <v>740</v>
      </c>
      <c r="ES104" s="14" t="s">
        <v>740</v>
      </c>
      <c r="ET104" s="14" t="s">
        <v>740</v>
      </c>
      <c r="EU104" s="14" t="s">
        <v>740</v>
      </c>
      <c r="EV104" s="14" t="s">
        <v>740</v>
      </c>
      <c r="EW104" s="14" t="s">
        <v>740</v>
      </c>
      <c r="EX104" s="14" t="s">
        <v>740</v>
      </c>
      <c r="EY104" s="14" t="s">
        <v>740</v>
      </c>
      <c r="EZ104" s="14" t="s">
        <v>740</v>
      </c>
      <c r="FA104" s="14" t="s">
        <v>740</v>
      </c>
      <c r="FB104" s="14" t="s">
        <v>740</v>
      </c>
      <c r="FC104" s="14" t="s">
        <v>740</v>
      </c>
      <c r="FD104" s="14" t="s">
        <v>740</v>
      </c>
      <c r="FE104" s="14" t="s">
        <v>740</v>
      </c>
      <c r="FF104" s="14" t="s">
        <v>740</v>
      </c>
      <c r="FG104" s="14" t="s">
        <v>740</v>
      </c>
      <c r="FH104" s="14" t="s">
        <v>740</v>
      </c>
      <c r="FI104" s="14" t="s">
        <v>740</v>
      </c>
      <c r="FJ104" s="14" t="s">
        <v>740</v>
      </c>
      <c r="FK104" s="14" t="s">
        <v>740</v>
      </c>
      <c r="FL104" s="14" t="s">
        <v>740</v>
      </c>
      <c r="FM104" s="14" t="s">
        <v>740</v>
      </c>
      <c r="FN104" s="14" t="s">
        <v>740</v>
      </c>
      <c r="FO104" s="14" t="s">
        <v>740</v>
      </c>
      <c r="FP104" s="14" t="s">
        <v>740</v>
      </c>
      <c r="FQ104" s="14" t="s">
        <v>740</v>
      </c>
      <c r="FR104" s="14" t="s">
        <v>740</v>
      </c>
      <c r="FS104" s="14" t="s">
        <v>740</v>
      </c>
      <c r="FT104" s="14" t="s">
        <v>740</v>
      </c>
      <c r="FU104" s="14" t="s">
        <v>740</v>
      </c>
      <c r="FV104" s="14" t="s">
        <v>740</v>
      </c>
      <c r="FW104" s="14" t="s">
        <v>740</v>
      </c>
      <c r="FX104" s="14" t="s">
        <v>740</v>
      </c>
      <c r="FY104" s="14" t="s">
        <v>740</v>
      </c>
      <c r="FZ104" s="14" t="s">
        <v>740</v>
      </c>
      <c r="GB104" s="14" t="s">
        <v>740</v>
      </c>
      <c r="GC104" s="14" t="s">
        <v>740</v>
      </c>
      <c r="GD104" s="14" t="s">
        <v>740</v>
      </c>
      <c r="GE104" s="14" t="s">
        <v>740</v>
      </c>
      <c r="GF104" s="20"/>
      <c r="GG104" s="20"/>
      <c r="GH104" s="14" t="s">
        <v>740</v>
      </c>
      <c r="GI104" s="14" t="s">
        <v>740</v>
      </c>
      <c r="GJ104" s="14" t="s">
        <v>740</v>
      </c>
      <c r="GK104" s="14" t="s">
        <v>740</v>
      </c>
      <c r="GL104" s="14" t="s">
        <v>740</v>
      </c>
      <c r="GM104" s="14" t="s">
        <v>740</v>
      </c>
      <c r="GN104" s="14" t="s">
        <v>740</v>
      </c>
      <c r="GO104" s="14" t="s">
        <v>740</v>
      </c>
      <c r="GP104" s="14" t="s">
        <v>740</v>
      </c>
      <c r="GQ104" s="14" t="s">
        <v>740</v>
      </c>
      <c r="GR104" s="14" t="s">
        <v>740</v>
      </c>
      <c r="GS104" s="14" t="s">
        <v>740</v>
      </c>
      <c r="GT104" s="14" t="s">
        <v>740</v>
      </c>
      <c r="GU104" s="14" t="s">
        <v>740</v>
      </c>
      <c r="GV104" s="14" t="s">
        <v>740</v>
      </c>
      <c r="GW104" s="14" t="s">
        <v>740</v>
      </c>
      <c r="GX104" s="14" t="s">
        <v>740</v>
      </c>
      <c r="GY104" s="14" t="s">
        <v>740</v>
      </c>
      <c r="GZ104" s="14" t="s">
        <v>740</v>
      </c>
      <c r="HA104" s="14" t="s">
        <v>740</v>
      </c>
      <c r="HB104" s="14" t="s">
        <v>740</v>
      </c>
      <c r="HC104" s="14" t="s">
        <v>740</v>
      </c>
      <c r="HD104" s="14" t="s">
        <v>740</v>
      </c>
      <c r="HE104" s="14" t="s">
        <v>740</v>
      </c>
      <c r="HF104" s="14" t="s">
        <v>740</v>
      </c>
      <c r="HG104" s="14" t="s">
        <v>740</v>
      </c>
      <c r="HH104" s="14" t="s">
        <v>740</v>
      </c>
      <c r="HI104" s="14" t="s">
        <v>740</v>
      </c>
      <c r="HJ104" s="14" t="s">
        <v>740</v>
      </c>
      <c r="HK104" s="14" t="s">
        <v>740</v>
      </c>
      <c r="HL104" s="14" t="s">
        <v>740</v>
      </c>
      <c r="HM104" s="14" t="s">
        <v>740</v>
      </c>
      <c r="HN104" s="14" t="s">
        <v>740</v>
      </c>
      <c r="HO104" s="14" t="s">
        <v>740</v>
      </c>
      <c r="HP104" s="14" t="s">
        <v>740</v>
      </c>
      <c r="HQ104" s="14" t="s">
        <v>740</v>
      </c>
      <c r="HR104" s="14" t="s">
        <v>740</v>
      </c>
      <c r="HS104" s="14" t="s">
        <v>740</v>
      </c>
      <c r="HT104" s="14" t="s">
        <v>740</v>
      </c>
      <c r="HU104" s="14" t="s">
        <v>740</v>
      </c>
      <c r="HV104" s="14" t="s">
        <v>740</v>
      </c>
      <c r="HW104" s="14" t="s">
        <v>740</v>
      </c>
      <c r="HX104" s="14" t="s">
        <v>740</v>
      </c>
      <c r="HY104" s="14" t="s">
        <v>740</v>
      </c>
      <c r="HZ104" s="14" t="s">
        <v>740</v>
      </c>
      <c r="IB104" s="14" t="s">
        <v>740</v>
      </c>
      <c r="IC104" s="14" t="s">
        <v>740</v>
      </c>
      <c r="ID104" s="14" t="s">
        <v>740</v>
      </c>
      <c r="IE104" s="14" t="s">
        <v>740</v>
      </c>
      <c r="IF104" s="14" t="s">
        <v>740</v>
      </c>
      <c r="IG104" s="14" t="s">
        <v>740</v>
      </c>
      <c r="IH104" s="14" t="s">
        <v>740</v>
      </c>
      <c r="II104" s="14" t="s">
        <v>740</v>
      </c>
      <c r="IJ104" s="14" t="s">
        <v>740</v>
      </c>
      <c r="IK104" s="14" t="s">
        <v>740</v>
      </c>
      <c r="IL104" s="14" t="s">
        <v>740</v>
      </c>
      <c r="IM104" s="14" t="s">
        <v>740</v>
      </c>
      <c r="IN104" s="14" t="s">
        <v>740</v>
      </c>
      <c r="IO104" s="14" t="s">
        <v>740</v>
      </c>
      <c r="IP104" s="14" t="s">
        <v>740</v>
      </c>
      <c r="IQ104" s="14" t="s">
        <v>740</v>
      </c>
      <c r="IR104" s="14" t="s">
        <v>740</v>
      </c>
      <c r="IS104" s="14" t="s">
        <v>740</v>
      </c>
      <c r="IT104" s="14" t="s">
        <v>740</v>
      </c>
      <c r="IU104" s="14" t="s">
        <v>740</v>
      </c>
      <c r="IV104" s="14" t="s">
        <v>740</v>
      </c>
      <c r="IW104" s="14" t="s">
        <v>740</v>
      </c>
      <c r="IX104" s="14" t="s">
        <v>740</v>
      </c>
      <c r="IY104" s="14" t="s">
        <v>740</v>
      </c>
      <c r="IZ104" s="14" t="s">
        <v>740</v>
      </c>
      <c r="JA104" s="14" t="s">
        <v>740</v>
      </c>
      <c r="JB104" s="14" t="s">
        <v>740</v>
      </c>
      <c r="JC104" s="14" t="s">
        <v>740</v>
      </c>
      <c r="JD104" s="14" t="s">
        <v>740</v>
      </c>
      <c r="JE104" s="14" t="s">
        <v>740</v>
      </c>
      <c r="JF104" s="14" t="s">
        <v>740</v>
      </c>
      <c r="JH104" s="14" t="s">
        <v>740</v>
      </c>
      <c r="JI104" s="14" t="s">
        <v>740</v>
      </c>
      <c r="JJ104" s="14" t="s">
        <v>740</v>
      </c>
      <c r="JK104" s="14" t="s">
        <v>740</v>
      </c>
      <c r="JL104" s="14" t="s">
        <v>740</v>
      </c>
      <c r="JM104" s="14" t="s">
        <v>740</v>
      </c>
      <c r="JN104" s="14" t="s">
        <v>740</v>
      </c>
      <c r="JO104" s="14" t="s">
        <v>740</v>
      </c>
      <c r="JP104" s="14" t="s">
        <v>740</v>
      </c>
      <c r="JQ104" s="14" t="s">
        <v>740</v>
      </c>
      <c r="JR104" s="14" t="s">
        <v>740</v>
      </c>
      <c r="JS104" s="14" t="s">
        <v>740</v>
      </c>
      <c r="JT104" s="14" t="s">
        <v>740</v>
      </c>
      <c r="JU104" s="14" t="s">
        <v>740</v>
      </c>
      <c r="JV104" s="14" t="s">
        <v>740</v>
      </c>
      <c r="JW104" s="14" t="s">
        <v>740</v>
      </c>
      <c r="JX104" s="14" t="s">
        <v>740</v>
      </c>
      <c r="JY104" s="14" t="s">
        <v>740</v>
      </c>
      <c r="JZ104" s="14" t="s">
        <v>740</v>
      </c>
      <c r="KA104" s="14" t="s">
        <v>740</v>
      </c>
      <c r="KB104" s="14" t="s">
        <v>740</v>
      </c>
      <c r="KC104" s="14" t="s">
        <v>740</v>
      </c>
      <c r="KD104" s="14" t="s">
        <v>740</v>
      </c>
      <c r="KE104" s="14" t="s">
        <v>740</v>
      </c>
      <c r="KF104" s="14" t="s">
        <v>740</v>
      </c>
      <c r="KG104" s="14" t="s">
        <v>740</v>
      </c>
      <c r="KH104" s="14" t="s">
        <v>740</v>
      </c>
      <c r="KI104" s="14" t="s">
        <v>740</v>
      </c>
      <c r="KJ104" s="14" t="s">
        <v>740</v>
      </c>
      <c r="KK104" s="14" t="s">
        <v>740</v>
      </c>
      <c r="KM104" s="14" t="s">
        <v>740</v>
      </c>
      <c r="KN104" s="14" t="s">
        <v>740</v>
      </c>
      <c r="KO104" s="14" t="s">
        <v>740</v>
      </c>
      <c r="KP104" s="14" t="s">
        <v>740</v>
      </c>
      <c r="KQ104" s="20"/>
      <c r="KR104" s="20"/>
      <c r="LA104" s="20"/>
      <c r="LB104" s="21" t="s">
        <v>20</v>
      </c>
      <c r="LC104" s="21" t="s">
        <v>488</v>
      </c>
      <c r="LD104" s="21" t="s">
        <v>488</v>
      </c>
      <c r="LE104" s="21" t="s">
        <v>20</v>
      </c>
      <c r="LF104" s="21" t="s">
        <v>741</v>
      </c>
      <c r="LG104" s="21" t="s">
        <v>488</v>
      </c>
      <c r="LH104" s="21" t="s">
        <v>488</v>
      </c>
      <c r="LI104" s="21" t="s">
        <v>741</v>
      </c>
      <c r="LJ104" s="21" t="s">
        <v>741</v>
      </c>
      <c r="LK104" s="21" t="s">
        <v>488</v>
      </c>
      <c r="LL104" s="21" t="s">
        <v>488</v>
      </c>
      <c r="LM104" s="21" t="s">
        <v>488</v>
      </c>
      <c r="LN104" s="21" t="s">
        <v>20</v>
      </c>
      <c r="LO104" s="21" t="s">
        <v>488</v>
      </c>
      <c r="LP104" s="21" t="s">
        <v>488</v>
      </c>
      <c r="LQ104" s="21" t="s">
        <v>742</v>
      </c>
      <c r="LR104" s="21" t="s">
        <v>741</v>
      </c>
      <c r="LS104" s="21" t="s">
        <v>488</v>
      </c>
      <c r="LT104" s="21" t="s">
        <v>488</v>
      </c>
      <c r="LU104" s="21" t="s">
        <v>488</v>
      </c>
      <c r="LV104" s="21" t="s">
        <v>488</v>
      </c>
      <c r="LW104" s="21" t="s">
        <v>488</v>
      </c>
      <c r="LX104" s="21" t="s">
        <v>741</v>
      </c>
      <c r="LY104" s="21" t="s">
        <v>742</v>
      </c>
      <c r="LZ104" s="21" t="s">
        <v>741</v>
      </c>
      <c r="MA104" s="21" t="s">
        <v>741</v>
      </c>
      <c r="MB104" s="21" t="s">
        <v>488</v>
      </c>
      <c r="MC104" s="21" t="s">
        <v>488</v>
      </c>
      <c r="MD104" s="21" t="s">
        <v>742</v>
      </c>
      <c r="ME104" s="21" t="s">
        <v>742</v>
      </c>
      <c r="MF104" s="21" t="s">
        <v>175</v>
      </c>
      <c r="MG104" s="21" t="s">
        <v>488</v>
      </c>
      <c r="MH104" s="21" t="s">
        <v>742</v>
      </c>
      <c r="MI104" s="21" t="s">
        <v>741</v>
      </c>
    </row>
    <row r="105" spans="1:347" s="14" customFormat="1" x14ac:dyDescent="0.25">
      <c r="A105" s="14" t="s">
        <v>743</v>
      </c>
      <c r="C105" s="21"/>
      <c r="Y105" s="22"/>
      <c r="BV105" s="14" t="s">
        <v>744</v>
      </c>
      <c r="BW105" s="14" t="s">
        <v>744</v>
      </c>
      <c r="BX105" s="14" t="s">
        <v>744</v>
      </c>
      <c r="BY105" s="14" t="s">
        <v>744</v>
      </c>
      <c r="BZ105" s="14" t="s">
        <v>744</v>
      </c>
      <c r="CA105" s="14" t="s">
        <v>744</v>
      </c>
      <c r="CB105" s="14" t="s">
        <v>744</v>
      </c>
      <c r="CC105" s="14" t="s">
        <v>745</v>
      </c>
      <c r="CD105" s="14" t="s">
        <v>744</v>
      </c>
      <c r="CE105" s="14" t="s">
        <v>744</v>
      </c>
      <c r="CF105" s="14" t="s">
        <v>744</v>
      </c>
      <c r="CG105" s="14" t="s">
        <v>744</v>
      </c>
      <c r="CH105" s="14" t="s">
        <v>744</v>
      </c>
      <c r="CI105" s="14" t="s">
        <v>745</v>
      </c>
      <c r="CJ105" s="14" t="s">
        <v>745</v>
      </c>
      <c r="CK105" s="14" t="s">
        <v>744</v>
      </c>
      <c r="CL105" s="14" t="s">
        <v>744</v>
      </c>
      <c r="CM105" s="14" t="s">
        <v>745</v>
      </c>
      <c r="CN105" s="14" t="s">
        <v>744</v>
      </c>
      <c r="CO105" s="14" t="s">
        <v>744</v>
      </c>
      <c r="CP105" s="14" t="s">
        <v>744</v>
      </c>
      <c r="CQ105" s="14" t="s">
        <v>744</v>
      </c>
      <c r="CR105" s="14" t="s">
        <v>744</v>
      </c>
      <c r="CS105" s="14" t="s">
        <v>744</v>
      </c>
      <c r="CT105" s="14" t="s">
        <v>744</v>
      </c>
      <c r="CU105" s="14" t="s">
        <v>744</v>
      </c>
      <c r="CV105" s="14" t="s">
        <v>744</v>
      </c>
      <c r="CW105" s="14" t="s">
        <v>744</v>
      </c>
      <c r="CX105" s="14" t="s">
        <v>744</v>
      </c>
      <c r="CY105" s="14" t="s">
        <v>744</v>
      </c>
      <c r="CZ105" s="14" t="s">
        <v>744</v>
      </c>
      <c r="DA105" s="14" t="s">
        <v>744</v>
      </c>
      <c r="DB105" s="14" t="s">
        <v>744</v>
      </c>
      <c r="DC105" s="14" t="s">
        <v>744</v>
      </c>
      <c r="DD105" s="14" t="s">
        <v>744</v>
      </c>
      <c r="DE105" s="14" t="s">
        <v>744</v>
      </c>
      <c r="DF105" s="14" t="s">
        <v>744</v>
      </c>
      <c r="DG105" s="14" t="s">
        <v>744</v>
      </c>
      <c r="DH105" s="14" t="s">
        <v>744</v>
      </c>
      <c r="DI105" s="14" t="s">
        <v>745</v>
      </c>
      <c r="DJ105" s="14" t="s">
        <v>744</v>
      </c>
      <c r="DK105" s="14" t="s">
        <v>745</v>
      </c>
      <c r="DL105" s="14" t="s">
        <v>745</v>
      </c>
      <c r="DM105" s="14" t="s">
        <v>744</v>
      </c>
      <c r="DN105" s="14" t="s">
        <v>745</v>
      </c>
      <c r="DP105" s="14" t="s">
        <v>744</v>
      </c>
      <c r="DQ105" s="14" t="s">
        <v>745</v>
      </c>
      <c r="DR105" s="14" t="s">
        <v>744</v>
      </c>
      <c r="DS105" s="14" t="s">
        <v>744</v>
      </c>
      <c r="DT105" s="14" t="s">
        <v>744</v>
      </c>
      <c r="DU105" s="14" t="s">
        <v>744</v>
      </c>
      <c r="DV105" s="14" t="s">
        <v>744</v>
      </c>
      <c r="DW105" s="14" t="s">
        <v>744</v>
      </c>
      <c r="DX105" s="14" t="s">
        <v>744</v>
      </c>
      <c r="DY105" s="14" t="s">
        <v>744</v>
      </c>
      <c r="DZ105" s="14" t="s">
        <v>744</v>
      </c>
      <c r="EA105" s="14" t="s">
        <v>744</v>
      </c>
      <c r="EB105" s="14" t="s">
        <v>744</v>
      </c>
      <c r="EC105" s="14" t="s">
        <v>744</v>
      </c>
      <c r="ED105" s="14" t="s">
        <v>744</v>
      </c>
      <c r="EE105" s="14" t="s">
        <v>745</v>
      </c>
      <c r="EF105" s="14" t="s">
        <v>744</v>
      </c>
      <c r="EG105" s="14" t="s">
        <v>744</v>
      </c>
      <c r="EH105" s="14" t="s">
        <v>744</v>
      </c>
      <c r="EI105" s="14" t="s">
        <v>744</v>
      </c>
      <c r="EJ105" s="14" t="s">
        <v>744</v>
      </c>
      <c r="EK105" s="14" t="s">
        <v>745</v>
      </c>
      <c r="EL105" s="14" t="s">
        <v>744</v>
      </c>
      <c r="EM105" s="14" t="s">
        <v>744</v>
      </c>
      <c r="EN105" s="14" t="s">
        <v>745</v>
      </c>
      <c r="EO105" s="14" t="s">
        <v>745</v>
      </c>
      <c r="EP105" s="14" t="s">
        <v>745</v>
      </c>
      <c r="EQ105" s="14" t="s">
        <v>744</v>
      </c>
      <c r="ER105" s="14" t="s">
        <v>744</v>
      </c>
      <c r="ES105" s="14" t="s">
        <v>744</v>
      </c>
      <c r="ET105" s="14" t="s">
        <v>744</v>
      </c>
      <c r="EU105" s="14" t="s">
        <v>745</v>
      </c>
      <c r="EV105" s="14" t="s">
        <v>744</v>
      </c>
      <c r="EW105" s="14" t="s">
        <v>745</v>
      </c>
      <c r="EX105" s="14" t="s">
        <v>745</v>
      </c>
      <c r="EY105" s="14" t="s">
        <v>745</v>
      </c>
      <c r="EZ105" s="14" t="s">
        <v>745</v>
      </c>
      <c r="FA105" s="14" t="s">
        <v>744</v>
      </c>
      <c r="FB105" s="14" t="s">
        <v>744</v>
      </c>
      <c r="FC105" s="14" t="s">
        <v>744</v>
      </c>
      <c r="FD105" s="14" t="s">
        <v>744</v>
      </c>
      <c r="FE105" s="14" t="s">
        <v>745</v>
      </c>
      <c r="FF105" s="14" t="s">
        <v>744</v>
      </c>
      <c r="FG105" s="14" t="s">
        <v>744</v>
      </c>
      <c r="FH105" s="14" t="s">
        <v>744</v>
      </c>
      <c r="FI105" s="14" t="s">
        <v>744</v>
      </c>
      <c r="FJ105" s="14" t="s">
        <v>744</v>
      </c>
      <c r="FK105" s="14" t="s">
        <v>744</v>
      </c>
      <c r="FL105" s="14" t="s">
        <v>744</v>
      </c>
      <c r="FM105" s="14" t="s">
        <v>744</v>
      </c>
      <c r="FN105" s="14" t="s">
        <v>744</v>
      </c>
      <c r="FO105" s="14" t="s">
        <v>745</v>
      </c>
      <c r="FP105" s="14" t="s">
        <v>744</v>
      </c>
      <c r="FQ105" s="14" t="s">
        <v>744</v>
      </c>
      <c r="FR105" s="14" t="s">
        <v>745</v>
      </c>
      <c r="FS105" s="14" t="s">
        <v>744</v>
      </c>
      <c r="FT105" s="14" t="s">
        <v>745</v>
      </c>
      <c r="FU105" s="14" t="s">
        <v>744</v>
      </c>
      <c r="FV105" s="14" t="s">
        <v>745</v>
      </c>
      <c r="FW105" s="14" t="s">
        <v>744</v>
      </c>
      <c r="FX105" s="14" t="s">
        <v>744</v>
      </c>
      <c r="FY105" s="14" t="s">
        <v>745</v>
      </c>
      <c r="FZ105" s="14" t="s">
        <v>745</v>
      </c>
      <c r="GB105" s="14" t="s">
        <v>744</v>
      </c>
      <c r="GC105" s="14" t="s">
        <v>745</v>
      </c>
      <c r="GD105" s="14" t="s">
        <v>744</v>
      </c>
      <c r="GE105" s="14" t="s">
        <v>744</v>
      </c>
      <c r="GF105" s="20"/>
      <c r="GG105" s="20"/>
      <c r="GH105" s="14" t="s">
        <v>744</v>
      </c>
      <c r="GI105" s="14" t="s">
        <v>744</v>
      </c>
      <c r="GJ105" s="14" t="s">
        <v>744</v>
      </c>
      <c r="GK105" s="14" t="s">
        <v>744</v>
      </c>
      <c r="GL105" s="14" t="s">
        <v>744</v>
      </c>
      <c r="GM105" s="14" t="s">
        <v>744</v>
      </c>
      <c r="GN105" s="14" t="s">
        <v>744</v>
      </c>
      <c r="GO105" s="14" t="s">
        <v>745</v>
      </c>
      <c r="GP105" s="14" t="s">
        <v>744</v>
      </c>
      <c r="GQ105" s="14" t="s">
        <v>744</v>
      </c>
      <c r="GR105" s="14" t="s">
        <v>744</v>
      </c>
      <c r="GS105" s="14" t="s">
        <v>744</v>
      </c>
      <c r="GT105" s="14" t="s">
        <v>744</v>
      </c>
      <c r="GU105" s="14" t="s">
        <v>745</v>
      </c>
      <c r="GV105" s="14" t="s">
        <v>745</v>
      </c>
      <c r="GW105" s="14" t="s">
        <v>744</v>
      </c>
      <c r="GX105" s="14" t="s">
        <v>744</v>
      </c>
      <c r="GY105" s="14" t="s">
        <v>745</v>
      </c>
      <c r="GZ105" s="14" t="s">
        <v>744</v>
      </c>
      <c r="HA105" s="14" t="s">
        <v>744</v>
      </c>
      <c r="HB105" s="14" t="s">
        <v>744</v>
      </c>
      <c r="HC105" s="14" t="s">
        <v>744</v>
      </c>
      <c r="HD105" s="14" t="s">
        <v>744</v>
      </c>
      <c r="HE105" s="14" t="s">
        <v>744</v>
      </c>
      <c r="HF105" s="14" t="s">
        <v>744</v>
      </c>
      <c r="HG105" s="14" t="s">
        <v>744</v>
      </c>
      <c r="HH105" s="14" t="s">
        <v>744</v>
      </c>
      <c r="HI105" s="14" t="s">
        <v>744</v>
      </c>
      <c r="HJ105" s="14" t="s">
        <v>744</v>
      </c>
      <c r="HK105" s="14" t="s">
        <v>744</v>
      </c>
      <c r="HL105" s="14" t="s">
        <v>744</v>
      </c>
      <c r="HM105" s="14" t="s">
        <v>744</v>
      </c>
      <c r="HN105" s="14" t="s">
        <v>744</v>
      </c>
      <c r="HO105" s="14" t="s">
        <v>744</v>
      </c>
      <c r="HP105" s="14" t="s">
        <v>744</v>
      </c>
      <c r="HQ105" s="14" t="s">
        <v>744</v>
      </c>
      <c r="HR105" s="14" t="s">
        <v>744</v>
      </c>
      <c r="HS105" s="14" t="s">
        <v>744</v>
      </c>
      <c r="HT105" s="14" t="s">
        <v>744</v>
      </c>
      <c r="HU105" s="14" t="s">
        <v>745</v>
      </c>
      <c r="HV105" s="14" t="s">
        <v>744</v>
      </c>
      <c r="HW105" s="14" t="s">
        <v>745</v>
      </c>
      <c r="HX105" s="14" t="s">
        <v>745</v>
      </c>
      <c r="HY105" s="14" t="s">
        <v>744</v>
      </c>
      <c r="HZ105" s="14" t="s">
        <v>745</v>
      </c>
      <c r="IB105" s="14" t="s">
        <v>744</v>
      </c>
      <c r="IC105" s="14" t="s">
        <v>745</v>
      </c>
      <c r="ID105" s="14" t="s">
        <v>744</v>
      </c>
      <c r="IE105" s="14" t="s">
        <v>744</v>
      </c>
      <c r="IF105" s="14" t="s">
        <v>744</v>
      </c>
      <c r="IG105" s="14" t="s">
        <v>744</v>
      </c>
      <c r="IH105" s="14" t="s">
        <v>744</v>
      </c>
      <c r="II105" s="14" t="s">
        <v>744</v>
      </c>
      <c r="IJ105" s="14" t="s">
        <v>744</v>
      </c>
      <c r="IK105" s="14" t="s">
        <v>744</v>
      </c>
      <c r="IL105" s="14" t="s">
        <v>744</v>
      </c>
      <c r="IM105" s="14" t="s">
        <v>744</v>
      </c>
      <c r="IN105" s="14" t="s">
        <v>744</v>
      </c>
      <c r="IO105" s="14" t="s">
        <v>744</v>
      </c>
      <c r="IP105" s="14" t="s">
        <v>744</v>
      </c>
      <c r="IQ105" s="14" t="s">
        <v>745</v>
      </c>
      <c r="IR105" s="14" t="s">
        <v>744</v>
      </c>
      <c r="IS105" s="14" t="s">
        <v>744</v>
      </c>
      <c r="IT105" s="14" t="s">
        <v>744</v>
      </c>
      <c r="IU105" s="14" t="s">
        <v>744</v>
      </c>
      <c r="IV105" s="14" t="s">
        <v>744</v>
      </c>
      <c r="IW105" s="14" t="s">
        <v>745</v>
      </c>
      <c r="IX105" s="14" t="s">
        <v>744</v>
      </c>
      <c r="IY105" s="14" t="s">
        <v>744</v>
      </c>
      <c r="IZ105" s="14" t="s">
        <v>745</v>
      </c>
      <c r="JA105" s="14" t="s">
        <v>745</v>
      </c>
      <c r="JB105" s="14" t="s">
        <v>745</v>
      </c>
      <c r="JC105" s="14" t="s">
        <v>744</v>
      </c>
      <c r="JD105" s="14" t="s">
        <v>744</v>
      </c>
      <c r="JE105" s="14" t="s">
        <v>744</v>
      </c>
      <c r="JF105" s="14" t="s">
        <v>744</v>
      </c>
      <c r="JH105" s="14" t="s">
        <v>744</v>
      </c>
      <c r="JI105" s="14" t="s">
        <v>745</v>
      </c>
      <c r="JJ105" s="14" t="s">
        <v>745</v>
      </c>
      <c r="JK105" s="14" t="s">
        <v>745</v>
      </c>
      <c r="JL105" s="14" t="s">
        <v>744</v>
      </c>
      <c r="JM105" s="14" t="s">
        <v>744</v>
      </c>
      <c r="JN105" s="14" t="s">
        <v>744</v>
      </c>
      <c r="JO105" s="14" t="s">
        <v>744</v>
      </c>
      <c r="JP105" s="14" t="s">
        <v>745</v>
      </c>
      <c r="JQ105" s="14" t="s">
        <v>744</v>
      </c>
      <c r="JR105" s="14" t="s">
        <v>744</v>
      </c>
      <c r="JS105" s="14" t="s">
        <v>744</v>
      </c>
      <c r="JT105" s="14" t="s">
        <v>744</v>
      </c>
      <c r="JU105" s="14" t="s">
        <v>744</v>
      </c>
      <c r="JV105" s="14" t="s">
        <v>744</v>
      </c>
      <c r="JW105" s="14" t="s">
        <v>744</v>
      </c>
      <c r="JX105" s="14" t="s">
        <v>744</v>
      </c>
      <c r="JY105" s="14" t="s">
        <v>744</v>
      </c>
      <c r="JZ105" s="14" t="s">
        <v>745</v>
      </c>
      <c r="KA105" s="14" t="s">
        <v>744</v>
      </c>
      <c r="KB105" s="14" t="s">
        <v>744</v>
      </c>
      <c r="KC105" s="14" t="s">
        <v>745</v>
      </c>
      <c r="KD105" s="14" t="s">
        <v>744</v>
      </c>
      <c r="KE105" s="14" t="s">
        <v>745</v>
      </c>
      <c r="KF105" s="14" t="s">
        <v>744</v>
      </c>
      <c r="KG105" s="14" t="s">
        <v>745</v>
      </c>
      <c r="KH105" s="14" t="s">
        <v>744</v>
      </c>
      <c r="KI105" s="14" t="s">
        <v>744</v>
      </c>
      <c r="KJ105" s="14" t="s">
        <v>745</v>
      </c>
      <c r="KK105" s="14" t="s">
        <v>745</v>
      </c>
      <c r="KM105" s="14" t="s">
        <v>744</v>
      </c>
      <c r="KN105" s="14" t="s">
        <v>745</v>
      </c>
      <c r="KO105" s="14" t="s">
        <v>744</v>
      </c>
      <c r="KP105" s="14" t="s">
        <v>744</v>
      </c>
      <c r="KQ105" s="20"/>
      <c r="KR105" s="20"/>
      <c r="LA105" s="20"/>
      <c r="LB105" s="21" t="s">
        <v>150</v>
      </c>
      <c r="LC105" s="21" t="s">
        <v>746</v>
      </c>
      <c r="LD105" s="21" t="s">
        <v>747</v>
      </c>
      <c r="LE105" s="21" t="s">
        <v>150</v>
      </c>
      <c r="LF105" s="21" t="s">
        <v>7</v>
      </c>
      <c r="LG105" s="21"/>
      <c r="LH105" s="21" t="s">
        <v>746</v>
      </c>
      <c r="LI105" s="21" t="s">
        <v>7</v>
      </c>
      <c r="LJ105" s="21" t="s">
        <v>7</v>
      </c>
      <c r="LK105" s="21" t="s">
        <v>747</v>
      </c>
      <c r="LL105" s="21" t="s">
        <v>746</v>
      </c>
      <c r="LM105" s="21" t="s">
        <v>746</v>
      </c>
      <c r="LN105" s="21"/>
      <c r="LO105" s="21" t="s">
        <v>747</v>
      </c>
      <c r="LP105" s="21" t="s">
        <v>747</v>
      </c>
      <c r="LQ105" s="21" t="s">
        <v>10</v>
      </c>
      <c r="LR105" s="21" t="s">
        <v>162</v>
      </c>
      <c r="LS105" s="21" t="s">
        <v>747</v>
      </c>
      <c r="LT105" s="21" t="s">
        <v>746</v>
      </c>
      <c r="LU105" s="21" t="s">
        <v>747</v>
      </c>
      <c r="LV105" s="21" t="s">
        <v>747</v>
      </c>
      <c r="LW105" s="21" t="s">
        <v>747</v>
      </c>
      <c r="LX105" s="21" t="s">
        <v>7</v>
      </c>
      <c r="LY105" s="21" t="s">
        <v>10</v>
      </c>
      <c r="LZ105" s="21" t="s">
        <v>7</v>
      </c>
      <c r="MA105" s="21" t="s">
        <v>162</v>
      </c>
      <c r="MB105" s="21" t="s">
        <v>746</v>
      </c>
      <c r="MC105" s="21" t="s">
        <v>747</v>
      </c>
      <c r="MD105" s="21" t="s">
        <v>10</v>
      </c>
      <c r="ME105" s="21" t="s">
        <v>10</v>
      </c>
      <c r="MF105" s="21"/>
      <c r="MG105" s="21" t="s">
        <v>747</v>
      </c>
      <c r="MH105" s="21" t="s">
        <v>10</v>
      </c>
      <c r="MI105" s="21" t="s">
        <v>7</v>
      </c>
    </row>
    <row r="106" spans="1:347" s="14" customFormat="1" x14ac:dyDescent="0.25">
      <c r="A106" s="14" t="s">
        <v>748</v>
      </c>
      <c r="C106" s="21"/>
      <c r="Y106" s="22"/>
      <c r="BV106" s="14" t="s">
        <v>749</v>
      </c>
      <c r="BW106" s="14" t="s">
        <v>749</v>
      </c>
      <c r="BX106" s="14" t="s">
        <v>750</v>
      </c>
      <c r="BY106" s="14" t="s">
        <v>751</v>
      </c>
      <c r="BZ106" s="14" t="s">
        <v>749</v>
      </c>
      <c r="CA106" s="14" t="s">
        <v>752</v>
      </c>
      <c r="CB106" s="14" t="s">
        <v>753</v>
      </c>
      <c r="CC106" s="14" t="s">
        <v>754</v>
      </c>
      <c r="CD106" s="14" t="s">
        <v>752</v>
      </c>
      <c r="CE106" s="14" t="s">
        <v>750</v>
      </c>
      <c r="CF106" s="14" t="s">
        <v>755</v>
      </c>
      <c r="CG106" s="14" t="s">
        <v>755</v>
      </c>
      <c r="CH106" s="14" t="s">
        <v>755</v>
      </c>
      <c r="CI106" s="14" t="s">
        <v>754</v>
      </c>
      <c r="CJ106" s="14" t="s">
        <v>754</v>
      </c>
      <c r="CK106" s="14" t="s">
        <v>752</v>
      </c>
      <c r="CL106" s="14" t="s">
        <v>752</v>
      </c>
      <c r="CM106" s="14" t="s">
        <v>754</v>
      </c>
      <c r="CN106" s="14" t="s">
        <v>749</v>
      </c>
      <c r="CO106" s="14" t="s">
        <v>749</v>
      </c>
      <c r="CQ106" s="14" t="s">
        <v>749</v>
      </c>
      <c r="CR106" s="14" t="s">
        <v>749</v>
      </c>
      <c r="CS106" s="14" t="s">
        <v>749</v>
      </c>
      <c r="CT106" s="14" t="s">
        <v>750</v>
      </c>
      <c r="CU106" s="14" t="s">
        <v>749</v>
      </c>
      <c r="CV106" s="14" t="s">
        <v>755</v>
      </c>
      <c r="CW106" s="14" t="s">
        <v>755</v>
      </c>
      <c r="CX106" s="14" t="s">
        <v>749</v>
      </c>
      <c r="CY106" s="14" t="s">
        <v>753</v>
      </c>
      <c r="CZ106" s="14" t="s">
        <v>750</v>
      </c>
      <c r="DA106" s="14" t="s">
        <v>750</v>
      </c>
      <c r="DB106" s="14" t="s">
        <v>750</v>
      </c>
      <c r="DC106" s="14" t="s">
        <v>753</v>
      </c>
      <c r="DD106" s="14" t="s">
        <v>756</v>
      </c>
      <c r="DE106" s="14" t="s">
        <v>749</v>
      </c>
      <c r="DF106" s="14" t="s">
        <v>752</v>
      </c>
      <c r="DG106" s="14" t="s">
        <v>753</v>
      </c>
      <c r="DH106" s="14" t="s">
        <v>755</v>
      </c>
      <c r="DI106" s="14" t="s">
        <v>66</v>
      </c>
      <c r="DJ106" s="14" t="s">
        <v>755</v>
      </c>
      <c r="DK106" s="14" t="s">
        <v>754</v>
      </c>
      <c r="DL106" s="14" t="s">
        <v>754</v>
      </c>
      <c r="DM106" s="14" t="s">
        <v>749</v>
      </c>
      <c r="DN106" s="14" t="s">
        <v>754</v>
      </c>
      <c r="DP106" s="14" t="s">
        <v>749</v>
      </c>
      <c r="DQ106" s="14" t="s">
        <v>754</v>
      </c>
      <c r="DR106" s="14" t="s">
        <v>749</v>
      </c>
      <c r="DS106" s="14" t="s">
        <v>752</v>
      </c>
      <c r="DT106" s="14" t="s">
        <v>749</v>
      </c>
      <c r="DU106" s="14" t="s">
        <v>749</v>
      </c>
      <c r="DV106" s="14" t="s">
        <v>749</v>
      </c>
      <c r="DW106" s="14" t="s">
        <v>752</v>
      </c>
      <c r="DX106" s="14" t="s">
        <v>753</v>
      </c>
      <c r="DY106" s="14" t="s">
        <v>753</v>
      </c>
      <c r="DZ106" s="14" t="s">
        <v>749</v>
      </c>
      <c r="EA106" s="14" t="s">
        <v>749</v>
      </c>
      <c r="EB106" s="14" t="s">
        <v>750</v>
      </c>
      <c r="EC106" s="14" t="s">
        <v>753</v>
      </c>
      <c r="ED106" s="14" t="s">
        <v>753</v>
      </c>
      <c r="EE106" s="14" t="s">
        <v>754</v>
      </c>
      <c r="EF106" s="14" t="s">
        <v>750</v>
      </c>
      <c r="EG106" s="14" t="s">
        <v>750</v>
      </c>
      <c r="EH106" s="14" t="s">
        <v>749</v>
      </c>
      <c r="EI106" s="14" t="s">
        <v>749</v>
      </c>
      <c r="EJ106" s="14" t="s">
        <v>749</v>
      </c>
      <c r="EK106" s="14" t="s">
        <v>754</v>
      </c>
      <c r="EL106" s="14" t="s">
        <v>755</v>
      </c>
      <c r="EM106" s="14" t="s">
        <v>752</v>
      </c>
      <c r="EN106" s="14" t="s">
        <v>754</v>
      </c>
      <c r="EO106" s="14" t="s">
        <v>754</v>
      </c>
      <c r="EP106" s="14" t="s">
        <v>754</v>
      </c>
      <c r="EQ106" s="14" t="s">
        <v>749</v>
      </c>
      <c r="ER106" s="14" t="s">
        <v>755</v>
      </c>
      <c r="ES106" s="14" t="s">
        <v>749</v>
      </c>
      <c r="ET106" s="14" t="s">
        <v>755</v>
      </c>
      <c r="EU106" s="14" t="s">
        <v>754</v>
      </c>
      <c r="EV106" s="14" t="s">
        <v>753</v>
      </c>
      <c r="EW106" s="14" t="s">
        <v>754</v>
      </c>
      <c r="EX106" s="14" t="s">
        <v>754</v>
      </c>
      <c r="EY106" s="14" t="s">
        <v>754</v>
      </c>
      <c r="EZ106" s="14" t="s">
        <v>754</v>
      </c>
      <c r="FA106" s="14" t="s">
        <v>749</v>
      </c>
      <c r="FB106" s="14" t="s">
        <v>752</v>
      </c>
      <c r="FC106" s="14" t="s">
        <v>749</v>
      </c>
      <c r="FD106" s="14" t="s">
        <v>749</v>
      </c>
      <c r="FE106" s="14" t="s">
        <v>757</v>
      </c>
      <c r="FF106" s="14" t="s">
        <v>749</v>
      </c>
      <c r="FG106" s="14" t="s">
        <v>755</v>
      </c>
      <c r="FH106" s="14" t="s">
        <v>749</v>
      </c>
      <c r="FI106" s="14" t="s">
        <v>755</v>
      </c>
      <c r="FJ106" s="14" t="s">
        <v>755</v>
      </c>
      <c r="FK106" s="14" t="s">
        <v>753</v>
      </c>
      <c r="FL106" s="14" t="s">
        <v>753</v>
      </c>
      <c r="FM106" s="14" t="s">
        <v>749</v>
      </c>
      <c r="FN106" s="14" t="s">
        <v>753</v>
      </c>
      <c r="FO106" s="14" t="s">
        <v>754</v>
      </c>
      <c r="FP106" s="14" t="s">
        <v>749</v>
      </c>
      <c r="FQ106" s="14" t="s">
        <v>750</v>
      </c>
      <c r="FR106" s="14" t="s">
        <v>754</v>
      </c>
      <c r="FS106" s="14" t="s">
        <v>753</v>
      </c>
      <c r="FT106" s="14" t="s">
        <v>754</v>
      </c>
      <c r="FU106" s="14" t="s">
        <v>753</v>
      </c>
      <c r="FV106" s="14" t="s">
        <v>754</v>
      </c>
      <c r="FW106" s="14" t="s">
        <v>756</v>
      </c>
      <c r="FX106" s="14" t="s">
        <v>753</v>
      </c>
      <c r="FY106" s="14" t="s">
        <v>754</v>
      </c>
      <c r="FZ106" s="14" t="s">
        <v>754</v>
      </c>
      <c r="GB106" s="14" t="s">
        <v>755</v>
      </c>
      <c r="GC106" s="14" t="s">
        <v>754</v>
      </c>
      <c r="GD106" s="14" t="s">
        <v>753</v>
      </c>
      <c r="GE106" s="14" t="s">
        <v>750</v>
      </c>
      <c r="GF106" s="20"/>
      <c r="GG106" s="20"/>
      <c r="GH106" s="14" t="s">
        <v>749</v>
      </c>
      <c r="GI106" s="14" t="s">
        <v>749</v>
      </c>
      <c r="GJ106" s="14" t="s">
        <v>750</v>
      </c>
      <c r="GK106" s="14" t="s">
        <v>751</v>
      </c>
      <c r="GL106" s="14" t="s">
        <v>749</v>
      </c>
      <c r="GM106" s="14" t="s">
        <v>752</v>
      </c>
      <c r="GN106" s="14" t="s">
        <v>753</v>
      </c>
      <c r="GO106" s="14" t="s">
        <v>754</v>
      </c>
      <c r="GP106" s="14" t="s">
        <v>752</v>
      </c>
      <c r="GQ106" s="14" t="s">
        <v>750</v>
      </c>
      <c r="GR106" s="14" t="s">
        <v>755</v>
      </c>
      <c r="GS106" s="14" t="s">
        <v>755</v>
      </c>
      <c r="GT106" s="14" t="s">
        <v>755</v>
      </c>
      <c r="GU106" s="14" t="s">
        <v>754</v>
      </c>
      <c r="GV106" s="14" t="s">
        <v>754</v>
      </c>
      <c r="GW106" s="14" t="s">
        <v>752</v>
      </c>
      <c r="GX106" s="14" t="s">
        <v>752</v>
      </c>
      <c r="GY106" s="14" t="s">
        <v>754</v>
      </c>
      <c r="GZ106" s="14" t="s">
        <v>749</v>
      </c>
      <c r="HA106" s="14" t="s">
        <v>749</v>
      </c>
      <c r="HC106" s="14" t="s">
        <v>749</v>
      </c>
      <c r="HD106" s="14" t="s">
        <v>749</v>
      </c>
      <c r="HE106" s="14" t="s">
        <v>749</v>
      </c>
      <c r="HF106" s="14" t="s">
        <v>750</v>
      </c>
      <c r="HG106" s="14" t="s">
        <v>749</v>
      </c>
      <c r="HH106" s="14" t="s">
        <v>755</v>
      </c>
      <c r="HI106" s="14" t="s">
        <v>755</v>
      </c>
      <c r="HJ106" s="14" t="s">
        <v>749</v>
      </c>
      <c r="HK106" s="14" t="s">
        <v>753</v>
      </c>
      <c r="HL106" s="14" t="s">
        <v>750</v>
      </c>
      <c r="HM106" s="14" t="s">
        <v>750</v>
      </c>
      <c r="HN106" s="14" t="s">
        <v>750</v>
      </c>
      <c r="HO106" s="14" t="s">
        <v>753</v>
      </c>
      <c r="HP106" s="14" t="s">
        <v>756</v>
      </c>
      <c r="HQ106" s="14" t="s">
        <v>749</v>
      </c>
      <c r="HR106" s="14" t="s">
        <v>752</v>
      </c>
      <c r="HS106" s="14" t="s">
        <v>753</v>
      </c>
      <c r="HT106" s="14" t="s">
        <v>755</v>
      </c>
      <c r="HU106" s="14" t="s">
        <v>66</v>
      </c>
      <c r="HV106" s="14" t="s">
        <v>755</v>
      </c>
      <c r="HW106" s="14" t="s">
        <v>754</v>
      </c>
      <c r="HX106" s="14" t="s">
        <v>754</v>
      </c>
      <c r="HY106" s="14" t="s">
        <v>749</v>
      </c>
      <c r="HZ106" s="14" t="s">
        <v>754</v>
      </c>
      <c r="IB106" s="14" t="s">
        <v>749</v>
      </c>
      <c r="IC106" s="14" t="s">
        <v>754</v>
      </c>
      <c r="ID106" s="14" t="s">
        <v>749</v>
      </c>
      <c r="IE106" s="14" t="s">
        <v>752</v>
      </c>
      <c r="IF106" s="14" t="s">
        <v>749</v>
      </c>
      <c r="IG106" s="14" t="s">
        <v>749</v>
      </c>
      <c r="IH106" s="14" t="s">
        <v>749</v>
      </c>
      <c r="II106" s="14" t="s">
        <v>752</v>
      </c>
      <c r="IJ106" s="14" t="s">
        <v>753</v>
      </c>
      <c r="IK106" s="14" t="s">
        <v>753</v>
      </c>
      <c r="IL106" s="14" t="s">
        <v>749</v>
      </c>
      <c r="IM106" s="14" t="s">
        <v>749</v>
      </c>
      <c r="IN106" s="14" t="s">
        <v>750</v>
      </c>
      <c r="IO106" s="14" t="s">
        <v>753</v>
      </c>
      <c r="IP106" s="14" t="s">
        <v>753</v>
      </c>
      <c r="IQ106" s="14" t="s">
        <v>754</v>
      </c>
      <c r="IR106" s="14" t="s">
        <v>750</v>
      </c>
      <c r="IS106" s="14" t="s">
        <v>750</v>
      </c>
      <c r="IT106" s="14" t="s">
        <v>749</v>
      </c>
      <c r="IU106" s="14" t="s">
        <v>749</v>
      </c>
      <c r="IV106" s="14" t="s">
        <v>749</v>
      </c>
      <c r="IW106" s="14" t="s">
        <v>754</v>
      </c>
      <c r="IX106" s="14" t="s">
        <v>755</v>
      </c>
      <c r="IY106" s="14" t="s">
        <v>752</v>
      </c>
      <c r="IZ106" s="14" t="s">
        <v>754</v>
      </c>
      <c r="JA106" s="14" t="s">
        <v>754</v>
      </c>
      <c r="JB106" s="14" t="s">
        <v>754</v>
      </c>
      <c r="JC106" s="14" t="s">
        <v>749</v>
      </c>
      <c r="JD106" s="14" t="s">
        <v>755</v>
      </c>
      <c r="JE106" s="14" t="s">
        <v>749</v>
      </c>
      <c r="JF106" s="14" t="s">
        <v>755</v>
      </c>
      <c r="JH106" s="14" t="s">
        <v>753</v>
      </c>
      <c r="JI106" s="14" t="s">
        <v>754</v>
      </c>
      <c r="JJ106" s="14" t="s">
        <v>754</v>
      </c>
      <c r="JK106" s="14" t="s">
        <v>754</v>
      </c>
      <c r="JL106" s="14" t="s">
        <v>749</v>
      </c>
      <c r="JM106" s="14" t="s">
        <v>752</v>
      </c>
      <c r="JN106" s="14" t="s">
        <v>749</v>
      </c>
      <c r="JO106" s="14" t="s">
        <v>749</v>
      </c>
      <c r="JP106" s="14" t="s">
        <v>757</v>
      </c>
      <c r="JQ106" s="14" t="s">
        <v>749</v>
      </c>
      <c r="JR106" s="14" t="s">
        <v>755</v>
      </c>
      <c r="JS106" s="14" t="s">
        <v>749</v>
      </c>
      <c r="JT106" s="14" t="s">
        <v>755</v>
      </c>
      <c r="JU106" s="14" t="s">
        <v>755</v>
      </c>
      <c r="JV106" s="14" t="s">
        <v>753</v>
      </c>
      <c r="JW106" s="14" t="s">
        <v>753</v>
      </c>
      <c r="JX106" s="14" t="s">
        <v>749</v>
      </c>
      <c r="JY106" s="14" t="s">
        <v>753</v>
      </c>
      <c r="JZ106" s="14" t="s">
        <v>754</v>
      </c>
      <c r="KA106" s="14" t="s">
        <v>749</v>
      </c>
      <c r="KB106" s="14" t="s">
        <v>750</v>
      </c>
      <c r="KC106" s="14" t="s">
        <v>754</v>
      </c>
      <c r="KD106" s="14" t="s">
        <v>753</v>
      </c>
      <c r="KE106" s="14" t="s">
        <v>754</v>
      </c>
      <c r="KF106" s="14" t="s">
        <v>753</v>
      </c>
      <c r="KG106" s="14" t="s">
        <v>754</v>
      </c>
      <c r="KH106" s="14" t="s">
        <v>756</v>
      </c>
      <c r="KI106" s="14" t="s">
        <v>753</v>
      </c>
      <c r="KJ106" s="14" t="s">
        <v>754</v>
      </c>
      <c r="KK106" s="14" t="s">
        <v>754</v>
      </c>
      <c r="KM106" s="14" t="s">
        <v>755</v>
      </c>
      <c r="KN106" s="14" t="s">
        <v>754</v>
      </c>
      <c r="KO106" s="14" t="s">
        <v>753</v>
      </c>
      <c r="KP106" s="14" t="s">
        <v>750</v>
      </c>
      <c r="KQ106" s="20"/>
      <c r="KR106" s="20"/>
      <c r="LA106" s="20"/>
      <c r="LB106" s="21" t="s">
        <v>148</v>
      </c>
      <c r="LC106" s="21" t="s">
        <v>758</v>
      </c>
      <c r="LD106" s="21" t="s">
        <v>9</v>
      </c>
      <c r="LE106" s="21"/>
      <c r="LF106" s="21" t="s">
        <v>759</v>
      </c>
      <c r="LG106" s="21"/>
      <c r="LH106" s="21" t="s">
        <v>758</v>
      </c>
      <c r="LI106" s="21"/>
      <c r="LJ106" s="21"/>
      <c r="LK106" s="21" t="s">
        <v>9</v>
      </c>
      <c r="LL106" s="21" t="s">
        <v>758</v>
      </c>
      <c r="LM106" s="21"/>
      <c r="LN106" s="21"/>
      <c r="LO106" s="21" t="s">
        <v>9</v>
      </c>
      <c r="LP106" s="21" t="s">
        <v>160</v>
      </c>
      <c r="LQ106" s="21" t="s">
        <v>760</v>
      </c>
      <c r="LR106" s="21"/>
      <c r="LS106" s="21" t="s">
        <v>16</v>
      </c>
      <c r="LT106" s="21" t="s">
        <v>761</v>
      </c>
      <c r="LU106" s="21" t="s">
        <v>9</v>
      </c>
      <c r="LV106" s="21" t="s">
        <v>9</v>
      </c>
      <c r="LW106" s="21" t="s">
        <v>167</v>
      </c>
      <c r="LX106" s="21" t="s">
        <v>762</v>
      </c>
      <c r="LY106" s="21" t="s">
        <v>763</v>
      </c>
      <c r="LZ106" s="21" t="s">
        <v>764</v>
      </c>
      <c r="MA106" s="21"/>
      <c r="MB106" s="21" t="s">
        <v>758</v>
      </c>
      <c r="MC106" s="21" t="s">
        <v>9</v>
      </c>
      <c r="MD106" s="21"/>
      <c r="ME106" s="21" t="s">
        <v>763</v>
      </c>
      <c r="MF106" s="21"/>
      <c r="MG106" s="21" t="s">
        <v>9</v>
      </c>
      <c r="MH106" s="21" t="s">
        <v>763</v>
      </c>
      <c r="MI106" s="21" t="s">
        <v>765</v>
      </c>
    </row>
    <row r="107" spans="1:347" s="14" customFormat="1" x14ac:dyDescent="0.25">
      <c r="A107" s="14" t="s">
        <v>766</v>
      </c>
      <c r="C107" s="21"/>
      <c r="Y107" s="22"/>
      <c r="BV107" s="14" t="s">
        <v>48</v>
      </c>
      <c r="BW107" s="14" t="s">
        <v>55</v>
      </c>
      <c r="BX107" s="14" t="s">
        <v>59</v>
      </c>
      <c r="BY107" s="14" t="s">
        <v>767</v>
      </c>
      <c r="BZ107" s="14" t="s">
        <v>48</v>
      </c>
      <c r="CA107" s="14" t="s">
        <v>768</v>
      </c>
      <c r="CB107" s="14" t="s">
        <v>139</v>
      </c>
      <c r="CC107" s="14" t="s">
        <v>769</v>
      </c>
      <c r="CD107" s="14" t="s">
        <v>770</v>
      </c>
      <c r="CE107" s="14" t="s">
        <v>771</v>
      </c>
      <c r="CF107" s="14" t="s">
        <v>772</v>
      </c>
      <c r="CG107" s="14" t="s">
        <v>773</v>
      </c>
      <c r="CH107" s="14" t="s">
        <v>773</v>
      </c>
      <c r="CI107" s="14" t="s">
        <v>774</v>
      </c>
      <c r="CJ107" s="14" t="s">
        <v>775</v>
      </c>
      <c r="CK107" s="14" t="s">
        <v>42</v>
      </c>
      <c r="CL107" s="14" t="s">
        <v>42</v>
      </c>
      <c r="CM107" s="14" t="s">
        <v>776</v>
      </c>
      <c r="CN107" s="14" t="s">
        <v>48</v>
      </c>
      <c r="CO107" s="14" t="s">
        <v>48</v>
      </c>
      <c r="CQ107" s="14" t="s">
        <v>48</v>
      </c>
      <c r="CS107" s="14" t="s">
        <v>48</v>
      </c>
      <c r="CT107" s="14" t="s">
        <v>59</v>
      </c>
      <c r="CU107" s="14" t="s">
        <v>777</v>
      </c>
      <c r="CV107" s="14" t="s">
        <v>54</v>
      </c>
      <c r="CW107" s="14" t="s">
        <v>54</v>
      </c>
      <c r="CX107" s="14" t="s">
        <v>55</v>
      </c>
      <c r="CY107" s="14" t="s">
        <v>139</v>
      </c>
      <c r="CZ107" s="14" t="s">
        <v>59</v>
      </c>
      <c r="DA107" s="14" t="s">
        <v>59</v>
      </c>
      <c r="DB107" s="14" t="s">
        <v>59</v>
      </c>
      <c r="DC107" s="14" t="s">
        <v>81</v>
      </c>
      <c r="DD107" s="14" t="s">
        <v>778</v>
      </c>
      <c r="DE107" s="14" t="s">
        <v>48</v>
      </c>
      <c r="DF107" s="14" t="s">
        <v>42</v>
      </c>
      <c r="DG107" s="14" t="s">
        <v>779</v>
      </c>
      <c r="DH107" s="14" t="s">
        <v>772</v>
      </c>
      <c r="DJ107" s="14" t="s">
        <v>54</v>
      </c>
      <c r="DK107" s="14" t="s">
        <v>780</v>
      </c>
      <c r="DL107" s="14" t="s">
        <v>780</v>
      </c>
      <c r="DM107" s="14" t="s">
        <v>48</v>
      </c>
      <c r="DN107" s="14" t="s">
        <v>775</v>
      </c>
      <c r="DP107" s="14" t="s">
        <v>117</v>
      </c>
      <c r="DQ107" s="14" t="s">
        <v>781</v>
      </c>
      <c r="DR107" s="14" t="s">
        <v>117</v>
      </c>
      <c r="DS107" s="14" t="s">
        <v>782</v>
      </c>
      <c r="DT107" s="14" t="s">
        <v>48</v>
      </c>
      <c r="DU107" s="14" t="s">
        <v>48</v>
      </c>
      <c r="DV107" s="14" t="s">
        <v>117</v>
      </c>
      <c r="DW107" s="14" t="s">
        <v>770</v>
      </c>
      <c r="DX107" s="14" t="s">
        <v>81</v>
      </c>
      <c r="DY107" s="14" t="s">
        <v>81</v>
      </c>
      <c r="DZ107" s="14" t="s">
        <v>55</v>
      </c>
      <c r="EA107" s="14" t="s">
        <v>55</v>
      </c>
      <c r="EB107" s="14" t="s">
        <v>59</v>
      </c>
      <c r="EC107" s="14" t="s">
        <v>139</v>
      </c>
      <c r="ED107" s="14" t="s">
        <v>81</v>
      </c>
      <c r="EE107" s="14" t="s">
        <v>98</v>
      </c>
      <c r="EF107" s="14" t="s">
        <v>783</v>
      </c>
      <c r="EG107" s="14" t="s">
        <v>784</v>
      </c>
      <c r="EH107" s="14" t="s">
        <v>55</v>
      </c>
      <c r="EI107" s="14" t="s">
        <v>48</v>
      </c>
      <c r="EJ107" s="14" t="s">
        <v>777</v>
      </c>
      <c r="EK107" s="14" t="s">
        <v>776</v>
      </c>
      <c r="EL107" s="14" t="s">
        <v>773</v>
      </c>
      <c r="EM107" s="14" t="s">
        <v>42</v>
      </c>
      <c r="EN107" s="14" t="s">
        <v>98</v>
      </c>
      <c r="EO107" s="14" t="s">
        <v>98</v>
      </c>
      <c r="EP107" s="14" t="s">
        <v>98</v>
      </c>
      <c r="EQ107" s="14" t="s">
        <v>55</v>
      </c>
      <c r="ER107" s="14" t="s">
        <v>54</v>
      </c>
      <c r="ES107" s="14" t="s">
        <v>55</v>
      </c>
      <c r="ET107" s="14" t="s">
        <v>773</v>
      </c>
      <c r="EU107" s="14" t="s">
        <v>775</v>
      </c>
      <c r="EV107" s="14" t="s">
        <v>139</v>
      </c>
      <c r="EW107" s="14" t="s">
        <v>775</v>
      </c>
      <c r="EX107" s="14" t="s">
        <v>785</v>
      </c>
      <c r="EY107" s="14" t="s">
        <v>786</v>
      </c>
      <c r="EZ107" s="14" t="s">
        <v>775</v>
      </c>
      <c r="FA107" s="14" t="s">
        <v>55</v>
      </c>
      <c r="FB107" s="14" t="s">
        <v>42</v>
      </c>
      <c r="FC107" s="14" t="s">
        <v>48</v>
      </c>
      <c r="FD107" s="14" t="s">
        <v>48</v>
      </c>
      <c r="FE107" s="14" t="s">
        <v>787</v>
      </c>
      <c r="FF107" s="14" t="s">
        <v>117</v>
      </c>
      <c r="FG107" s="14" t="s">
        <v>54</v>
      </c>
      <c r="FH107" s="14" t="s">
        <v>117</v>
      </c>
      <c r="FI107" s="14" t="s">
        <v>54</v>
      </c>
      <c r="FJ107" s="14" t="s">
        <v>772</v>
      </c>
      <c r="FK107" s="14" t="s">
        <v>120</v>
      </c>
      <c r="FL107" s="14" t="s">
        <v>120</v>
      </c>
      <c r="FM107" s="14" t="s">
        <v>48</v>
      </c>
      <c r="FN107" s="14" t="s">
        <v>139</v>
      </c>
      <c r="FO107" s="14" t="s">
        <v>775</v>
      </c>
      <c r="FP107" s="14" t="s">
        <v>117</v>
      </c>
      <c r="FQ107" s="14" t="s">
        <v>771</v>
      </c>
      <c r="FR107" s="14" t="s">
        <v>788</v>
      </c>
      <c r="FS107" s="14" t="s">
        <v>81</v>
      </c>
      <c r="FT107" s="14" t="s">
        <v>786</v>
      </c>
      <c r="FU107" s="14" t="s">
        <v>139</v>
      </c>
      <c r="FV107" s="14" t="s">
        <v>789</v>
      </c>
      <c r="FW107" s="14" t="s">
        <v>778</v>
      </c>
      <c r="FX107" s="14" t="s">
        <v>139</v>
      </c>
      <c r="FY107" s="14" t="s">
        <v>774</v>
      </c>
      <c r="FZ107" s="14" t="s">
        <v>786</v>
      </c>
      <c r="GB107" s="14" t="s">
        <v>54</v>
      </c>
      <c r="GC107" s="14" t="s">
        <v>98</v>
      </c>
      <c r="GD107" s="14" t="s">
        <v>139</v>
      </c>
      <c r="GE107" s="14" t="s">
        <v>59</v>
      </c>
      <c r="GF107" s="20"/>
      <c r="GG107" s="20"/>
      <c r="GH107" s="14" t="s">
        <v>48</v>
      </c>
      <c r="GI107" s="14" t="s">
        <v>55</v>
      </c>
      <c r="GJ107" s="14" t="s">
        <v>59</v>
      </c>
      <c r="GK107" s="14" t="s">
        <v>767</v>
      </c>
      <c r="GL107" s="14" t="s">
        <v>48</v>
      </c>
      <c r="GM107" s="14" t="s">
        <v>768</v>
      </c>
      <c r="GN107" s="14" t="s">
        <v>139</v>
      </c>
      <c r="GO107" s="14" t="s">
        <v>769</v>
      </c>
      <c r="GP107" s="14" t="s">
        <v>770</v>
      </c>
      <c r="GQ107" s="14" t="s">
        <v>771</v>
      </c>
      <c r="GR107" s="14" t="s">
        <v>772</v>
      </c>
      <c r="GS107" s="14" t="s">
        <v>773</v>
      </c>
      <c r="GT107" s="14" t="s">
        <v>773</v>
      </c>
      <c r="GU107" s="14" t="s">
        <v>774</v>
      </c>
      <c r="GV107" s="14" t="s">
        <v>775</v>
      </c>
      <c r="GW107" s="14" t="s">
        <v>42</v>
      </c>
      <c r="GX107" s="14" t="s">
        <v>42</v>
      </c>
      <c r="GY107" s="14" t="s">
        <v>776</v>
      </c>
      <c r="GZ107" s="14" t="s">
        <v>48</v>
      </c>
      <c r="HA107" s="14" t="s">
        <v>48</v>
      </c>
      <c r="HC107" s="14" t="s">
        <v>48</v>
      </c>
      <c r="HE107" s="14" t="s">
        <v>48</v>
      </c>
      <c r="HF107" s="14" t="s">
        <v>59</v>
      </c>
      <c r="HG107" s="14" t="s">
        <v>777</v>
      </c>
      <c r="HH107" s="14" t="s">
        <v>54</v>
      </c>
      <c r="HI107" s="14" t="s">
        <v>54</v>
      </c>
      <c r="HJ107" s="14" t="s">
        <v>55</v>
      </c>
      <c r="HK107" s="14" t="s">
        <v>139</v>
      </c>
      <c r="HL107" s="14" t="s">
        <v>59</v>
      </c>
      <c r="HM107" s="14" t="s">
        <v>59</v>
      </c>
      <c r="HN107" s="14" t="s">
        <v>59</v>
      </c>
      <c r="HO107" s="14" t="s">
        <v>81</v>
      </c>
      <c r="HP107" s="14" t="s">
        <v>778</v>
      </c>
      <c r="HQ107" s="14" t="s">
        <v>48</v>
      </c>
      <c r="HR107" s="14" t="s">
        <v>42</v>
      </c>
      <c r="HS107" s="14" t="s">
        <v>779</v>
      </c>
      <c r="HT107" s="14" t="s">
        <v>772</v>
      </c>
      <c r="HV107" s="14" t="s">
        <v>54</v>
      </c>
      <c r="HW107" s="14" t="s">
        <v>780</v>
      </c>
      <c r="HX107" s="14" t="s">
        <v>780</v>
      </c>
      <c r="HY107" s="14" t="s">
        <v>48</v>
      </c>
      <c r="HZ107" s="14" t="s">
        <v>775</v>
      </c>
      <c r="IB107" s="14" t="s">
        <v>117</v>
      </c>
      <c r="IC107" s="14" t="s">
        <v>781</v>
      </c>
      <c r="ID107" s="14" t="s">
        <v>117</v>
      </c>
      <c r="IE107" s="14" t="s">
        <v>782</v>
      </c>
      <c r="IF107" s="14" t="s">
        <v>48</v>
      </c>
      <c r="IG107" s="14" t="s">
        <v>48</v>
      </c>
      <c r="IH107" s="14" t="s">
        <v>117</v>
      </c>
      <c r="II107" s="14" t="s">
        <v>770</v>
      </c>
      <c r="IJ107" s="14" t="s">
        <v>81</v>
      </c>
      <c r="IK107" s="14" t="s">
        <v>81</v>
      </c>
      <c r="IL107" s="14" t="s">
        <v>55</v>
      </c>
      <c r="IM107" s="14" t="s">
        <v>55</v>
      </c>
      <c r="IN107" s="14" t="s">
        <v>59</v>
      </c>
      <c r="IO107" s="14" t="s">
        <v>139</v>
      </c>
      <c r="IP107" s="14" t="s">
        <v>81</v>
      </c>
      <c r="IQ107" s="14" t="s">
        <v>98</v>
      </c>
      <c r="IR107" s="14" t="s">
        <v>783</v>
      </c>
      <c r="IS107" s="14" t="s">
        <v>784</v>
      </c>
      <c r="IT107" s="14" t="s">
        <v>55</v>
      </c>
      <c r="IU107" s="14" t="s">
        <v>48</v>
      </c>
      <c r="IV107" s="14" t="s">
        <v>777</v>
      </c>
      <c r="IW107" s="14" t="s">
        <v>776</v>
      </c>
      <c r="IX107" s="14" t="s">
        <v>773</v>
      </c>
      <c r="IY107" s="14" t="s">
        <v>42</v>
      </c>
      <c r="IZ107" s="14" t="s">
        <v>98</v>
      </c>
      <c r="JA107" s="14" t="s">
        <v>98</v>
      </c>
      <c r="JB107" s="14" t="s">
        <v>98</v>
      </c>
      <c r="JC107" s="14" t="s">
        <v>55</v>
      </c>
      <c r="JD107" s="14" t="s">
        <v>54</v>
      </c>
      <c r="JE107" s="14" t="s">
        <v>55</v>
      </c>
      <c r="JF107" s="14" t="s">
        <v>773</v>
      </c>
      <c r="JH107" s="14" t="s">
        <v>139</v>
      </c>
      <c r="JI107" s="14" t="s">
        <v>785</v>
      </c>
      <c r="JJ107" s="14" t="s">
        <v>786</v>
      </c>
      <c r="JK107" s="14" t="s">
        <v>775</v>
      </c>
      <c r="JL107" s="14" t="s">
        <v>55</v>
      </c>
      <c r="JM107" s="14" t="s">
        <v>42</v>
      </c>
      <c r="JN107" s="14" t="s">
        <v>48</v>
      </c>
      <c r="JO107" s="14" t="s">
        <v>48</v>
      </c>
      <c r="JP107" s="14" t="s">
        <v>787</v>
      </c>
      <c r="JQ107" s="14" t="s">
        <v>117</v>
      </c>
      <c r="JR107" s="14" t="s">
        <v>54</v>
      </c>
      <c r="JS107" s="14" t="s">
        <v>117</v>
      </c>
      <c r="JT107" s="14" t="s">
        <v>54</v>
      </c>
      <c r="JU107" s="14" t="s">
        <v>772</v>
      </c>
      <c r="JV107" s="14" t="s">
        <v>120</v>
      </c>
      <c r="JW107" s="14" t="s">
        <v>120</v>
      </c>
      <c r="JX107" s="14" t="s">
        <v>48</v>
      </c>
      <c r="JY107" s="14" t="s">
        <v>139</v>
      </c>
      <c r="JZ107" s="14" t="s">
        <v>775</v>
      </c>
      <c r="KA107" s="14" t="s">
        <v>117</v>
      </c>
      <c r="KB107" s="14" t="s">
        <v>771</v>
      </c>
      <c r="KC107" s="14" t="s">
        <v>788</v>
      </c>
      <c r="KD107" s="14" t="s">
        <v>81</v>
      </c>
      <c r="KE107" s="14" t="s">
        <v>786</v>
      </c>
      <c r="KF107" s="14" t="s">
        <v>139</v>
      </c>
      <c r="KG107" s="14" t="s">
        <v>789</v>
      </c>
      <c r="KH107" s="14" t="s">
        <v>778</v>
      </c>
      <c r="KI107" s="14" t="s">
        <v>139</v>
      </c>
      <c r="KJ107" s="14" t="s">
        <v>774</v>
      </c>
      <c r="KK107" s="14" t="s">
        <v>786</v>
      </c>
      <c r="KM107" s="14" t="s">
        <v>54</v>
      </c>
      <c r="KN107" s="14" t="s">
        <v>98</v>
      </c>
      <c r="KO107" s="14" t="s">
        <v>139</v>
      </c>
      <c r="KP107" s="14" t="s">
        <v>59</v>
      </c>
      <c r="KQ107" s="20"/>
      <c r="KR107" s="20"/>
      <c r="LA107" s="20"/>
      <c r="LC107" s="21" t="s">
        <v>153</v>
      </c>
      <c r="LD107" s="21"/>
      <c r="LE107" s="21"/>
      <c r="LF107" s="21" t="s">
        <v>151</v>
      </c>
      <c r="LG107" s="21"/>
      <c r="LH107" s="21" t="s">
        <v>153</v>
      </c>
      <c r="LI107" s="21"/>
      <c r="LJ107" s="21"/>
      <c r="LK107" s="21" t="s">
        <v>5</v>
      </c>
      <c r="LL107" s="21" t="s">
        <v>790</v>
      </c>
      <c r="LM107" s="21"/>
      <c r="LN107" s="21"/>
      <c r="LO107" s="21" t="s">
        <v>159</v>
      </c>
      <c r="LP107" s="21"/>
      <c r="LQ107" s="21" t="s">
        <v>161</v>
      </c>
      <c r="LR107" s="21"/>
      <c r="LS107" s="21" t="s">
        <v>791</v>
      </c>
      <c r="LT107" s="21" t="s">
        <v>792</v>
      </c>
      <c r="LU107" s="21" t="s">
        <v>165</v>
      </c>
      <c r="LV107" s="21" t="s">
        <v>176</v>
      </c>
      <c r="LW107" s="21"/>
      <c r="LX107" s="21" t="s">
        <v>168</v>
      </c>
      <c r="LY107" s="21" t="s">
        <v>793</v>
      </c>
      <c r="LZ107" s="21" t="s">
        <v>170</v>
      </c>
      <c r="MA107" s="21" t="s">
        <v>171</v>
      </c>
      <c r="MB107" s="21" t="s">
        <v>794</v>
      </c>
      <c r="MC107" s="21" t="s">
        <v>795</v>
      </c>
      <c r="MD107" s="21"/>
      <c r="ME107" s="21" t="s">
        <v>174</v>
      </c>
      <c r="MF107" s="21"/>
      <c r="MG107" s="21" t="s">
        <v>176</v>
      </c>
      <c r="MH107" s="21" t="s">
        <v>177</v>
      </c>
      <c r="MI107" s="21" t="s">
        <v>178</v>
      </c>
    </row>
    <row r="108" spans="1:347" s="14" customFormat="1" x14ac:dyDescent="0.25">
      <c r="A108" s="14" t="s">
        <v>796</v>
      </c>
      <c r="C108" s="21"/>
      <c r="Y108" s="22"/>
      <c r="BV108" s="14" t="s">
        <v>27</v>
      </c>
      <c r="BW108" s="14" t="s">
        <v>28</v>
      </c>
      <c r="BX108" s="14" t="s">
        <v>29</v>
      </c>
      <c r="BY108" s="14" t="s">
        <v>30</v>
      </c>
      <c r="BZ108" s="14" t="s">
        <v>31</v>
      </c>
      <c r="CA108" s="14" t="s">
        <v>32</v>
      </c>
      <c r="CB108" s="14" t="s">
        <v>33</v>
      </c>
      <c r="CC108" s="14" t="s">
        <v>643</v>
      </c>
      <c r="CD108" s="14" t="s">
        <v>35</v>
      </c>
      <c r="CE108" s="14" t="s">
        <v>36</v>
      </c>
      <c r="CF108" s="14" t="s">
        <v>37</v>
      </c>
      <c r="CG108" s="14" t="s">
        <v>38</v>
      </c>
      <c r="CH108" s="14" t="s">
        <v>39</v>
      </c>
      <c r="CI108" s="14" t="s">
        <v>40</v>
      </c>
      <c r="CJ108" s="14" t="s">
        <v>41</v>
      </c>
      <c r="CL108" s="14" t="s">
        <v>43</v>
      </c>
      <c r="CM108" s="14" t="s">
        <v>44</v>
      </c>
      <c r="CN108" s="14" t="s">
        <v>45</v>
      </c>
      <c r="CO108" s="14" t="s">
        <v>46</v>
      </c>
      <c r="CS108" s="14" t="s">
        <v>50</v>
      </c>
      <c r="CT108" s="14" t="s">
        <v>51</v>
      </c>
      <c r="CU108" s="14" t="s">
        <v>52</v>
      </c>
      <c r="CV108" s="14" t="s">
        <v>53</v>
      </c>
      <c r="CY108" s="14" t="s">
        <v>56</v>
      </c>
      <c r="CZ108" s="14" t="s">
        <v>57</v>
      </c>
      <c r="DA108" s="14" t="s">
        <v>58</v>
      </c>
      <c r="DC108" s="14" t="s">
        <v>60</v>
      </c>
      <c r="DD108" s="14" t="s">
        <v>61</v>
      </c>
      <c r="DE108" s="14" t="s">
        <v>62</v>
      </c>
      <c r="DF108" s="14" t="s">
        <v>63</v>
      </c>
      <c r="DG108" s="14" t="s">
        <v>64</v>
      </c>
      <c r="DH108" s="14" t="s">
        <v>65</v>
      </c>
      <c r="DJ108" s="14" t="s">
        <v>67</v>
      </c>
      <c r="DK108" s="14" t="s">
        <v>68</v>
      </c>
      <c r="DL108" s="14" t="s">
        <v>644</v>
      </c>
      <c r="DM108" s="14" t="s">
        <v>70</v>
      </c>
      <c r="DN108" s="14" t="s">
        <v>71</v>
      </c>
      <c r="DP108" s="14" t="s">
        <v>73</v>
      </c>
      <c r="DQ108" s="14" t="s">
        <v>74</v>
      </c>
      <c r="DR108" s="14" t="s">
        <v>75</v>
      </c>
      <c r="DS108" s="14" t="s">
        <v>76</v>
      </c>
      <c r="DT108" s="14" t="s">
        <v>77</v>
      </c>
      <c r="DU108" s="14" t="s">
        <v>78</v>
      </c>
      <c r="DV108" s="14" t="s">
        <v>79</v>
      </c>
      <c r="DW108" s="14" t="s">
        <v>80</v>
      </c>
      <c r="DY108" s="14" t="s">
        <v>82</v>
      </c>
      <c r="DZ108" s="14" t="s">
        <v>83</v>
      </c>
      <c r="EA108" s="14" t="s">
        <v>84</v>
      </c>
      <c r="EB108" s="14" t="s">
        <v>85</v>
      </c>
      <c r="EC108" s="14" t="s">
        <v>86</v>
      </c>
      <c r="ED108" s="14" t="s">
        <v>87</v>
      </c>
      <c r="EE108" s="14" t="s">
        <v>88</v>
      </c>
      <c r="EF108" s="14" t="s">
        <v>89</v>
      </c>
      <c r="EG108" s="14" t="s">
        <v>90</v>
      </c>
      <c r="EH108" s="14" t="s">
        <v>91</v>
      </c>
      <c r="EI108" s="14" t="s">
        <v>645</v>
      </c>
      <c r="EJ108" s="14" t="s">
        <v>93</v>
      </c>
      <c r="EK108" s="14" t="s">
        <v>94</v>
      </c>
      <c r="EL108" s="14" t="s">
        <v>95</v>
      </c>
      <c r="EM108" s="14" t="s">
        <v>96</v>
      </c>
      <c r="EN108" s="14" t="s">
        <v>97</v>
      </c>
      <c r="EP108" s="14" t="s">
        <v>99</v>
      </c>
      <c r="EQ108" s="14" t="s">
        <v>100</v>
      </c>
      <c r="ER108" s="14" t="s">
        <v>101</v>
      </c>
      <c r="ES108" s="14" t="s">
        <v>102</v>
      </c>
      <c r="ET108" s="14" t="s">
        <v>646</v>
      </c>
      <c r="EU108" s="14" t="s">
        <v>106</v>
      </c>
      <c r="EV108" s="14" t="s">
        <v>105</v>
      </c>
      <c r="EW108" s="14" t="s">
        <v>106</v>
      </c>
      <c r="EX108" s="14" t="s">
        <v>107</v>
      </c>
      <c r="EY108" s="14" t="s">
        <v>108</v>
      </c>
      <c r="EZ108" s="14" t="s">
        <v>109</v>
      </c>
      <c r="FA108" s="14" t="s">
        <v>110</v>
      </c>
      <c r="FB108" s="14" t="s">
        <v>111</v>
      </c>
      <c r="FC108" s="14" t="s">
        <v>112</v>
      </c>
      <c r="FD108" s="14" t="s">
        <v>113</v>
      </c>
      <c r="FE108" s="14" t="s">
        <v>114</v>
      </c>
      <c r="FF108" s="14" t="s">
        <v>115</v>
      </c>
      <c r="FG108" s="14" t="s">
        <v>116</v>
      </c>
      <c r="FI108" s="14" t="s">
        <v>118</v>
      </c>
      <c r="FJ108" s="14" t="s">
        <v>119</v>
      </c>
      <c r="FL108" s="14" t="s">
        <v>121</v>
      </c>
      <c r="FM108" s="14" t="s">
        <v>122</v>
      </c>
      <c r="FN108" s="14" t="s">
        <v>123</v>
      </c>
      <c r="FO108" s="14" t="s">
        <v>124</v>
      </c>
      <c r="FP108" s="14" t="s">
        <v>125</v>
      </c>
      <c r="FQ108" s="14" t="s">
        <v>126</v>
      </c>
      <c r="FR108" s="14" t="s">
        <v>127</v>
      </c>
      <c r="FS108" s="14" t="s">
        <v>128</v>
      </c>
      <c r="FT108" s="14" t="s">
        <v>129</v>
      </c>
      <c r="FU108" s="14" t="s">
        <v>130</v>
      </c>
      <c r="FV108" s="14" t="s">
        <v>131</v>
      </c>
      <c r="FW108" s="14" t="s">
        <v>132</v>
      </c>
      <c r="FX108" s="14" t="s">
        <v>647</v>
      </c>
      <c r="FY108" s="14" t="s">
        <v>134</v>
      </c>
      <c r="FZ108" s="14" t="s">
        <v>135</v>
      </c>
      <c r="GB108" s="14" t="s">
        <v>137</v>
      </c>
      <c r="GC108" s="14" t="s">
        <v>138</v>
      </c>
      <c r="GE108" s="14" t="s">
        <v>140</v>
      </c>
      <c r="GF108" s="20"/>
      <c r="GG108" s="20"/>
      <c r="GH108" s="14" t="s">
        <v>27</v>
      </c>
      <c r="GI108" s="14" t="s">
        <v>28</v>
      </c>
      <c r="GJ108" s="14" t="s">
        <v>29</v>
      </c>
      <c r="GK108" s="14" t="s">
        <v>30</v>
      </c>
      <c r="GL108" s="14" t="s">
        <v>31</v>
      </c>
      <c r="GM108" s="14" t="s">
        <v>32</v>
      </c>
      <c r="GN108" s="14" t="s">
        <v>33</v>
      </c>
      <c r="GO108" s="14" t="s">
        <v>643</v>
      </c>
      <c r="GP108" s="14" t="s">
        <v>35</v>
      </c>
      <c r="GQ108" s="14" t="s">
        <v>36</v>
      </c>
      <c r="GR108" s="14" t="s">
        <v>37</v>
      </c>
      <c r="GS108" s="14" t="s">
        <v>38</v>
      </c>
      <c r="GT108" s="14" t="s">
        <v>39</v>
      </c>
      <c r="GU108" s="14" t="s">
        <v>40</v>
      </c>
      <c r="GV108" s="14" t="s">
        <v>41</v>
      </c>
      <c r="GX108" s="14" t="s">
        <v>43</v>
      </c>
      <c r="GY108" s="14" t="s">
        <v>44</v>
      </c>
      <c r="GZ108" s="14" t="s">
        <v>45</v>
      </c>
      <c r="HA108" s="14" t="s">
        <v>46</v>
      </c>
      <c r="HE108" s="14" t="s">
        <v>50</v>
      </c>
      <c r="HF108" s="14" t="s">
        <v>51</v>
      </c>
      <c r="HG108" s="14" t="s">
        <v>52</v>
      </c>
      <c r="HH108" s="14" t="s">
        <v>53</v>
      </c>
      <c r="HK108" s="14" t="s">
        <v>56</v>
      </c>
      <c r="HL108" s="14" t="s">
        <v>57</v>
      </c>
      <c r="HM108" s="14" t="s">
        <v>58</v>
      </c>
      <c r="HO108" s="14" t="s">
        <v>60</v>
      </c>
      <c r="HP108" s="14" t="s">
        <v>61</v>
      </c>
      <c r="HQ108" s="14" t="s">
        <v>62</v>
      </c>
      <c r="HR108" s="14" t="s">
        <v>63</v>
      </c>
      <c r="HS108" s="14" t="s">
        <v>64</v>
      </c>
      <c r="HT108" s="14" t="s">
        <v>65</v>
      </c>
      <c r="HV108" s="14" t="s">
        <v>67</v>
      </c>
      <c r="HW108" s="14" t="s">
        <v>68</v>
      </c>
      <c r="HX108" s="14" t="s">
        <v>644</v>
      </c>
      <c r="HY108" s="14" t="s">
        <v>70</v>
      </c>
      <c r="HZ108" s="14" t="s">
        <v>71</v>
      </c>
      <c r="IB108" s="14" t="s">
        <v>73</v>
      </c>
      <c r="IC108" s="14" t="s">
        <v>74</v>
      </c>
      <c r="ID108" s="14" t="s">
        <v>75</v>
      </c>
      <c r="IE108" s="14" t="s">
        <v>76</v>
      </c>
      <c r="IF108" s="14" t="s">
        <v>77</v>
      </c>
      <c r="IG108" s="14" t="s">
        <v>78</v>
      </c>
      <c r="IH108" s="14" t="s">
        <v>79</v>
      </c>
      <c r="II108" s="14" t="s">
        <v>80</v>
      </c>
      <c r="IK108" s="14" t="s">
        <v>82</v>
      </c>
      <c r="IL108" s="14" t="s">
        <v>83</v>
      </c>
      <c r="IM108" s="14" t="s">
        <v>84</v>
      </c>
      <c r="IN108" s="14" t="s">
        <v>85</v>
      </c>
      <c r="IO108" s="14" t="s">
        <v>86</v>
      </c>
      <c r="IP108" s="14" t="s">
        <v>87</v>
      </c>
      <c r="IQ108" s="14" t="s">
        <v>88</v>
      </c>
      <c r="IR108" s="14" t="s">
        <v>89</v>
      </c>
      <c r="IS108" s="14" t="s">
        <v>90</v>
      </c>
      <c r="IT108" s="14" t="s">
        <v>91</v>
      </c>
      <c r="IU108" s="14" t="s">
        <v>645</v>
      </c>
      <c r="IV108" s="14" t="s">
        <v>93</v>
      </c>
      <c r="IW108" s="14" t="s">
        <v>94</v>
      </c>
      <c r="IX108" s="14" t="s">
        <v>95</v>
      </c>
      <c r="IY108" s="14" t="s">
        <v>96</v>
      </c>
      <c r="IZ108" s="14" t="s">
        <v>97</v>
      </c>
      <c r="JB108" s="14" t="s">
        <v>99</v>
      </c>
      <c r="JC108" s="14" t="s">
        <v>100</v>
      </c>
      <c r="JD108" s="14" t="s">
        <v>101</v>
      </c>
      <c r="JE108" s="14" t="s">
        <v>102</v>
      </c>
      <c r="JF108" s="14" t="s">
        <v>646</v>
      </c>
      <c r="JH108" s="14" t="s">
        <v>105</v>
      </c>
      <c r="JI108" s="14" t="s">
        <v>107</v>
      </c>
      <c r="JJ108" s="14" t="s">
        <v>108</v>
      </c>
      <c r="JK108" s="14" t="s">
        <v>109</v>
      </c>
      <c r="JL108" s="14" t="s">
        <v>110</v>
      </c>
      <c r="JM108" s="14" t="s">
        <v>111</v>
      </c>
      <c r="JN108" s="14" t="s">
        <v>112</v>
      </c>
      <c r="JO108" s="14" t="s">
        <v>113</v>
      </c>
      <c r="JP108" s="14" t="s">
        <v>114</v>
      </c>
      <c r="JQ108" s="14" t="s">
        <v>115</v>
      </c>
      <c r="JR108" s="14" t="s">
        <v>116</v>
      </c>
      <c r="JT108" s="14" t="s">
        <v>118</v>
      </c>
      <c r="JU108" s="14" t="s">
        <v>119</v>
      </c>
      <c r="JW108" s="14" t="s">
        <v>121</v>
      </c>
      <c r="JX108" s="14" t="s">
        <v>122</v>
      </c>
      <c r="JY108" s="14" t="s">
        <v>123</v>
      </c>
      <c r="JZ108" s="14" t="s">
        <v>124</v>
      </c>
      <c r="KA108" s="14" t="s">
        <v>125</v>
      </c>
      <c r="KB108" s="14" t="s">
        <v>126</v>
      </c>
      <c r="KC108" s="14" t="s">
        <v>127</v>
      </c>
      <c r="KD108" s="14" t="s">
        <v>128</v>
      </c>
      <c r="KE108" s="14" t="s">
        <v>129</v>
      </c>
      <c r="KF108" s="14" t="s">
        <v>130</v>
      </c>
      <c r="KG108" s="14" t="s">
        <v>131</v>
      </c>
      <c r="KH108" s="14" t="s">
        <v>132</v>
      </c>
      <c r="KI108" s="14" t="s">
        <v>647</v>
      </c>
      <c r="KJ108" s="14" t="s">
        <v>134</v>
      </c>
      <c r="KK108" s="14" t="s">
        <v>135</v>
      </c>
      <c r="KM108" s="14" t="s">
        <v>137</v>
      </c>
      <c r="KN108" s="14" t="s">
        <v>138</v>
      </c>
      <c r="KP108" s="14" t="s">
        <v>140</v>
      </c>
      <c r="KQ108" s="20"/>
      <c r="KR108" s="20"/>
      <c r="LA108" s="20"/>
      <c r="LC108" s="21" t="s">
        <v>149</v>
      </c>
      <c r="LD108" s="21"/>
      <c r="LE108" s="21"/>
      <c r="LF108" s="21"/>
      <c r="LG108" s="21"/>
      <c r="LH108" s="21"/>
      <c r="LI108" s="21"/>
      <c r="LJ108" s="21"/>
      <c r="LK108" s="21" t="s">
        <v>797</v>
      </c>
      <c r="LL108" s="21" t="s">
        <v>798</v>
      </c>
      <c r="LM108" s="21"/>
      <c r="LN108" s="21"/>
      <c r="LO108" s="21"/>
      <c r="LP108" s="21"/>
      <c r="LQ108" s="21"/>
      <c r="LR108" s="21"/>
      <c r="LS108" s="21" t="s">
        <v>799</v>
      </c>
      <c r="LT108" s="21" t="s">
        <v>164</v>
      </c>
      <c r="LU108" s="21"/>
      <c r="LV108" s="21" t="s">
        <v>166</v>
      </c>
      <c r="LW108" s="21"/>
      <c r="LX108" s="21"/>
      <c r="LY108" s="21" t="s">
        <v>169</v>
      </c>
      <c r="LZ108" s="21"/>
      <c r="MA108" s="21"/>
      <c r="MB108" s="21" t="s">
        <v>800</v>
      </c>
      <c r="MC108" s="21" t="s">
        <v>801</v>
      </c>
      <c r="MD108" s="21"/>
      <c r="ME108" s="21"/>
      <c r="MF108" s="21"/>
      <c r="MG108" s="21"/>
      <c r="MH108" s="21"/>
      <c r="MI108" s="21"/>
    </row>
    <row r="109" spans="1:347" s="14" customFormat="1" x14ac:dyDescent="0.25">
      <c r="A109" s="21" t="s">
        <v>802</v>
      </c>
      <c r="C109" s="21"/>
      <c r="Y109" s="22"/>
      <c r="BT109" s="21"/>
      <c r="BU109" s="21"/>
      <c r="GF109" s="20"/>
      <c r="GG109" s="20"/>
      <c r="KQ109" s="20"/>
      <c r="KR109" s="20"/>
      <c r="LA109" s="20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1"/>
      <c r="LZ109" s="21"/>
      <c r="MA109" s="21"/>
      <c r="MB109" s="21"/>
      <c r="MC109" s="21"/>
      <c r="MD109" s="21"/>
      <c r="ME109" s="21"/>
      <c r="MF109" s="21"/>
      <c r="MG109" s="21"/>
      <c r="MH109" s="21"/>
      <c r="MI109" s="21"/>
    </row>
    <row r="110" spans="1:347" s="14" customFormat="1" x14ac:dyDescent="0.25">
      <c r="A110" s="21" t="s">
        <v>193</v>
      </c>
      <c r="C110" s="21"/>
      <c r="Y110" s="22"/>
      <c r="BT110" s="21"/>
      <c r="BU110" s="21"/>
      <c r="GF110" s="20"/>
      <c r="GG110" s="20"/>
      <c r="KQ110" s="20"/>
      <c r="KR110" s="20"/>
      <c r="LA110" s="20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 t="s">
        <v>803</v>
      </c>
      <c r="LL110" s="21" t="s">
        <v>804</v>
      </c>
      <c r="LM110" s="21"/>
      <c r="LN110" s="21"/>
      <c r="LO110" s="21"/>
      <c r="LP110" s="21"/>
      <c r="LQ110" s="21"/>
      <c r="LR110" s="21"/>
      <c r="LS110" s="21" t="s">
        <v>805</v>
      </c>
      <c r="LT110" s="21"/>
      <c r="LU110" s="21"/>
      <c r="LV110" s="21"/>
      <c r="LW110" s="21"/>
      <c r="LX110" s="21"/>
      <c r="LY110" s="21"/>
      <c r="LZ110" s="21"/>
      <c r="MA110" s="21"/>
      <c r="MB110" s="21" t="s">
        <v>806</v>
      </c>
      <c r="MC110" s="21" t="s">
        <v>807</v>
      </c>
      <c r="MD110" s="21"/>
      <c r="ME110" s="21"/>
      <c r="MF110" s="21"/>
      <c r="MG110" s="21"/>
      <c r="MH110" s="21"/>
      <c r="MI110" s="21"/>
    </row>
    <row r="111" spans="1:347" s="14" customFormat="1" x14ac:dyDescent="0.25">
      <c r="A111" s="21" t="s">
        <v>808</v>
      </c>
      <c r="C111" s="21"/>
      <c r="Y111" s="22"/>
      <c r="BT111" s="21"/>
      <c r="BU111" s="21"/>
      <c r="GF111" s="20"/>
      <c r="GG111" s="20"/>
      <c r="KQ111" s="20"/>
      <c r="KR111" s="20"/>
      <c r="LA111" s="20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1"/>
      <c r="LX111" s="21"/>
      <c r="LY111" s="21"/>
      <c r="LZ111" s="21"/>
      <c r="MA111" s="21"/>
      <c r="MB111" s="21"/>
      <c r="MC111" s="21"/>
      <c r="MD111" s="21"/>
      <c r="ME111" s="21"/>
      <c r="MF111" s="21"/>
      <c r="MG111" s="21"/>
      <c r="MH111" s="21"/>
      <c r="MI111" s="21"/>
    </row>
    <row r="112" spans="1:347" s="14" customFormat="1" x14ac:dyDescent="0.25">
      <c r="A112" s="14" t="s">
        <v>809</v>
      </c>
      <c r="C112" s="21"/>
      <c r="Y112" s="22"/>
      <c r="BV112" s="14">
        <v>1</v>
      </c>
      <c r="BW112" s="14">
        <v>1</v>
      </c>
      <c r="BX112" s="14">
        <v>1</v>
      </c>
      <c r="BY112" s="14">
        <v>0</v>
      </c>
      <c r="BZ112" s="14">
        <v>1</v>
      </c>
      <c r="CA112" s="14">
        <v>1</v>
      </c>
      <c r="CB112" s="14">
        <v>1</v>
      </c>
      <c r="CC112" s="14">
        <v>1</v>
      </c>
      <c r="CD112" s="14">
        <v>1</v>
      </c>
      <c r="CE112" s="14">
        <v>1</v>
      </c>
      <c r="CF112" s="14">
        <v>1</v>
      </c>
      <c r="CG112" s="14">
        <v>1</v>
      </c>
      <c r="CH112" s="14">
        <v>1</v>
      </c>
      <c r="CI112" s="14">
        <v>1</v>
      </c>
      <c r="CJ112" s="14">
        <v>1</v>
      </c>
      <c r="CK112" s="14">
        <v>1</v>
      </c>
      <c r="CL112" s="14">
        <v>1</v>
      </c>
      <c r="CM112" s="14">
        <v>1</v>
      </c>
      <c r="CN112" s="14">
        <v>1</v>
      </c>
      <c r="CO112" s="14">
        <v>1</v>
      </c>
      <c r="CP112" s="14">
        <v>1</v>
      </c>
      <c r="CQ112" s="14">
        <v>1</v>
      </c>
      <c r="CR112" s="14">
        <v>1</v>
      </c>
      <c r="CS112" s="14">
        <v>1</v>
      </c>
      <c r="CT112" s="14">
        <v>1</v>
      </c>
      <c r="CU112" s="14">
        <v>1</v>
      </c>
      <c r="CV112" s="14">
        <v>1</v>
      </c>
      <c r="CW112" s="14">
        <v>1</v>
      </c>
      <c r="CX112" s="14">
        <v>1</v>
      </c>
      <c r="CY112" s="14">
        <v>1</v>
      </c>
      <c r="CZ112" s="14">
        <v>1</v>
      </c>
      <c r="DA112" s="14">
        <v>1</v>
      </c>
      <c r="DB112" s="14">
        <v>1</v>
      </c>
      <c r="DC112" s="14">
        <v>1</v>
      </c>
      <c r="DD112" s="14">
        <v>1</v>
      </c>
      <c r="DE112" s="14">
        <v>1</v>
      </c>
      <c r="DF112" s="14">
        <v>1</v>
      </c>
      <c r="DG112" s="14">
        <v>1</v>
      </c>
      <c r="DH112" s="14">
        <v>1</v>
      </c>
      <c r="DI112" s="14">
        <v>1</v>
      </c>
      <c r="DJ112" s="14">
        <v>1</v>
      </c>
      <c r="DK112" s="14">
        <v>1</v>
      </c>
      <c r="DL112" s="14">
        <v>1</v>
      </c>
      <c r="DM112" s="14">
        <v>1</v>
      </c>
      <c r="DN112" s="14">
        <v>1</v>
      </c>
      <c r="DP112" s="14">
        <v>1</v>
      </c>
      <c r="DQ112" s="14">
        <v>1</v>
      </c>
      <c r="DR112" s="14">
        <v>1</v>
      </c>
      <c r="DS112" s="14">
        <v>1</v>
      </c>
      <c r="DT112" s="14">
        <v>1</v>
      </c>
      <c r="DU112" s="14">
        <v>1</v>
      </c>
      <c r="DV112" s="14">
        <v>1</v>
      </c>
      <c r="DW112" s="14">
        <v>1</v>
      </c>
      <c r="DX112" s="14">
        <v>1</v>
      </c>
      <c r="DY112" s="14">
        <v>1</v>
      </c>
      <c r="DZ112" s="14">
        <v>1</v>
      </c>
      <c r="EA112" s="14">
        <v>1</v>
      </c>
      <c r="EB112" s="14">
        <v>1</v>
      </c>
      <c r="EC112" s="14">
        <v>1</v>
      </c>
      <c r="ED112" s="14">
        <v>1</v>
      </c>
      <c r="EE112" s="14">
        <v>1</v>
      </c>
      <c r="EF112" s="14">
        <v>1</v>
      </c>
      <c r="EG112" s="14">
        <v>1</v>
      </c>
      <c r="EH112" s="14">
        <v>1</v>
      </c>
      <c r="EI112" s="14">
        <v>1</v>
      </c>
      <c r="EJ112" s="14">
        <v>1</v>
      </c>
      <c r="EK112" s="14">
        <v>1</v>
      </c>
      <c r="EL112" s="14">
        <v>1</v>
      </c>
      <c r="EM112" s="14">
        <v>1</v>
      </c>
      <c r="EN112" s="14">
        <v>1</v>
      </c>
      <c r="EO112" s="14">
        <v>1</v>
      </c>
      <c r="EP112" s="14">
        <v>1</v>
      </c>
      <c r="EQ112" s="14">
        <v>1</v>
      </c>
      <c r="ER112" s="14">
        <v>1</v>
      </c>
      <c r="ES112" s="14">
        <v>1</v>
      </c>
      <c r="ET112" s="14">
        <v>1</v>
      </c>
      <c r="EU112" s="14">
        <v>1</v>
      </c>
      <c r="EW112" s="14">
        <v>1</v>
      </c>
      <c r="EX112" s="14">
        <v>1</v>
      </c>
      <c r="EY112" s="14">
        <v>1</v>
      </c>
      <c r="EZ112" s="14">
        <v>1</v>
      </c>
      <c r="FA112" s="14">
        <v>1</v>
      </c>
      <c r="FB112" s="14">
        <v>1</v>
      </c>
      <c r="FC112" s="14">
        <v>1</v>
      </c>
      <c r="FD112" s="14">
        <v>1</v>
      </c>
      <c r="FE112" s="14">
        <v>1</v>
      </c>
      <c r="FF112" s="14">
        <v>1</v>
      </c>
      <c r="FG112" s="14">
        <v>1</v>
      </c>
      <c r="FH112" s="14">
        <v>1</v>
      </c>
      <c r="FI112" s="14">
        <v>1</v>
      </c>
      <c r="FJ112" s="14">
        <v>1</v>
      </c>
      <c r="FK112" s="14">
        <v>1</v>
      </c>
      <c r="FL112" s="14">
        <v>1</v>
      </c>
      <c r="FM112" s="14">
        <v>1</v>
      </c>
      <c r="FN112" s="14">
        <v>1</v>
      </c>
      <c r="FO112" s="14">
        <v>1</v>
      </c>
      <c r="FP112" s="14">
        <v>1</v>
      </c>
      <c r="FQ112" s="14">
        <v>1</v>
      </c>
      <c r="FR112" s="14">
        <v>1</v>
      </c>
      <c r="FS112" s="14">
        <v>1</v>
      </c>
      <c r="FT112" s="14">
        <v>1</v>
      </c>
      <c r="FU112" s="14">
        <v>1</v>
      </c>
      <c r="FV112" s="14">
        <v>1</v>
      </c>
      <c r="FW112" s="14">
        <v>1</v>
      </c>
      <c r="FX112" s="14">
        <v>1</v>
      </c>
      <c r="FY112" s="14">
        <v>1</v>
      </c>
      <c r="FZ112" s="14">
        <v>1</v>
      </c>
      <c r="GB112" s="14">
        <v>1</v>
      </c>
      <c r="GC112" s="14">
        <v>1</v>
      </c>
      <c r="GD112" s="14">
        <v>1</v>
      </c>
      <c r="GE112" s="14">
        <v>1</v>
      </c>
      <c r="GF112" s="20"/>
      <c r="GG112" s="20"/>
      <c r="GH112" s="14">
        <v>1</v>
      </c>
      <c r="GI112" s="14">
        <v>1</v>
      </c>
      <c r="GJ112" s="14">
        <v>1</v>
      </c>
      <c r="GK112" s="14">
        <v>0</v>
      </c>
      <c r="GL112" s="14">
        <v>1</v>
      </c>
      <c r="GM112" s="14">
        <v>1</v>
      </c>
      <c r="GN112" s="14">
        <v>1</v>
      </c>
      <c r="GO112" s="14">
        <v>1</v>
      </c>
      <c r="GP112" s="14">
        <v>1</v>
      </c>
      <c r="GQ112" s="14">
        <v>1</v>
      </c>
      <c r="GR112" s="14">
        <v>1</v>
      </c>
      <c r="GS112" s="14">
        <v>1</v>
      </c>
      <c r="GT112" s="14">
        <v>1</v>
      </c>
      <c r="GU112" s="14">
        <v>1</v>
      </c>
      <c r="GV112" s="14">
        <v>1</v>
      </c>
      <c r="GW112" s="14">
        <v>1</v>
      </c>
      <c r="GX112" s="14">
        <v>1</v>
      </c>
      <c r="GY112" s="14">
        <v>1</v>
      </c>
      <c r="GZ112" s="14">
        <v>1</v>
      </c>
      <c r="HA112" s="14">
        <v>1</v>
      </c>
      <c r="HB112" s="14">
        <v>1</v>
      </c>
      <c r="HC112" s="14">
        <v>1</v>
      </c>
      <c r="HD112" s="14">
        <v>1</v>
      </c>
      <c r="HE112" s="14">
        <v>1</v>
      </c>
      <c r="HF112" s="14">
        <v>1</v>
      </c>
      <c r="HG112" s="14">
        <v>1</v>
      </c>
      <c r="HH112" s="14">
        <v>1</v>
      </c>
      <c r="HI112" s="14">
        <v>1</v>
      </c>
      <c r="HJ112" s="14">
        <v>1</v>
      </c>
      <c r="HK112" s="14">
        <v>1</v>
      </c>
      <c r="HL112" s="14">
        <v>1</v>
      </c>
      <c r="HM112" s="14">
        <v>1</v>
      </c>
      <c r="HN112" s="14">
        <v>1</v>
      </c>
      <c r="HO112" s="14">
        <v>1</v>
      </c>
      <c r="HP112" s="14">
        <v>1</v>
      </c>
      <c r="HQ112" s="14">
        <v>1</v>
      </c>
      <c r="HR112" s="14">
        <v>1</v>
      </c>
      <c r="HS112" s="14">
        <v>1</v>
      </c>
      <c r="HT112" s="14">
        <v>1</v>
      </c>
      <c r="HU112" s="14">
        <v>1</v>
      </c>
      <c r="HV112" s="14">
        <v>1</v>
      </c>
      <c r="HW112" s="14">
        <v>1</v>
      </c>
      <c r="HX112" s="14">
        <v>1</v>
      </c>
      <c r="HY112" s="14">
        <v>1</v>
      </c>
      <c r="HZ112" s="14">
        <v>1</v>
      </c>
      <c r="IB112" s="14">
        <v>1</v>
      </c>
      <c r="IC112" s="14">
        <v>1</v>
      </c>
      <c r="ID112" s="14">
        <v>1</v>
      </c>
      <c r="IE112" s="14">
        <v>1</v>
      </c>
      <c r="IF112" s="14">
        <v>1</v>
      </c>
      <c r="IG112" s="14">
        <v>1</v>
      </c>
      <c r="IH112" s="14">
        <v>1</v>
      </c>
      <c r="II112" s="14">
        <v>1</v>
      </c>
      <c r="IJ112" s="14">
        <v>1</v>
      </c>
      <c r="IK112" s="14">
        <v>1</v>
      </c>
      <c r="IL112" s="14">
        <v>1</v>
      </c>
      <c r="IM112" s="14">
        <v>1</v>
      </c>
      <c r="IN112" s="14">
        <v>1</v>
      </c>
      <c r="IO112" s="14">
        <v>1</v>
      </c>
      <c r="IP112" s="14">
        <v>1</v>
      </c>
      <c r="IQ112" s="14">
        <v>1</v>
      </c>
      <c r="IR112" s="14">
        <v>1</v>
      </c>
      <c r="IS112" s="14">
        <v>1</v>
      </c>
      <c r="IT112" s="14">
        <v>1</v>
      </c>
      <c r="IU112" s="14">
        <v>1</v>
      </c>
      <c r="IV112" s="14">
        <v>1</v>
      </c>
      <c r="IW112" s="14">
        <v>1</v>
      </c>
      <c r="IX112" s="14">
        <v>1</v>
      </c>
      <c r="IY112" s="14">
        <v>1</v>
      </c>
      <c r="IZ112" s="14">
        <v>1</v>
      </c>
      <c r="JA112" s="14">
        <v>1</v>
      </c>
      <c r="JB112" s="14">
        <v>1</v>
      </c>
      <c r="JC112" s="14">
        <v>1</v>
      </c>
      <c r="JD112" s="14">
        <v>1</v>
      </c>
      <c r="JE112" s="14">
        <v>1</v>
      </c>
      <c r="JF112" s="14">
        <v>1</v>
      </c>
      <c r="JI112" s="14">
        <v>1</v>
      </c>
      <c r="JJ112" s="14">
        <v>1</v>
      </c>
      <c r="JK112" s="14">
        <v>1</v>
      </c>
      <c r="JL112" s="14">
        <v>1</v>
      </c>
      <c r="JM112" s="14">
        <v>1</v>
      </c>
      <c r="JN112" s="14">
        <v>1</v>
      </c>
      <c r="JO112" s="14">
        <v>1</v>
      </c>
      <c r="JP112" s="14">
        <v>1</v>
      </c>
      <c r="JQ112" s="14">
        <v>1</v>
      </c>
      <c r="JR112" s="14">
        <v>1</v>
      </c>
      <c r="JS112" s="14">
        <v>1</v>
      </c>
      <c r="JT112" s="14">
        <v>1</v>
      </c>
      <c r="JU112" s="14">
        <v>1</v>
      </c>
      <c r="JV112" s="14">
        <v>1</v>
      </c>
      <c r="JW112" s="14">
        <v>1</v>
      </c>
      <c r="JX112" s="14">
        <v>1</v>
      </c>
      <c r="JY112" s="14">
        <v>1</v>
      </c>
      <c r="JZ112" s="14">
        <v>1</v>
      </c>
      <c r="KA112" s="14">
        <v>1</v>
      </c>
      <c r="KB112" s="14">
        <v>1</v>
      </c>
      <c r="KC112" s="14">
        <v>1</v>
      </c>
      <c r="KD112" s="14">
        <v>1</v>
      </c>
      <c r="KE112" s="14">
        <v>1</v>
      </c>
      <c r="KF112" s="14">
        <v>1</v>
      </c>
      <c r="KG112" s="14">
        <v>1</v>
      </c>
      <c r="KH112" s="14">
        <v>1</v>
      </c>
      <c r="KI112" s="14">
        <v>1</v>
      </c>
      <c r="KJ112" s="14">
        <v>1</v>
      </c>
      <c r="KK112" s="14">
        <v>1</v>
      </c>
      <c r="KM112" s="14">
        <v>1</v>
      </c>
      <c r="KN112" s="14">
        <v>1</v>
      </c>
      <c r="KO112" s="14">
        <v>1</v>
      </c>
      <c r="KP112" s="14">
        <v>1</v>
      </c>
      <c r="KQ112" s="20"/>
      <c r="KR112" s="20"/>
      <c r="LA112" s="20"/>
      <c r="LB112" s="21">
        <v>1</v>
      </c>
      <c r="LC112" s="21">
        <v>1</v>
      </c>
      <c r="LD112" s="21">
        <v>1</v>
      </c>
      <c r="LE112" s="21">
        <v>1</v>
      </c>
      <c r="LF112" s="21">
        <v>1</v>
      </c>
      <c r="LG112" s="21">
        <v>1</v>
      </c>
      <c r="LH112" s="21">
        <v>1</v>
      </c>
      <c r="LI112" s="21">
        <v>1</v>
      </c>
      <c r="LJ112" s="21">
        <v>1</v>
      </c>
      <c r="LK112" s="21">
        <v>1</v>
      </c>
      <c r="LL112" s="21">
        <v>1</v>
      </c>
      <c r="LM112" s="21">
        <v>1</v>
      </c>
      <c r="LN112" s="21">
        <v>1</v>
      </c>
      <c r="LO112" s="21">
        <v>1</v>
      </c>
      <c r="LP112" s="21">
        <v>1</v>
      </c>
      <c r="LQ112" s="21">
        <v>1</v>
      </c>
      <c r="LR112" s="21">
        <v>1</v>
      </c>
      <c r="LS112" s="21">
        <v>1</v>
      </c>
      <c r="LT112" s="21">
        <v>1</v>
      </c>
      <c r="LU112" s="21">
        <v>1</v>
      </c>
      <c r="LV112" s="21">
        <v>1</v>
      </c>
      <c r="LW112" s="21">
        <v>1</v>
      </c>
      <c r="LX112" s="21">
        <v>1</v>
      </c>
      <c r="LY112" s="21">
        <v>1</v>
      </c>
      <c r="LZ112" s="21">
        <v>1</v>
      </c>
      <c r="MA112" s="21">
        <v>1</v>
      </c>
      <c r="MB112" s="21">
        <v>1</v>
      </c>
      <c r="MC112" s="21">
        <v>1</v>
      </c>
      <c r="MD112" s="21">
        <v>1</v>
      </c>
      <c r="ME112" s="21">
        <v>1</v>
      </c>
      <c r="MF112" s="21">
        <v>1</v>
      </c>
      <c r="MG112" s="21">
        <v>1</v>
      </c>
      <c r="MH112" s="21">
        <v>1</v>
      </c>
      <c r="MI112" s="21">
        <v>1</v>
      </c>
    </row>
    <row r="113" spans="1:349" s="14" customFormat="1" x14ac:dyDescent="0.25">
      <c r="A113" s="14" t="s">
        <v>810</v>
      </c>
      <c r="C113" s="21"/>
      <c r="Y113" s="22"/>
      <c r="BY113" s="14">
        <v>0</v>
      </c>
      <c r="CA113" s="14">
        <v>0</v>
      </c>
      <c r="CK113" s="14">
        <v>1</v>
      </c>
      <c r="CL113" s="14">
        <v>1</v>
      </c>
      <c r="CP113" s="14">
        <v>1</v>
      </c>
      <c r="CX113" s="14">
        <v>1</v>
      </c>
      <c r="DF113" s="14">
        <v>1</v>
      </c>
      <c r="DH113" s="14">
        <v>0</v>
      </c>
      <c r="DQ113" s="14">
        <v>1</v>
      </c>
      <c r="DW113" s="14">
        <v>1</v>
      </c>
      <c r="DY113" s="14">
        <v>1</v>
      </c>
      <c r="EF113" s="14">
        <v>1</v>
      </c>
      <c r="EM113" s="14">
        <v>1</v>
      </c>
      <c r="EQ113" s="14">
        <v>1</v>
      </c>
      <c r="ER113" s="14">
        <v>0</v>
      </c>
      <c r="ES113" s="14">
        <v>1</v>
      </c>
      <c r="EZ113" s="14">
        <v>1</v>
      </c>
      <c r="FA113" s="14">
        <v>1</v>
      </c>
      <c r="FB113" s="14">
        <v>1</v>
      </c>
      <c r="FM113" s="14">
        <v>1</v>
      </c>
      <c r="FR113" s="14">
        <v>1</v>
      </c>
      <c r="FS113" s="14">
        <v>1</v>
      </c>
      <c r="FU113" s="14">
        <v>1</v>
      </c>
      <c r="FY113" s="14">
        <v>1</v>
      </c>
      <c r="GC113" s="14">
        <v>1</v>
      </c>
      <c r="GF113" s="20"/>
      <c r="GG113" s="20"/>
      <c r="GK113" s="14">
        <v>0</v>
      </c>
      <c r="GM113" s="14">
        <v>0</v>
      </c>
      <c r="GW113" s="14">
        <v>1</v>
      </c>
      <c r="GX113" s="14">
        <v>1</v>
      </c>
      <c r="HB113" s="14">
        <v>1</v>
      </c>
      <c r="HJ113" s="14">
        <v>1</v>
      </c>
      <c r="HR113" s="14">
        <v>1</v>
      </c>
      <c r="HT113" s="14">
        <v>0</v>
      </c>
      <c r="IC113" s="14">
        <v>1</v>
      </c>
      <c r="II113" s="14">
        <v>1</v>
      </c>
      <c r="IK113" s="14">
        <v>1</v>
      </c>
      <c r="IR113" s="14">
        <v>1</v>
      </c>
      <c r="IY113" s="14">
        <v>1</v>
      </c>
      <c r="JC113" s="14">
        <v>1</v>
      </c>
      <c r="JD113" s="14">
        <v>0</v>
      </c>
      <c r="JE113" s="14">
        <v>1</v>
      </c>
      <c r="JK113" s="14">
        <v>1</v>
      </c>
      <c r="JL113" s="14">
        <v>1</v>
      </c>
      <c r="JM113" s="14">
        <v>1</v>
      </c>
      <c r="JX113" s="14">
        <v>1</v>
      </c>
      <c r="KC113" s="14">
        <v>1</v>
      </c>
      <c r="KD113" s="14">
        <v>1</v>
      </c>
      <c r="KF113" s="14">
        <v>1</v>
      </c>
      <c r="KJ113" s="14">
        <v>1</v>
      </c>
      <c r="KN113" s="14">
        <v>1</v>
      </c>
      <c r="KQ113" s="20"/>
      <c r="KR113" s="20"/>
      <c r="LA113" s="20"/>
      <c r="LB113" s="21"/>
      <c r="LC113" s="21"/>
      <c r="LD113" s="21">
        <v>1</v>
      </c>
      <c r="LE113" s="21">
        <v>1</v>
      </c>
      <c r="LF113" s="21"/>
      <c r="LG113" s="21">
        <v>1</v>
      </c>
      <c r="LH113" s="21"/>
      <c r="LI113" s="21">
        <v>1</v>
      </c>
      <c r="LJ113" s="21">
        <v>1</v>
      </c>
      <c r="LK113" s="21">
        <v>0</v>
      </c>
      <c r="LL113" s="21"/>
      <c r="LM113" s="21"/>
      <c r="LN113" s="21"/>
      <c r="LO113" s="21">
        <v>1</v>
      </c>
      <c r="LP113" s="21">
        <v>1</v>
      </c>
      <c r="LQ113" s="21">
        <v>0</v>
      </c>
      <c r="LR113" s="21">
        <v>1</v>
      </c>
      <c r="LS113" s="21"/>
      <c r="LT113" s="21"/>
      <c r="LU113" s="21"/>
      <c r="LV113" s="21"/>
      <c r="LW113" s="21"/>
      <c r="LX113" s="21"/>
      <c r="LY113" s="21">
        <v>0</v>
      </c>
      <c r="LZ113" s="21"/>
      <c r="MA113" s="21">
        <v>0</v>
      </c>
      <c r="MB113" s="21"/>
      <c r="MC113" s="21">
        <v>0</v>
      </c>
      <c r="MD113" s="21">
        <v>1</v>
      </c>
      <c r="ME113" s="21">
        <v>0</v>
      </c>
      <c r="MF113" s="21">
        <v>1</v>
      </c>
      <c r="MG113" s="21"/>
      <c r="MH113" s="21">
        <v>0</v>
      </c>
      <c r="MI113" s="21"/>
    </row>
    <row r="114" spans="1:349" s="14" customFormat="1" x14ac:dyDescent="0.25">
      <c r="A114" s="14" t="s">
        <v>811</v>
      </c>
      <c r="C114" s="21"/>
      <c r="Y114" s="22"/>
      <c r="BY114" s="14">
        <v>1</v>
      </c>
      <c r="CA114" s="14">
        <v>0</v>
      </c>
      <c r="CK114" s="14">
        <v>0</v>
      </c>
      <c r="CL114" s="14">
        <v>0</v>
      </c>
      <c r="CN114" s="14">
        <v>1</v>
      </c>
      <c r="CP114" s="14">
        <v>1</v>
      </c>
      <c r="CX114" s="14">
        <v>1</v>
      </c>
      <c r="DD114" s="14">
        <v>1</v>
      </c>
      <c r="DF114" s="14">
        <v>0</v>
      </c>
      <c r="DH114" s="14">
        <v>0</v>
      </c>
      <c r="DQ114" s="14">
        <v>1</v>
      </c>
      <c r="EA114" s="14">
        <v>0</v>
      </c>
      <c r="EF114" s="14">
        <v>1</v>
      </c>
      <c r="EM114" s="14">
        <v>0</v>
      </c>
      <c r="EQ114" s="14">
        <v>0</v>
      </c>
      <c r="ER114" s="14">
        <v>0</v>
      </c>
      <c r="ES114" s="14">
        <v>1</v>
      </c>
      <c r="FA114" s="14">
        <v>0</v>
      </c>
      <c r="FB114" s="14">
        <v>0</v>
      </c>
      <c r="FM114" s="14">
        <v>1</v>
      </c>
      <c r="FR114" s="14">
        <v>0</v>
      </c>
      <c r="FS114" s="14">
        <v>1</v>
      </c>
      <c r="GC114" s="14">
        <v>1</v>
      </c>
      <c r="GF114" s="20"/>
      <c r="GG114" s="20"/>
      <c r="GK114" s="14">
        <v>1</v>
      </c>
      <c r="GM114" s="14">
        <v>0</v>
      </c>
      <c r="GW114" s="14">
        <v>0</v>
      </c>
      <c r="GX114" s="14">
        <v>0</v>
      </c>
      <c r="GZ114" s="14">
        <v>1</v>
      </c>
      <c r="HB114" s="14">
        <v>1</v>
      </c>
      <c r="HJ114" s="14">
        <v>1</v>
      </c>
      <c r="HP114" s="14">
        <v>1</v>
      </c>
      <c r="HR114" s="14">
        <v>0</v>
      </c>
      <c r="HT114" s="14">
        <v>0</v>
      </c>
      <c r="IC114" s="14">
        <v>1</v>
      </c>
      <c r="IM114" s="14">
        <v>0</v>
      </c>
      <c r="IR114" s="14">
        <v>1</v>
      </c>
      <c r="IY114" s="14">
        <v>0</v>
      </c>
      <c r="JC114" s="14">
        <v>0</v>
      </c>
      <c r="JD114" s="14">
        <v>0</v>
      </c>
      <c r="JE114" s="14">
        <v>1</v>
      </c>
      <c r="JL114" s="14">
        <v>0</v>
      </c>
      <c r="JM114" s="14">
        <v>0</v>
      </c>
      <c r="JX114" s="14">
        <v>1</v>
      </c>
      <c r="KC114" s="14">
        <v>0</v>
      </c>
      <c r="KD114" s="14">
        <v>1</v>
      </c>
      <c r="KN114" s="14">
        <v>1</v>
      </c>
      <c r="KQ114" s="20"/>
      <c r="KR114" s="20"/>
      <c r="LA114" s="20"/>
      <c r="LB114" s="21">
        <v>1</v>
      </c>
      <c r="LC114" s="21"/>
      <c r="LD114" s="21">
        <v>1</v>
      </c>
      <c r="LE114" s="21"/>
      <c r="LF114" s="21"/>
      <c r="LG114" s="21">
        <v>1</v>
      </c>
      <c r="LH114" s="21"/>
      <c r="LI114" s="21">
        <v>1</v>
      </c>
      <c r="LJ114" s="21">
        <v>1</v>
      </c>
      <c r="LK114" s="21">
        <v>0</v>
      </c>
      <c r="LL114" s="21"/>
      <c r="LM114" s="21">
        <v>1</v>
      </c>
      <c r="LN114" s="21"/>
      <c r="LO114" s="21">
        <v>0</v>
      </c>
      <c r="LP114" s="21">
        <v>1</v>
      </c>
      <c r="LQ114" s="21">
        <v>0</v>
      </c>
      <c r="LR114" s="21">
        <v>1</v>
      </c>
      <c r="LS114" s="21"/>
      <c r="LT114" s="21"/>
      <c r="LU114" s="21"/>
      <c r="LV114" s="21"/>
      <c r="LW114" s="21">
        <v>1</v>
      </c>
      <c r="LX114" s="21"/>
      <c r="LY114" s="21">
        <v>0</v>
      </c>
      <c r="LZ114" s="21"/>
      <c r="MA114" s="21">
        <v>0</v>
      </c>
      <c r="MB114" s="21"/>
      <c r="MC114" s="21">
        <v>0</v>
      </c>
      <c r="MD114" s="21">
        <v>1</v>
      </c>
      <c r="ME114" s="21">
        <v>0</v>
      </c>
      <c r="MF114" s="21">
        <v>1</v>
      </c>
      <c r="MG114" s="21"/>
      <c r="MH114" s="21">
        <v>0</v>
      </c>
      <c r="MI114" s="21"/>
    </row>
    <row r="115" spans="1:349" s="14" customFormat="1" x14ac:dyDescent="0.25">
      <c r="A115" s="14" t="s">
        <v>812</v>
      </c>
      <c r="C115" s="21"/>
      <c r="Y115" s="22"/>
      <c r="BY115" s="14">
        <v>1</v>
      </c>
      <c r="CA115" s="14">
        <v>0</v>
      </c>
      <c r="CK115" s="14">
        <v>0</v>
      </c>
      <c r="CL115" s="14">
        <v>0</v>
      </c>
      <c r="CN115" s="14">
        <v>1</v>
      </c>
      <c r="CP115" s="14">
        <v>1</v>
      </c>
      <c r="CX115" s="14">
        <v>0</v>
      </c>
      <c r="DF115" s="14">
        <v>0</v>
      </c>
      <c r="DH115" s="14">
        <v>0</v>
      </c>
      <c r="EA115" s="14">
        <v>0</v>
      </c>
      <c r="EF115" s="14">
        <v>0</v>
      </c>
      <c r="EM115" s="14">
        <v>0</v>
      </c>
      <c r="EQ115" s="14">
        <v>0</v>
      </c>
      <c r="ER115" s="14">
        <v>0</v>
      </c>
      <c r="ES115" s="14">
        <v>0</v>
      </c>
      <c r="FA115" s="14">
        <v>0</v>
      </c>
      <c r="FB115" s="14">
        <v>0</v>
      </c>
      <c r="FR115" s="14">
        <v>0</v>
      </c>
      <c r="FZ115" s="14">
        <v>1</v>
      </c>
      <c r="GF115" s="20"/>
      <c r="GG115" s="20"/>
      <c r="GK115" s="14">
        <v>1</v>
      </c>
      <c r="GM115" s="14">
        <v>0</v>
      </c>
      <c r="GW115" s="14">
        <v>0</v>
      </c>
      <c r="GX115" s="14">
        <v>0</v>
      </c>
      <c r="GZ115" s="14">
        <v>1</v>
      </c>
      <c r="HB115" s="14">
        <v>1</v>
      </c>
      <c r="HJ115" s="14">
        <v>0</v>
      </c>
      <c r="HR115" s="14">
        <v>0</v>
      </c>
      <c r="HT115" s="14">
        <v>0</v>
      </c>
      <c r="IM115" s="14">
        <v>0</v>
      </c>
      <c r="IR115" s="14">
        <v>0</v>
      </c>
      <c r="IY115" s="14">
        <v>0</v>
      </c>
      <c r="JC115" s="14">
        <v>0</v>
      </c>
      <c r="JD115" s="14">
        <v>0</v>
      </c>
      <c r="JE115" s="14">
        <v>0</v>
      </c>
      <c r="JL115" s="14">
        <v>0</v>
      </c>
      <c r="JM115" s="14">
        <v>0</v>
      </c>
      <c r="KC115" s="14">
        <v>0</v>
      </c>
      <c r="KK115" s="14">
        <v>1</v>
      </c>
      <c r="KQ115" s="20"/>
      <c r="KR115" s="20"/>
      <c r="LA115" s="20"/>
      <c r="LB115" s="21"/>
      <c r="LC115" s="21"/>
      <c r="LD115" s="21">
        <v>1</v>
      </c>
      <c r="LE115" s="21">
        <v>0</v>
      </c>
      <c r="LF115" s="21"/>
      <c r="LG115" s="21">
        <v>1</v>
      </c>
      <c r="LH115" s="21"/>
      <c r="LI115" s="21">
        <v>0</v>
      </c>
      <c r="LJ115" s="21">
        <v>0</v>
      </c>
      <c r="LK115" s="21">
        <v>0</v>
      </c>
      <c r="LL115" s="21"/>
      <c r="LM115" s="21"/>
      <c r="LN115" s="21"/>
      <c r="LO115" s="21">
        <v>0</v>
      </c>
      <c r="LP115" s="21">
        <v>1</v>
      </c>
      <c r="LQ115" s="21">
        <v>0</v>
      </c>
      <c r="LR115" s="21">
        <v>1</v>
      </c>
      <c r="LS115" s="21"/>
      <c r="LT115" s="21"/>
      <c r="LU115" s="21"/>
      <c r="LV115" s="21"/>
      <c r="LW115" s="21"/>
      <c r="LX115" s="21"/>
      <c r="LY115" s="21">
        <v>0</v>
      </c>
      <c r="LZ115" s="21"/>
      <c r="MA115" s="21">
        <v>0</v>
      </c>
      <c r="MB115" s="21"/>
      <c r="MC115" s="21">
        <v>0</v>
      </c>
      <c r="MD115" s="21">
        <v>1</v>
      </c>
      <c r="ME115" s="21">
        <v>0</v>
      </c>
      <c r="MF115" s="21">
        <v>0</v>
      </c>
      <c r="MG115" s="21"/>
      <c r="MH115" s="21">
        <v>0</v>
      </c>
      <c r="MI115" s="21"/>
    </row>
    <row r="116" spans="1:349" x14ac:dyDescent="0.25">
      <c r="LA116" s="23"/>
      <c r="LB116" s="24"/>
      <c r="LC116" s="24"/>
      <c r="LD116" s="24"/>
      <c r="LE116" s="24"/>
      <c r="LF116" s="24"/>
      <c r="LG116" s="24"/>
      <c r="LH116" s="24"/>
      <c r="LI116" s="24"/>
      <c r="LJ116" s="24"/>
      <c r="LK116" s="24"/>
      <c r="LL116" s="24"/>
      <c r="LM116" s="24"/>
      <c r="LN116" s="24"/>
      <c r="LO116" s="24"/>
      <c r="LP116" s="24"/>
      <c r="LQ116" s="24"/>
      <c r="LR116" s="24"/>
      <c r="LS116" s="24"/>
      <c r="LT116" s="24"/>
      <c r="LU116" s="24"/>
      <c r="LV116" s="24"/>
      <c r="LW116" s="24"/>
      <c r="LX116" s="24"/>
      <c r="LY116" s="24"/>
      <c r="LZ116" s="24"/>
      <c r="MA116" s="24"/>
      <c r="MB116" s="24"/>
      <c r="MC116" s="24"/>
      <c r="MD116" s="24"/>
      <c r="ME116" s="24"/>
      <c r="MF116" s="24"/>
      <c r="MG116" s="24"/>
    </row>
    <row r="117" spans="1:349" x14ac:dyDescent="0.25">
      <c r="LB117" s="24"/>
    </row>
    <row r="119" spans="1:349" x14ac:dyDescent="0.25">
      <c r="LA119" s="23"/>
      <c r="LB119" s="24"/>
      <c r="LC119" s="24"/>
      <c r="LD119" s="24"/>
      <c r="LE119" s="24"/>
      <c r="LF119" s="24"/>
      <c r="LG119" s="24"/>
      <c r="LH119" s="24"/>
      <c r="LI119" s="24"/>
      <c r="LJ119" s="24"/>
      <c r="LK119" s="24"/>
      <c r="LL119" s="24"/>
      <c r="LM119" s="24"/>
      <c r="LN119" s="24"/>
      <c r="LO119" s="24"/>
      <c r="LP119" s="24"/>
      <c r="LQ119" s="24"/>
      <c r="LR119" s="24"/>
      <c r="LS119" s="24"/>
      <c r="LT119" s="24"/>
      <c r="LU119" s="24"/>
      <c r="LV119" s="24"/>
      <c r="LW119" s="24"/>
      <c r="LX119" s="24"/>
      <c r="LY119" s="24"/>
      <c r="LZ119" s="24"/>
      <c r="MA119" s="24"/>
      <c r="MB119" s="24"/>
      <c r="MC119" s="24"/>
      <c r="MD119" s="24"/>
      <c r="ME119" s="24"/>
      <c r="MF119" s="24"/>
      <c r="MG119" s="24"/>
      <c r="MH119" s="24"/>
      <c r="MI119" s="24"/>
      <c r="MJ119" s="24"/>
      <c r="MK119" s="24"/>
    </row>
    <row r="120" spans="1:349" x14ac:dyDescent="0.25">
      <c r="LA120" s="23"/>
      <c r="LB120" s="24"/>
      <c r="LC120" s="24"/>
      <c r="LD120" s="24"/>
      <c r="LE120" s="24"/>
      <c r="LF120" s="24"/>
      <c r="LG120" s="24"/>
      <c r="LH120" s="24"/>
      <c r="LI120" s="24"/>
      <c r="LJ120" s="24"/>
      <c r="LK120" s="24"/>
      <c r="LL120" s="24"/>
      <c r="LM120" s="24"/>
      <c r="LN120" s="24"/>
      <c r="LO120" s="24"/>
      <c r="LP120" s="24"/>
      <c r="LQ120" s="24"/>
      <c r="LR120" s="24"/>
      <c r="LS120" s="24"/>
      <c r="LT120" s="24"/>
      <c r="LU120" s="24"/>
      <c r="LV120" s="24"/>
      <c r="LW120" s="24"/>
      <c r="LX120" s="24"/>
      <c r="LY120" s="24"/>
      <c r="LZ120" s="24"/>
      <c r="MA120" s="24"/>
      <c r="MB120" s="24"/>
      <c r="MC120" s="24"/>
      <c r="MD120" s="24"/>
      <c r="ME120" s="24"/>
      <c r="MF120" s="24"/>
      <c r="MG120" s="24"/>
      <c r="MH120" s="24"/>
      <c r="MI120" s="24"/>
    </row>
    <row r="121" spans="1:349" x14ac:dyDescent="0.25">
      <c r="LA121" s="23"/>
      <c r="LC121" s="24"/>
      <c r="LD121" s="24"/>
      <c r="LE121" s="24"/>
      <c r="LF121" s="24"/>
      <c r="LG121" s="24"/>
      <c r="LH121" s="24"/>
      <c r="LI121" s="24"/>
      <c r="LJ121" s="24"/>
      <c r="LK121" s="24"/>
      <c r="LL121" s="24"/>
      <c r="LM121" s="24"/>
      <c r="LN121" s="24"/>
      <c r="LO121" s="24"/>
      <c r="LP121" s="24"/>
      <c r="LQ121" s="24"/>
      <c r="LR121" s="24"/>
      <c r="LS121" s="24"/>
      <c r="LT121" s="24"/>
      <c r="LU121" s="24"/>
      <c r="LV121" s="24"/>
      <c r="LW121" s="24"/>
      <c r="LX121" s="24"/>
      <c r="LY121" s="24"/>
      <c r="LZ121" s="24"/>
      <c r="MA121" s="24"/>
      <c r="MB121" s="24"/>
      <c r="MC121" s="24"/>
      <c r="MD121" s="24"/>
      <c r="ME121" s="24"/>
      <c r="MF121" s="24"/>
      <c r="MG121" s="24"/>
      <c r="MH121" s="24"/>
      <c r="MI121" s="24"/>
    </row>
    <row r="122" spans="1:349" x14ac:dyDescent="0.25">
      <c r="LA122" s="23"/>
      <c r="LC122" s="24"/>
      <c r="LD122" s="24"/>
      <c r="LE122" s="24"/>
      <c r="LF122" s="24"/>
      <c r="LG122" s="24"/>
      <c r="LH122" s="24"/>
      <c r="LI122" s="24"/>
      <c r="LJ122" s="24"/>
      <c r="LK122" s="24"/>
      <c r="LL122" s="24"/>
      <c r="LM122" s="24"/>
      <c r="LN122" s="24"/>
      <c r="LO122" s="24"/>
      <c r="LP122" s="24"/>
      <c r="LQ122" s="24"/>
      <c r="LR122" s="24"/>
      <c r="LS122" s="24"/>
      <c r="LT122" s="24"/>
      <c r="LU122" s="24"/>
      <c r="LV122" s="24"/>
      <c r="LW122" s="24"/>
      <c r="LX122" s="24"/>
      <c r="LY122" s="24"/>
      <c r="LZ122" s="24"/>
      <c r="MA122" s="24"/>
      <c r="MB122" s="24"/>
      <c r="MC122" s="24"/>
      <c r="MD122" s="24"/>
      <c r="ME122" s="24"/>
      <c r="MF122" s="24"/>
      <c r="MG122" s="24"/>
      <c r="MH122" s="24"/>
      <c r="MI122" s="24"/>
    </row>
    <row r="123" spans="1:349" x14ac:dyDescent="0.25">
      <c r="LA123" s="23"/>
      <c r="LC123" s="24"/>
      <c r="LD123" s="24"/>
      <c r="LE123" s="24"/>
      <c r="LF123" s="24"/>
      <c r="LG123" s="24"/>
      <c r="LH123" s="24"/>
      <c r="LI123" s="24"/>
      <c r="LJ123" s="24"/>
      <c r="LK123" s="24"/>
      <c r="LL123" s="24"/>
      <c r="LM123" s="24"/>
      <c r="LN123" s="24"/>
      <c r="LO123" s="24"/>
      <c r="LP123" s="24"/>
      <c r="LQ123" s="24"/>
      <c r="LR123" s="24"/>
      <c r="LS123" s="24"/>
      <c r="LT123" s="24"/>
      <c r="LU123" s="24"/>
      <c r="LV123" s="24"/>
      <c r="LW123" s="24"/>
      <c r="LX123" s="24"/>
      <c r="LY123" s="24"/>
      <c r="LZ123" s="24"/>
      <c r="MA123" s="24"/>
      <c r="MB123" s="24"/>
      <c r="MC123" s="24"/>
      <c r="MD123" s="24"/>
      <c r="ME123" s="24"/>
      <c r="MF123" s="24"/>
      <c r="MG123" s="24"/>
      <c r="MH123" s="24"/>
      <c r="MI123" s="24"/>
    </row>
    <row r="124" spans="1:349" x14ac:dyDescent="0.25">
      <c r="LA124" s="23"/>
      <c r="LC124" s="24"/>
      <c r="LD124" s="24"/>
      <c r="LE124" s="24"/>
      <c r="LF124" s="24"/>
      <c r="LG124" s="24"/>
      <c r="LH124" s="24"/>
      <c r="LI124" s="24"/>
      <c r="LJ124" s="24"/>
      <c r="LK124" s="24"/>
      <c r="LL124" s="24"/>
      <c r="LM124" s="24"/>
      <c r="LN124" s="24"/>
      <c r="LO124" s="24"/>
      <c r="LP124" s="24"/>
      <c r="LQ124" s="24"/>
      <c r="LR124" s="24"/>
      <c r="LS124" s="24"/>
      <c r="LT124" s="24"/>
      <c r="LU124" s="24"/>
      <c r="LV124" s="24"/>
      <c r="LW124" s="24"/>
      <c r="LX124" s="24"/>
      <c r="LY124" s="24"/>
      <c r="LZ124" s="24"/>
      <c r="MA124" s="24"/>
      <c r="MB124" s="24"/>
      <c r="MC124" s="24"/>
      <c r="MD124" s="24"/>
      <c r="ME124" s="24"/>
      <c r="MF124" s="24"/>
      <c r="MG124" s="24"/>
      <c r="MH124" s="24"/>
      <c r="MI124" s="24"/>
    </row>
    <row r="125" spans="1:349" x14ac:dyDescent="0.25">
      <c r="LA125" s="23"/>
      <c r="LC125" s="24"/>
      <c r="LD125" s="24"/>
      <c r="LE125" s="24"/>
      <c r="LF125" s="24"/>
      <c r="LG125" s="24"/>
      <c r="LH125" s="24"/>
      <c r="LI125" s="24"/>
      <c r="LJ125" s="24"/>
      <c r="LK125" s="24"/>
      <c r="LL125" s="24"/>
      <c r="LM125" s="24"/>
      <c r="LN125" s="24"/>
      <c r="LO125" s="24"/>
      <c r="LP125" s="24"/>
      <c r="LQ125" s="24"/>
      <c r="LR125" s="24"/>
      <c r="LS125" s="24"/>
      <c r="LT125" s="24"/>
      <c r="LU125" s="24"/>
      <c r="LV125" s="24"/>
      <c r="LW125" s="24"/>
      <c r="LX125" s="24"/>
      <c r="LY125" s="24"/>
      <c r="LZ125" s="24"/>
      <c r="MA125" s="24"/>
      <c r="MB125" s="24"/>
      <c r="MC125" s="24"/>
      <c r="MD125" s="24"/>
      <c r="ME125" s="24"/>
      <c r="MF125" s="24"/>
      <c r="MG125" s="24"/>
      <c r="MH125" s="24"/>
      <c r="MI125" s="24"/>
    </row>
    <row r="126" spans="1:349" x14ac:dyDescent="0.25">
      <c r="LA126" s="23"/>
      <c r="LC126" s="24"/>
      <c r="LD126" s="24"/>
      <c r="LE126" s="24"/>
      <c r="LF126" s="24"/>
      <c r="LG126" s="24"/>
      <c r="LH126" s="24"/>
      <c r="LI126" s="24"/>
      <c r="LJ126" s="24"/>
      <c r="LK126" s="24"/>
      <c r="LL126" s="24"/>
      <c r="LM126" s="24"/>
      <c r="LN126" s="24"/>
      <c r="LO126" s="24"/>
      <c r="LP126" s="24"/>
      <c r="LQ126" s="24"/>
      <c r="LR126" s="24"/>
      <c r="LS126" s="24"/>
      <c r="LT126" s="24"/>
      <c r="LU126" s="24"/>
      <c r="LV126" s="24"/>
      <c r="LW126" s="24"/>
      <c r="LX126" s="24"/>
      <c r="LY126" s="24"/>
      <c r="LZ126" s="24"/>
      <c r="MA126" s="24"/>
      <c r="MB126" s="24"/>
      <c r="MC126" s="24"/>
      <c r="MD126" s="24"/>
      <c r="ME126" s="24"/>
      <c r="MF126" s="24"/>
      <c r="MG126" s="24"/>
      <c r="MH126" s="24"/>
      <c r="MI126" s="24"/>
    </row>
    <row r="127" spans="1:349" x14ac:dyDescent="0.25">
      <c r="LA127" s="23"/>
      <c r="LC127" s="24"/>
      <c r="LD127" s="24"/>
      <c r="LE127" s="24"/>
      <c r="LF127" s="24"/>
      <c r="LG127" s="24"/>
      <c r="LH127" s="24"/>
      <c r="LI127" s="24"/>
      <c r="LJ127" s="24"/>
      <c r="LK127" s="24"/>
      <c r="LL127" s="24"/>
      <c r="LM127" s="24"/>
      <c r="LN127" s="24"/>
      <c r="LO127" s="24"/>
      <c r="LP127" s="24"/>
      <c r="LQ127" s="24"/>
      <c r="LR127" s="24"/>
      <c r="LS127" s="24"/>
      <c r="LT127" s="24"/>
      <c r="LU127" s="24"/>
      <c r="LV127" s="24"/>
      <c r="LW127" s="24"/>
      <c r="LX127" s="24"/>
      <c r="LY127" s="24"/>
      <c r="LZ127" s="24"/>
      <c r="MA127" s="24"/>
      <c r="MB127" s="24"/>
      <c r="MC127" s="24"/>
      <c r="MD127" s="24"/>
      <c r="ME127" s="24"/>
      <c r="MF127" s="24"/>
      <c r="MG127" s="24"/>
      <c r="MH127" s="24"/>
      <c r="MI127" s="24"/>
    </row>
    <row r="128" spans="1:349" x14ac:dyDescent="0.25">
      <c r="LA128" s="23"/>
      <c r="LC128" s="24"/>
      <c r="LD128" s="24"/>
      <c r="LE128" s="24"/>
      <c r="LF128" s="24"/>
      <c r="LG128" s="24"/>
      <c r="LH128" s="24"/>
      <c r="LI128" s="24"/>
      <c r="LJ128" s="24"/>
      <c r="LK128" s="24"/>
      <c r="LL128" s="24"/>
      <c r="LM128" s="24"/>
      <c r="LN128" s="24"/>
      <c r="LO128" s="24"/>
      <c r="LP128" s="24"/>
      <c r="LQ128" s="24"/>
      <c r="LR128" s="24"/>
      <c r="LS128" s="24"/>
      <c r="LT128" s="24"/>
      <c r="LU128" s="24"/>
      <c r="LV128" s="24"/>
      <c r="LW128" s="24"/>
      <c r="LX128" s="24"/>
      <c r="LY128" s="24"/>
      <c r="LZ128" s="24"/>
      <c r="MA128" s="24"/>
      <c r="MB128" s="24"/>
      <c r="MC128" s="24"/>
      <c r="MD128" s="24"/>
      <c r="ME128" s="24"/>
      <c r="MF128" s="24"/>
      <c r="MG128" s="24"/>
      <c r="MH128" s="24"/>
      <c r="MI128" s="24"/>
    </row>
    <row r="129" spans="313:347" x14ac:dyDescent="0.25">
      <c r="LA129" s="23"/>
      <c r="LC129" s="24"/>
      <c r="LD129" s="24"/>
      <c r="LE129" s="24"/>
      <c r="LF129" s="24"/>
      <c r="LG129" s="24"/>
      <c r="LH129" s="24"/>
      <c r="LI129" s="24"/>
      <c r="LJ129" s="24"/>
      <c r="LK129" s="24"/>
      <c r="LL129" s="24"/>
      <c r="LM129" s="24"/>
      <c r="LN129" s="24"/>
      <c r="LO129" s="24"/>
      <c r="LP129" s="24"/>
      <c r="LQ129" s="24"/>
      <c r="LR129" s="24"/>
      <c r="LS129" s="24"/>
      <c r="LT129" s="24"/>
      <c r="LU129" s="24"/>
      <c r="LV129" s="24"/>
      <c r="LW129" s="24"/>
      <c r="LX129" s="24"/>
      <c r="LY129" s="24"/>
      <c r="LZ129" s="24"/>
      <c r="MA129" s="24"/>
      <c r="MB129" s="24"/>
      <c r="MC129" s="24"/>
      <c r="MD129" s="24"/>
      <c r="ME129" s="24"/>
      <c r="MF129" s="24"/>
      <c r="MG129" s="24"/>
      <c r="MH129" s="24"/>
      <c r="MI129" s="24"/>
    </row>
    <row r="130" spans="313:347" x14ac:dyDescent="0.25">
      <c r="LA130" s="23"/>
      <c r="LC130" s="24"/>
      <c r="LD130" s="24"/>
      <c r="LE130" s="24"/>
      <c r="LF130" s="24"/>
      <c r="LG130" s="24"/>
      <c r="LH130" s="24"/>
      <c r="LI130" s="24"/>
      <c r="LJ130" s="24"/>
      <c r="LK130" s="24"/>
      <c r="LL130" s="24"/>
      <c r="LM130" s="24"/>
      <c r="LN130" s="24"/>
      <c r="LO130" s="24"/>
      <c r="LP130" s="24"/>
      <c r="LQ130" s="24"/>
      <c r="LR130" s="24"/>
      <c r="LS130" s="24"/>
      <c r="LT130" s="24"/>
      <c r="LU130" s="24"/>
      <c r="LV130" s="24"/>
      <c r="LW130" s="24"/>
      <c r="LX130" s="24"/>
      <c r="LY130" s="24"/>
      <c r="LZ130" s="24"/>
      <c r="MA130" s="24"/>
      <c r="MB130" s="24"/>
      <c r="MC130" s="24"/>
      <c r="MD130" s="24"/>
      <c r="ME130" s="24"/>
      <c r="MF130" s="24"/>
      <c r="MG130" s="24"/>
      <c r="MH130" s="24"/>
      <c r="MI130" s="24"/>
    </row>
    <row r="131" spans="313:347" x14ac:dyDescent="0.25">
      <c r="LA131" s="23"/>
      <c r="LC131" s="24"/>
      <c r="LD131" s="24"/>
      <c r="LE131" s="24"/>
      <c r="LF131" s="24"/>
      <c r="LG131" s="24"/>
      <c r="LH131" s="24"/>
      <c r="LI131" s="24"/>
      <c r="LJ131" s="24"/>
      <c r="LK131" s="24"/>
      <c r="LL131" s="24"/>
      <c r="LM131" s="24"/>
      <c r="LN131" s="24"/>
      <c r="LO131" s="24"/>
      <c r="LP131" s="24"/>
      <c r="LQ131" s="24"/>
      <c r="LR131" s="24"/>
      <c r="LS131" s="24"/>
      <c r="LT131" s="24"/>
      <c r="LU131" s="24"/>
      <c r="LV131" s="24"/>
      <c r="LW131" s="24"/>
      <c r="LX131" s="24"/>
      <c r="LY131" s="24"/>
      <c r="LZ131" s="24"/>
      <c r="MA131" s="24"/>
      <c r="MB131" s="24"/>
      <c r="MC131" s="24"/>
      <c r="MD131" s="24"/>
      <c r="ME131" s="24"/>
      <c r="MF131" s="24"/>
      <c r="MG131" s="24"/>
      <c r="MH131" s="24"/>
      <c r="MI131" s="24"/>
    </row>
    <row r="132" spans="313:347" x14ac:dyDescent="0.25">
      <c r="LA132" s="23"/>
      <c r="LC132" s="24"/>
      <c r="LD132" s="24"/>
      <c r="LE132" s="24"/>
      <c r="LF132" s="24"/>
      <c r="LG132" s="24"/>
      <c r="LH132" s="24"/>
      <c r="LI132" s="24"/>
      <c r="LJ132" s="24"/>
      <c r="LK132" s="24"/>
      <c r="LL132" s="24"/>
      <c r="LM132" s="24"/>
      <c r="LN132" s="24"/>
      <c r="LO132" s="24"/>
      <c r="LP132" s="24"/>
      <c r="LQ132" s="24"/>
      <c r="LR132" s="24"/>
      <c r="LS132" s="24"/>
      <c r="LT132" s="24"/>
      <c r="LU132" s="24"/>
      <c r="LV132" s="24"/>
      <c r="LW132" s="24"/>
      <c r="LX132" s="24"/>
      <c r="LY132" s="24"/>
      <c r="LZ132" s="24"/>
      <c r="MA132" s="24"/>
      <c r="MB132" s="24"/>
      <c r="MC132" s="24"/>
      <c r="MD132" s="24"/>
      <c r="ME132" s="24"/>
      <c r="MF132" s="24"/>
      <c r="MG132" s="24"/>
      <c r="MH132" s="24"/>
      <c r="MI132" s="24"/>
    </row>
    <row r="133" spans="313:347" x14ac:dyDescent="0.25">
      <c r="LA133" s="23"/>
      <c r="LC133" s="24"/>
      <c r="LD133" s="24"/>
      <c r="LE133" s="24"/>
      <c r="LF133" s="24"/>
      <c r="LG133" s="24"/>
      <c r="LH133" s="24"/>
      <c r="LI133" s="24"/>
      <c r="LJ133" s="24"/>
      <c r="LK133" s="24"/>
      <c r="LL133" s="24"/>
      <c r="LM133" s="24"/>
      <c r="LN133" s="24"/>
      <c r="LO133" s="24"/>
      <c r="LP133" s="24"/>
      <c r="LQ133" s="24"/>
      <c r="LR133" s="24"/>
      <c r="LS133" s="24"/>
      <c r="LT133" s="24"/>
      <c r="LU133" s="24"/>
      <c r="LV133" s="24"/>
      <c r="LW133" s="24"/>
      <c r="LX133" s="24"/>
      <c r="LY133" s="24"/>
      <c r="LZ133" s="24"/>
      <c r="MA133" s="24"/>
      <c r="MB133" s="24"/>
      <c r="MC133" s="24"/>
      <c r="MD133" s="24"/>
      <c r="ME133" s="24"/>
      <c r="MF133" s="24"/>
      <c r="MG133" s="24"/>
      <c r="MH133" s="24"/>
      <c r="MI133" s="24"/>
    </row>
    <row r="134" spans="313:347" x14ac:dyDescent="0.25">
      <c r="LA134" s="23"/>
      <c r="LC134" s="24"/>
      <c r="LD134" s="24"/>
      <c r="LE134" s="24"/>
      <c r="LF134" s="24"/>
      <c r="LG134" s="24"/>
      <c r="LH134" s="24"/>
      <c r="LI134" s="24"/>
      <c r="LJ134" s="24"/>
      <c r="LK134" s="24"/>
      <c r="LL134" s="24"/>
      <c r="LM134" s="24"/>
      <c r="LN134" s="24"/>
      <c r="LO134" s="24"/>
      <c r="LP134" s="24"/>
      <c r="LQ134" s="24"/>
      <c r="LR134" s="24"/>
      <c r="LS134" s="24"/>
      <c r="LT134" s="24"/>
      <c r="LU134" s="24"/>
      <c r="LV134" s="24"/>
      <c r="LW134" s="24"/>
      <c r="LX134" s="24"/>
      <c r="LY134" s="24"/>
      <c r="LZ134" s="24"/>
      <c r="MA134" s="24"/>
      <c r="MB134" s="24"/>
      <c r="MC134" s="24"/>
      <c r="MD134" s="24"/>
      <c r="ME134" s="24"/>
      <c r="MF134" s="24"/>
      <c r="MG134" s="24"/>
      <c r="MH134" s="24"/>
      <c r="MI134" s="24"/>
    </row>
    <row r="135" spans="313:347" x14ac:dyDescent="0.25">
      <c r="LA135" s="23"/>
      <c r="LC135" s="24"/>
      <c r="LD135" s="24"/>
      <c r="LE135" s="24"/>
      <c r="LF135" s="24"/>
      <c r="LG135" s="24"/>
      <c r="LH135" s="24"/>
      <c r="LI135" s="24"/>
      <c r="LJ135" s="24"/>
      <c r="LK135" s="24"/>
      <c r="LL135" s="24"/>
      <c r="LM135" s="24"/>
      <c r="LN135" s="24"/>
      <c r="LO135" s="24"/>
      <c r="LP135" s="24"/>
      <c r="LQ135" s="24"/>
      <c r="LR135" s="24"/>
      <c r="LS135" s="24"/>
      <c r="LT135" s="24"/>
      <c r="LU135" s="24"/>
      <c r="LV135" s="24"/>
      <c r="LW135" s="24"/>
      <c r="LX135" s="24"/>
      <c r="LY135" s="24"/>
      <c r="LZ135" s="24"/>
      <c r="MA135" s="24"/>
      <c r="MB135" s="24"/>
      <c r="MC135" s="24"/>
      <c r="MD135" s="24"/>
      <c r="ME135" s="24"/>
      <c r="MF135" s="24"/>
      <c r="MG135" s="24"/>
      <c r="MH135" s="24"/>
      <c r="MI135" s="24"/>
    </row>
    <row r="136" spans="313:347" x14ac:dyDescent="0.25">
      <c r="LA136" s="23"/>
      <c r="LC136" s="24"/>
      <c r="LD136" s="24"/>
      <c r="LE136" s="24"/>
      <c r="LF136" s="24"/>
      <c r="LG136" s="24"/>
      <c r="LH136" s="24"/>
      <c r="LI136" s="24"/>
      <c r="LJ136" s="24"/>
      <c r="LK136" s="24"/>
      <c r="LL136" s="24"/>
      <c r="LM136" s="24"/>
      <c r="LN136" s="24"/>
      <c r="LO136" s="24"/>
      <c r="LP136" s="24"/>
      <c r="LQ136" s="24"/>
      <c r="LR136" s="24"/>
      <c r="LS136" s="24"/>
      <c r="LT136" s="24"/>
      <c r="LU136" s="24"/>
      <c r="LV136" s="24"/>
      <c r="LW136" s="24"/>
      <c r="LX136" s="24"/>
      <c r="LY136" s="24"/>
      <c r="LZ136" s="24"/>
      <c r="MA136" s="24"/>
      <c r="MB136" s="24"/>
      <c r="MC136" s="24"/>
      <c r="MD136" s="24"/>
      <c r="ME136" s="24"/>
      <c r="MF136" s="24"/>
      <c r="MG136" s="24"/>
      <c r="MH136" s="24"/>
      <c r="MI136" s="24"/>
    </row>
    <row r="137" spans="313:347" x14ac:dyDescent="0.25">
      <c r="LA137" s="23"/>
      <c r="LC137" s="24"/>
      <c r="LD137" s="24"/>
      <c r="LE137" s="24"/>
      <c r="LF137" s="24"/>
      <c r="LG137" s="24"/>
      <c r="LH137" s="24"/>
      <c r="LI137" s="24"/>
      <c r="LJ137" s="24"/>
      <c r="LK137" s="24"/>
      <c r="LL137" s="24"/>
      <c r="LM137" s="24"/>
      <c r="LN137" s="24"/>
      <c r="LO137" s="24"/>
      <c r="LP137" s="24"/>
      <c r="LQ137" s="24"/>
      <c r="LR137" s="24"/>
      <c r="LS137" s="24"/>
      <c r="LT137" s="24"/>
      <c r="LU137" s="24"/>
      <c r="LV137" s="24"/>
      <c r="LW137" s="24"/>
      <c r="LX137" s="24"/>
      <c r="LY137" s="24"/>
      <c r="LZ137" s="24"/>
      <c r="MA137" s="24"/>
      <c r="MB137" s="24"/>
      <c r="MC137" s="24"/>
      <c r="MD137" s="24"/>
      <c r="ME137" s="24"/>
      <c r="MF137" s="24"/>
      <c r="MG137" s="24"/>
      <c r="MH137" s="24"/>
      <c r="MI137" s="24"/>
    </row>
    <row r="138" spans="313:347" x14ac:dyDescent="0.25">
      <c r="LA138" s="23"/>
      <c r="LC138" s="24"/>
      <c r="LD138" s="24"/>
      <c r="LE138" s="24"/>
      <c r="LF138" s="24"/>
      <c r="LG138" s="24"/>
      <c r="LH138" s="24"/>
      <c r="LI138" s="24"/>
      <c r="LJ138" s="24"/>
      <c r="LK138" s="24"/>
      <c r="LL138" s="24"/>
      <c r="LM138" s="24"/>
      <c r="LN138" s="24"/>
      <c r="LO138" s="24"/>
      <c r="LP138" s="24"/>
      <c r="LQ138" s="24"/>
      <c r="LR138" s="24"/>
      <c r="LS138" s="24"/>
      <c r="LT138" s="24"/>
      <c r="LU138" s="24"/>
      <c r="LV138" s="24"/>
      <c r="LW138" s="24"/>
      <c r="LX138" s="24"/>
      <c r="LY138" s="24"/>
      <c r="LZ138" s="24"/>
      <c r="MA138" s="24"/>
      <c r="MB138" s="24"/>
      <c r="MC138" s="24"/>
      <c r="MD138" s="24"/>
      <c r="ME138" s="24"/>
      <c r="MF138" s="24"/>
      <c r="MG138" s="24"/>
      <c r="MH138" s="24"/>
      <c r="MI138" s="24"/>
    </row>
    <row r="139" spans="313:347" x14ac:dyDescent="0.25">
      <c r="LA139" s="23"/>
      <c r="LC139" s="24"/>
      <c r="LD139" s="24"/>
      <c r="LE139" s="24"/>
      <c r="LF139" s="24"/>
      <c r="LG139" s="24"/>
      <c r="LH139" s="24"/>
      <c r="LI139" s="24"/>
      <c r="LJ139" s="24"/>
      <c r="LK139" s="24"/>
      <c r="LL139" s="24"/>
      <c r="LM139" s="24"/>
      <c r="LN139" s="24"/>
      <c r="LO139" s="24"/>
      <c r="LP139" s="24"/>
      <c r="LQ139" s="24"/>
      <c r="LR139" s="24"/>
      <c r="LS139" s="24"/>
      <c r="LT139" s="24"/>
      <c r="LU139" s="24"/>
      <c r="LV139" s="24"/>
      <c r="LW139" s="24"/>
      <c r="LX139" s="24"/>
      <c r="LY139" s="24"/>
      <c r="LZ139" s="24"/>
      <c r="MA139" s="24"/>
      <c r="MB139" s="24"/>
      <c r="MC139" s="24"/>
      <c r="MD139" s="24"/>
      <c r="ME139" s="24"/>
      <c r="MF139" s="24"/>
      <c r="MG139" s="24"/>
      <c r="MH139" s="24"/>
      <c r="MI139" s="24"/>
    </row>
    <row r="140" spans="313:347" x14ac:dyDescent="0.25">
      <c r="LA140" s="23"/>
      <c r="LC140" s="24"/>
      <c r="LD140" s="24"/>
      <c r="LE140" s="24"/>
      <c r="LF140" s="24"/>
      <c r="LG140" s="24"/>
      <c r="LH140" s="24"/>
      <c r="LI140" s="24"/>
      <c r="LJ140" s="24"/>
      <c r="LK140" s="24"/>
      <c r="LL140" s="24"/>
      <c r="LM140" s="24"/>
      <c r="LN140" s="24"/>
      <c r="LO140" s="24"/>
      <c r="LP140" s="24"/>
      <c r="LQ140" s="24"/>
      <c r="LR140" s="24"/>
      <c r="LS140" s="24"/>
      <c r="LT140" s="24"/>
      <c r="LU140" s="24"/>
      <c r="LV140" s="24"/>
      <c r="LW140" s="24"/>
      <c r="LX140" s="24"/>
      <c r="LY140" s="24"/>
      <c r="LZ140" s="24"/>
      <c r="MA140" s="24"/>
      <c r="MB140" s="24"/>
      <c r="MC140" s="24"/>
      <c r="MD140" s="24"/>
      <c r="ME140" s="24"/>
      <c r="MF140" s="24"/>
      <c r="MG140" s="24"/>
      <c r="MH140" s="24"/>
      <c r="MI140" s="24"/>
    </row>
    <row r="141" spans="313:347" x14ac:dyDescent="0.25">
      <c r="LA141" s="23"/>
      <c r="LC141" s="24"/>
      <c r="LD141" s="24"/>
      <c r="LE141" s="24"/>
      <c r="LF141" s="24"/>
      <c r="LG141" s="24"/>
      <c r="LH141" s="24"/>
      <c r="LI141" s="24"/>
      <c r="LJ141" s="24"/>
      <c r="LK141" s="24"/>
      <c r="LL141" s="24"/>
      <c r="LM141" s="24"/>
      <c r="LN141" s="24"/>
      <c r="LO141" s="24"/>
      <c r="LP141" s="24"/>
      <c r="LQ141" s="24"/>
      <c r="LR141" s="24"/>
      <c r="LS141" s="24"/>
      <c r="LT141" s="24"/>
      <c r="LU141" s="24"/>
      <c r="LV141" s="24"/>
      <c r="LW141" s="24"/>
      <c r="LX141" s="24"/>
      <c r="LY141" s="24"/>
      <c r="LZ141" s="24"/>
      <c r="MA141" s="24"/>
      <c r="MB141" s="24"/>
      <c r="MC141" s="24"/>
      <c r="MD141" s="24"/>
      <c r="ME141" s="24"/>
      <c r="MF141" s="24"/>
      <c r="MG141" s="24"/>
      <c r="MH141" s="24"/>
      <c r="MI141" s="24"/>
    </row>
    <row r="142" spans="313:347" x14ac:dyDescent="0.25">
      <c r="LA142" s="23"/>
      <c r="LC142" s="24"/>
      <c r="LD142" s="24"/>
      <c r="LE142" s="24"/>
      <c r="LF142" s="24"/>
      <c r="LG142" s="24"/>
      <c r="LH142" s="24"/>
      <c r="LI142" s="24"/>
      <c r="LJ142" s="24"/>
      <c r="LK142" s="24"/>
      <c r="LL142" s="24"/>
      <c r="LM142" s="24"/>
      <c r="LN142" s="24"/>
      <c r="LO142" s="24"/>
      <c r="LP142" s="24"/>
      <c r="LQ142" s="24"/>
      <c r="LR142" s="24"/>
      <c r="LS142" s="24"/>
      <c r="LT142" s="24"/>
      <c r="LU142" s="24"/>
      <c r="LV142" s="24"/>
      <c r="LW142" s="24"/>
      <c r="LX142" s="24"/>
      <c r="LY142" s="24"/>
      <c r="LZ142" s="24"/>
      <c r="MA142" s="24"/>
      <c r="MB142" s="24"/>
      <c r="MC142" s="24"/>
      <c r="MD142" s="24"/>
      <c r="ME142" s="24"/>
      <c r="MF142" s="24"/>
      <c r="MG142" s="24"/>
      <c r="MH142" s="24"/>
      <c r="MI142" s="24"/>
    </row>
    <row r="143" spans="313:347" x14ac:dyDescent="0.25">
      <c r="LA143" s="23"/>
      <c r="LC143" s="24"/>
      <c r="LD143" s="24"/>
      <c r="LE143" s="24"/>
      <c r="LF143" s="24"/>
      <c r="LG143" s="24"/>
      <c r="LH143" s="24"/>
      <c r="LI143" s="24"/>
      <c r="LJ143" s="24"/>
      <c r="LK143" s="24"/>
      <c r="LL143" s="24"/>
      <c r="LM143" s="24"/>
      <c r="LN143" s="24"/>
      <c r="LO143" s="24"/>
      <c r="LP143" s="24"/>
      <c r="LQ143" s="24"/>
      <c r="LR143" s="24"/>
      <c r="LS143" s="24"/>
      <c r="LT143" s="24"/>
      <c r="LU143" s="24"/>
      <c r="LV143" s="24"/>
      <c r="LW143" s="24"/>
      <c r="LX143" s="24"/>
      <c r="LY143" s="24"/>
      <c r="LZ143" s="24"/>
      <c r="MA143" s="24"/>
      <c r="MB143" s="24"/>
      <c r="MC143" s="24"/>
      <c r="MD143" s="24"/>
      <c r="ME143" s="24"/>
      <c r="MF143" s="24"/>
      <c r="MG143" s="24"/>
      <c r="MH143" s="24"/>
      <c r="MI143" s="24"/>
    </row>
    <row r="144" spans="313:347" x14ac:dyDescent="0.25">
      <c r="LA144" s="23"/>
      <c r="LC144" s="24"/>
      <c r="LD144" s="24"/>
      <c r="LE144" s="24"/>
      <c r="LF144" s="24"/>
      <c r="LG144" s="24"/>
      <c r="LH144" s="24"/>
      <c r="LI144" s="24"/>
      <c r="LJ144" s="24"/>
      <c r="LK144" s="24"/>
      <c r="LL144" s="24"/>
      <c r="LM144" s="24"/>
      <c r="LN144" s="24"/>
      <c r="LO144" s="24"/>
      <c r="LP144" s="24"/>
      <c r="LQ144" s="24"/>
      <c r="LR144" s="24"/>
      <c r="LS144" s="24"/>
      <c r="LT144" s="24"/>
      <c r="LU144" s="24"/>
      <c r="LV144" s="24"/>
      <c r="LW144" s="24"/>
      <c r="LX144" s="24"/>
      <c r="LY144" s="24"/>
      <c r="LZ144" s="24"/>
      <c r="MA144" s="24"/>
      <c r="MB144" s="24"/>
      <c r="MC144" s="24"/>
      <c r="MD144" s="24"/>
      <c r="ME144" s="24"/>
      <c r="MF144" s="24"/>
      <c r="MG144" s="24"/>
      <c r="MH144" s="24"/>
      <c r="MI144" s="24"/>
    </row>
    <row r="145" spans="313:347" x14ac:dyDescent="0.25">
      <c r="LA145" s="23"/>
      <c r="LC145" s="24"/>
      <c r="LD145" s="24"/>
      <c r="LE145" s="24"/>
      <c r="LF145" s="24"/>
      <c r="LG145" s="24"/>
      <c r="LH145" s="24"/>
      <c r="LI145" s="24"/>
      <c r="LJ145" s="24"/>
      <c r="LK145" s="24"/>
      <c r="LL145" s="24"/>
      <c r="LM145" s="24"/>
      <c r="LN145" s="24"/>
      <c r="LO145" s="24"/>
      <c r="LP145" s="24"/>
      <c r="LQ145" s="24"/>
      <c r="LR145" s="24"/>
      <c r="LS145" s="24"/>
      <c r="LT145" s="24"/>
      <c r="LU145" s="24"/>
      <c r="LV145" s="24"/>
      <c r="LW145" s="24"/>
      <c r="LX145" s="24"/>
      <c r="LY145" s="24"/>
      <c r="LZ145" s="24"/>
      <c r="MA145" s="24"/>
      <c r="MB145" s="24"/>
      <c r="MC145" s="24"/>
      <c r="MD145" s="24"/>
      <c r="ME145" s="24"/>
      <c r="MF145" s="24"/>
      <c r="MG145" s="24"/>
      <c r="MH145" s="24"/>
      <c r="MI145" s="24"/>
    </row>
    <row r="146" spans="313:347" x14ac:dyDescent="0.25">
      <c r="LA146" s="23"/>
      <c r="LC146" s="24"/>
      <c r="LD146" s="24"/>
      <c r="LE146" s="24"/>
      <c r="LF146" s="24"/>
      <c r="LG146" s="24"/>
      <c r="LH146" s="24"/>
      <c r="LI146" s="24"/>
      <c r="LJ146" s="24"/>
      <c r="LK146" s="24"/>
      <c r="LL146" s="24"/>
      <c r="LM146" s="24"/>
      <c r="LN146" s="24"/>
      <c r="LO146" s="24"/>
      <c r="LP146" s="24"/>
      <c r="LQ146" s="24"/>
      <c r="LR146" s="24"/>
      <c r="LS146" s="24"/>
      <c r="LT146" s="24"/>
      <c r="LU146" s="24"/>
      <c r="LV146" s="24"/>
      <c r="LW146" s="24"/>
      <c r="LX146" s="24"/>
      <c r="LY146" s="24"/>
      <c r="LZ146" s="24"/>
      <c r="MA146" s="24"/>
      <c r="MB146" s="24"/>
      <c r="MC146" s="24"/>
      <c r="MD146" s="24"/>
      <c r="ME146" s="24"/>
      <c r="MF146" s="24"/>
      <c r="MG146" s="24"/>
      <c r="MH146" s="24"/>
      <c r="MI146" s="24"/>
    </row>
    <row r="147" spans="313:347" x14ac:dyDescent="0.25">
      <c r="LA147" s="23"/>
      <c r="LB147" s="24"/>
      <c r="LC147" s="24"/>
      <c r="LD147" s="24"/>
      <c r="LE147" s="24"/>
      <c r="LF147" s="24"/>
      <c r="LG147" s="24"/>
      <c r="LH147" s="24"/>
      <c r="LI147" s="24"/>
      <c r="LJ147" s="24"/>
      <c r="LK147" s="24"/>
      <c r="LL147" s="24"/>
      <c r="LM147" s="24"/>
      <c r="LN147" s="24"/>
      <c r="LO147" s="24"/>
      <c r="LP147" s="24"/>
      <c r="LQ147" s="24"/>
      <c r="LR147" s="24"/>
      <c r="LS147" s="24"/>
      <c r="LT147" s="24"/>
      <c r="LU147" s="24"/>
      <c r="LV147" s="24"/>
      <c r="LW147" s="24"/>
      <c r="LX147" s="24"/>
      <c r="LY147" s="24"/>
      <c r="LZ147" s="24"/>
      <c r="MA147" s="24"/>
      <c r="MB147" s="24"/>
      <c r="MC147" s="24"/>
      <c r="MD147" s="24"/>
      <c r="ME147" s="24"/>
      <c r="MF147" s="24"/>
      <c r="MG147" s="24"/>
      <c r="MH147" s="24"/>
      <c r="MI147" s="24"/>
    </row>
    <row r="148" spans="313:347" x14ac:dyDescent="0.25">
      <c r="LA148" s="23"/>
      <c r="LB148" s="24"/>
      <c r="LC148" s="24"/>
      <c r="LD148" s="24"/>
      <c r="LE148" s="24"/>
      <c r="LF148" s="24"/>
      <c r="LG148" s="24"/>
      <c r="LH148" s="24"/>
      <c r="LI148" s="24"/>
      <c r="LJ148" s="24"/>
      <c r="LK148" s="24"/>
      <c r="LL148" s="24"/>
      <c r="LM148" s="24"/>
      <c r="LN148" s="24"/>
      <c r="LO148" s="24"/>
      <c r="LP148" s="24"/>
      <c r="LQ148" s="24"/>
      <c r="LR148" s="24"/>
      <c r="LS148" s="24"/>
      <c r="LT148" s="24"/>
      <c r="LU148" s="24"/>
      <c r="LV148" s="24"/>
      <c r="LW148" s="24"/>
      <c r="LX148" s="24"/>
      <c r="LY148" s="24"/>
      <c r="LZ148" s="24"/>
      <c r="MA148" s="24"/>
      <c r="MB148" s="24"/>
      <c r="MC148" s="24"/>
      <c r="MD148" s="24"/>
      <c r="ME148" s="24"/>
      <c r="MF148" s="24"/>
      <c r="MG148" s="24"/>
      <c r="MH148" s="24"/>
      <c r="MI148" s="24"/>
    </row>
    <row r="149" spans="313:347" x14ac:dyDescent="0.25">
      <c r="LA149" s="23"/>
      <c r="LB149" s="24"/>
      <c r="LC149" s="24"/>
      <c r="LD149" s="24"/>
      <c r="LE149" s="24"/>
      <c r="LF149" s="24"/>
      <c r="LG149" s="24"/>
      <c r="LH149" s="24"/>
      <c r="LI149" s="24"/>
      <c r="LJ149" s="24"/>
      <c r="LK149" s="24"/>
      <c r="LL149" s="24"/>
      <c r="LM149" s="24"/>
      <c r="LN149" s="24"/>
      <c r="LO149" s="24"/>
      <c r="LP149" s="24"/>
      <c r="LQ149" s="24"/>
      <c r="LR149" s="24"/>
      <c r="LS149" s="24"/>
      <c r="LT149" s="24"/>
      <c r="LU149" s="24"/>
      <c r="LV149" s="24"/>
      <c r="LW149" s="24"/>
      <c r="LX149" s="24"/>
      <c r="LY149" s="24"/>
      <c r="LZ149" s="24"/>
      <c r="MA149" s="24"/>
      <c r="MB149" s="24"/>
      <c r="MC149" s="24"/>
      <c r="MD149" s="24"/>
      <c r="ME149" s="24"/>
      <c r="MF149" s="24"/>
      <c r="MG149" s="24"/>
      <c r="MH149" s="24"/>
      <c r="MI149" s="24"/>
    </row>
    <row r="150" spans="313:347" x14ac:dyDescent="0.25">
      <c r="LA150" s="23"/>
      <c r="LB150" s="24"/>
      <c r="LC150" s="24"/>
      <c r="LD150" s="24"/>
      <c r="LE150" s="24"/>
      <c r="LF150" s="24"/>
      <c r="LG150" s="24"/>
      <c r="LH150" s="24"/>
      <c r="LI150" s="24"/>
      <c r="LJ150" s="24"/>
      <c r="LK150" s="24"/>
      <c r="LL150" s="24"/>
      <c r="LM150" s="24"/>
      <c r="LN150" s="24"/>
      <c r="LO150" s="24"/>
      <c r="LP150" s="24"/>
      <c r="LQ150" s="24"/>
      <c r="LR150" s="24"/>
      <c r="LS150" s="24"/>
      <c r="LT150" s="24"/>
      <c r="LU150" s="24"/>
      <c r="LV150" s="24"/>
      <c r="LW150" s="24"/>
      <c r="LX150" s="24"/>
      <c r="LY150" s="24"/>
      <c r="LZ150" s="24"/>
      <c r="MA150" s="24"/>
      <c r="MB150" s="24"/>
      <c r="MC150" s="24"/>
      <c r="MD150" s="24"/>
      <c r="ME150" s="24"/>
      <c r="MF150" s="24"/>
      <c r="MG150" s="24"/>
      <c r="MH150" s="24"/>
      <c r="MI150" s="24"/>
    </row>
    <row r="151" spans="313:347" x14ac:dyDescent="0.25">
      <c r="LA151" s="23"/>
      <c r="LB151" s="24"/>
      <c r="LC151" s="24"/>
      <c r="LD151" s="24"/>
      <c r="LE151" s="24"/>
      <c r="LF151" s="24"/>
      <c r="LG151" s="24"/>
      <c r="LH151" s="24"/>
      <c r="LI151" s="24"/>
      <c r="LJ151" s="24"/>
      <c r="LK151" s="24"/>
      <c r="LL151" s="24"/>
      <c r="LM151" s="24"/>
      <c r="LN151" s="24"/>
      <c r="LO151" s="24"/>
      <c r="LP151" s="24"/>
      <c r="LQ151" s="24"/>
      <c r="LR151" s="24"/>
      <c r="LS151" s="24"/>
      <c r="LT151" s="24"/>
      <c r="LU151" s="24"/>
      <c r="LV151" s="24"/>
      <c r="LW151" s="24"/>
      <c r="LX151" s="24"/>
      <c r="LY151" s="24"/>
      <c r="LZ151" s="24"/>
      <c r="MA151" s="24"/>
      <c r="MB151" s="24"/>
      <c r="MC151" s="24"/>
      <c r="MD151" s="24"/>
      <c r="ME151" s="24"/>
      <c r="MF151" s="24"/>
      <c r="MG151" s="24"/>
      <c r="MH151" s="24"/>
      <c r="MI151" s="24"/>
    </row>
    <row r="152" spans="313:347" x14ac:dyDescent="0.25">
      <c r="LA152" s="23"/>
      <c r="LB152" s="24"/>
      <c r="LC152" s="24"/>
      <c r="LD152" s="24"/>
      <c r="LE152" s="24"/>
      <c r="LF152" s="24"/>
      <c r="LG152" s="24"/>
      <c r="LH152" s="24"/>
      <c r="LI152" s="24"/>
      <c r="LJ152" s="24"/>
      <c r="LK152" s="24"/>
      <c r="LL152" s="24"/>
      <c r="LM152" s="24"/>
      <c r="LN152" s="24"/>
      <c r="LO152" s="24"/>
      <c r="LP152" s="24"/>
      <c r="LQ152" s="24"/>
      <c r="LR152" s="24"/>
      <c r="LS152" s="24"/>
      <c r="LT152" s="24"/>
      <c r="LU152" s="24"/>
      <c r="LV152" s="24"/>
      <c r="LW152" s="24"/>
      <c r="LX152" s="24"/>
      <c r="LY152" s="24"/>
      <c r="LZ152" s="24"/>
      <c r="MA152" s="24"/>
      <c r="MB152" s="24"/>
      <c r="MC152" s="24"/>
      <c r="MD152" s="24"/>
      <c r="ME152" s="24"/>
      <c r="MF152" s="24"/>
      <c r="MG152" s="24"/>
      <c r="MH152" s="24"/>
      <c r="MI152" s="24"/>
    </row>
    <row r="153" spans="313:347" x14ac:dyDescent="0.25">
      <c r="LA153" s="23"/>
      <c r="LB153" s="24"/>
      <c r="LC153" s="24"/>
      <c r="LD153" s="24"/>
      <c r="LE153" s="24"/>
      <c r="LF153" s="24"/>
      <c r="LG153" s="24"/>
      <c r="LH153" s="24"/>
      <c r="LI153" s="24"/>
      <c r="LJ153" s="24"/>
      <c r="LK153" s="24"/>
      <c r="LL153" s="24"/>
      <c r="LM153" s="24"/>
      <c r="LN153" s="24"/>
      <c r="LO153" s="24"/>
      <c r="LP153" s="24"/>
      <c r="LQ153" s="24"/>
      <c r="LR153" s="24"/>
      <c r="LS153" s="24"/>
      <c r="LT153" s="24"/>
      <c r="LU153" s="24"/>
      <c r="LV153" s="24"/>
      <c r="LW153" s="24"/>
      <c r="LX153" s="24"/>
      <c r="LY153" s="24"/>
      <c r="LZ153" s="24"/>
      <c r="MA153" s="24"/>
      <c r="MB153" s="24"/>
      <c r="MC153" s="24"/>
      <c r="MD153" s="24"/>
      <c r="ME153" s="24"/>
      <c r="MF153" s="24"/>
      <c r="MG153" s="24"/>
      <c r="MH153" s="24"/>
      <c r="MI153" s="24"/>
    </row>
    <row r="154" spans="313:347" x14ac:dyDescent="0.25">
      <c r="LA154" s="23"/>
      <c r="LB154" s="24"/>
      <c r="LC154" s="24"/>
      <c r="LD154" s="24"/>
      <c r="LE154" s="24"/>
      <c r="LF154" s="24"/>
      <c r="LG154" s="24"/>
      <c r="LH154" s="24"/>
      <c r="LI154" s="24"/>
      <c r="LJ154" s="24"/>
      <c r="LK154" s="24"/>
      <c r="LL154" s="24"/>
      <c r="LM154" s="24"/>
      <c r="LN154" s="24"/>
      <c r="LO154" s="24"/>
      <c r="LP154" s="24"/>
      <c r="LQ154" s="24"/>
      <c r="LR154" s="24"/>
      <c r="LS154" s="24"/>
      <c r="LT154" s="24"/>
      <c r="LU154" s="24"/>
      <c r="LV154" s="24"/>
      <c r="LW154" s="24"/>
      <c r="LX154" s="24"/>
      <c r="LY154" s="24"/>
      <c r="LZ154" s="24"/>
      <c r="MA154" s="24"/>
      <c r="MB154" s="24"/>
      <c r="MC154" s="24"/>
      <c r="MD154" s="24"/>
      <c r="ME154" s="24"/>
      <c r="MF154" s="24"/>
      <c r="MG154" s="24"/>
      <c r="MH154" s="24"/>
      <c r="MI154" s="24"/>
    </row>
    <row r="155" spans="313:347" x14ac:dyDescent="0.25">
      <c r="LA155" s="23"/>
      <c r="LB155" s="24"/>
      <c r="LC155" s="24"/>
      <c r="LD155" s="24"/>
      <c r="LE155" s="24"/>
      <c r="LF155" s="24"/>
      <c r="LG155" s="24"/>
      <c r="LH155" s="24"/>
      <c r="LI155" s="24"/>
      <c r="LJ155" s="24"/>
      <c r="LK155" s="24"/>
      <c r="LL155" s="24"/>
      <c r="LM155" s="24"/>
      <c r="LN155" s="24"/>
      <c r="LO155" s="24"/>
      <c r="LP155" s="24"/>
      <c r="LQ155" s="24"/>
      <c r="LR155" s="24"/>
      <c r="LS155" s="24"/>
      <c r="LT155" s="24"/>
      <c r="LU155" s="24"/>
      <c r="LV155" s="24"/>
      <c r="LW155" s="24"/>
      <c r="LX155" s="24"/>
      <c r="LY155" s="24"/>
      <c r="LZ155" s="24"/>
      <c r="MA155" s="24"/>
      <c r="MB155" s="24"/>
      <c r="MC155" s="24"/>
      <c r="MD155" s="24"/>
      <c r="ME155" s="24"/>
      <c r="MF155" s="24"/>
      <c r="MG155" s="24"/>
      <c r="MH155" s="24"/>
      <c r="MI155" s="24"/>
    </row>
    <row r="156" spans="313:347" x14ac:dyDescent="0.25">
      <c r="LA156" s="23"/>
      <c r="LB156" s="24"/>
      <c r="LC156" s="24"/>
      <c r="LD156" s="24"/>
      <c r="LE156" s="24"/>
      <c r="LF156" s="24"/>
      <c r="LG156" s="24"/>
      <c r="LH156" s="24"/>
      <c r="LI156" s="24"/>
      <c r="LJ156" s="24"/>
      <c r="LK156" s="24"/>
      <c r="LL156" s="24"/>
      <c r="LM156" s="24"/>
      <c r="LN156" s="24"/>
      <c r="LO156" s="24"/>
      <c r="LP156" s="24"/>
      <c r="LQ156" s="24"/>
      <c r="LR156" s="24"/>
      <c r="LS156" s="24"/>
      <c r="LT156" s="24"/>
      <c r="LU156" s="24"/>
      <c r="LV156" s="24"/>
      <c r="LW156" s="24"/>
      <c r="LX156" s="24"/>
      <c r="LY156" s="24"/>
      <c r="LZ156" s="24"/>
      <c r="MA156" s="24"/>
      <c r="MB156" s="24"/>
      <c r="MC156" s="24"/>
      <c r="MD156" s="24"/>
      <c r="ME156" s="24"/>
      <c r="MF156" s="24"/>
      <c r="MG156" s="24"/>
      <c r="MH156" s="24"/>
      <c r="MI156" s="24"/>
    </row>
    <row r="157" spans="313:347" x14ac:dyDescent="0.25">
      <c r="LA157" s="23"/>
      <c r="LB157" s="24"/>
      <c r="LC157" s="24"/>
      <c r="LD157" s="24"/>
      <c r="LE157" s="24"/>
      <c r="LF157" s="24"/>
      <c r="LG157" s="24"/>
      <c r="LH157" s="24"/>
      <c r="LI157" s="24"/>
      <c r="LJ157" s="24"/>
      <c r="LK157" s="24"/>
      <c r="LL157" s="24"/>
      <c r="LM157" s="24"/>
      <c r="LN157" s="24"/>
      <c r="LO157" s="24"/>
      <c r="LP157" s="24"/>
      <c r="LQ157" s="24"/>
      <c r="LR157" s="24"/>
      <c r="LS157" s="24"/>
      <c r="LT157" s="24"/>
      <c r="LU157" s="24"/>
      <c r="LV157" s="24"/>
      <c r="LW157" s="24"/>
      <c r="LX157" s="24"/>
      <c r="LY157" s="24"/>
      <c r="LZ157" s="24"/>
      <c r="MA157" s="24"/>
      <c r="MB157" s="24"/>
      <c r="MC157" s="24"/>
      <c r="MD157" s="24"/>
      <c r="ME157" s="24"/>
      <c r="MF157" s="24"/>
      <c r="MG157" s="24"/>
      <c r="MH157" s="24"/>
      <c r="MI157" s="24"/>
    </row>
    <row r="158" spans="313:347" x14ac:dyDescent="0.25">
      <c r="LA158" s="23"/>
      <c r="LB158" s="24"/>
      <c r="LC158" s="24"/>
      <c r="LD158" s="24"/>
      <c r="LE158" s="24"/>
      <c r="LF158" s="24"/>
      <c r="LG158" s="24"/>
      <c r="LH158" s="24"/>
      <c r="LI158" s="24"/>
      <c r="LJ158" s="24"/>
      <c r="LK158" s="24"/>
      <c r="LL158" s="24"/>
      <c r="LM158" s="24"/>
      <c r="LN158" s="24"/>
      <c r="LO158" s="24"/>
      <c r="LP158" s="24"/>
      <c r="LQ158" s="24"/>
      <c r="LR158" s="24"/>
      <c r="LS158" s="24"/>
      <c r="LT158" s="24"/>
      <c r="LU158" s="24"/>
      <c r="LV158" s="24"/>
      <c r="LW158" s="24"/>
      <c r="LX158" s="24"/>
      <c r="LY158" s="24"/>
      <c r="LZ158" s="24"/>
      <c r="MA158" s="24"/>
      <c r="MB158" s="24"/>
      <c r="MC158" s="24"/>
      <c r="MD158" s="24"/>
      <c r="ME158" s="24"/>
      <c r="MF158" s="24"/>
      <c r="MG158" s="24"/>
      <c r="MH158" s="24"/>
      <c r="MI158" s="24"/>
    </row>
    <row r="159" spans="313:347" x14ac:dyDescent="0.25">
      <c r="LA159" s="23"/>
      <c r="LB159" s="24"/>
      <c r="LC159" s="24"/>
      <c r="LD159" s="24"/>
      <c r="LE159" s="24"/>
      <c r="LF159" s="24"/>
      <c r="LG159" s="24"/>
      <c r="LH159" s="24"/>
      <c r="LI159" s="24"/>
      <c r="LJ159" s="24"/>
      <c r="LK159" s="24"/>
      <c r="LL159" s="24"/>
      <c r="LM159" s="24"/>
      <c r="LN159" s="24"/>
      <c r="LO159" s="24"/>
      <c r="LP159" s="24"/>
      <c r="LQ159" s="24"/>
      <c r="LR159" s="24"/>
      <c r="LS159" s="24"/>
      <c r="LT159" s="24"/>
      <c r="LU159" s="24"/>
      <c r="LV159" s="24"/>
      <c r="LW159" s="24"/>
      <c r="LX159" s="24"/>
      <c r="LY159" s="24"/>
      <c r="LZ159" s="24"/>
      <c r="MA159" s="24"/>
      <c r="MB159" s="24"/>
      <c r="MC159" s="24"/>
      <c r="MD159" s="24"/>
      <c r="ME159" s="24"/>
      <c r="MF159" s="24"/>
      <c r="MG159" s="24"/>
      <c r="MH159" s="24"/>
      <c r="MI159" s="24"/>
    </row>
    <row r="160" spans="313:347" x14ac:dyDescent="0.25">
      <c r="LA160" s="23"/>
      <c r="LB160" s="24"/>
      <c r="LC160" s="24"/>
      <c r="LD160" s="24"/>
      <c r="LE160" s="24"/>
      <c r="LF160" s="24"/>
      <c r="LG160" s="24"/>
      <c r="LH160" s="24"/>
      <c r="LI160" s="24"/>
      <c r="LJ160" s="24"/>
      <c r="LK160" s="24"/>
      <c r="LL160" s="24"/>
      <c r="LM160" s="24"/>
      <c r="LN160" s="24"/>
      <c r="LO160" s="24"/>
      <c r="LP160" s="24"/>
      <c r="LQ160" s="24"/>
      <c r="LR160" s="24"/>
      <c r="LS160" s="24"/>
      <c r="LT160" s="24"/>
      <c r="LU160" s="24"/>
      <c r="LV160" s="24"/>
      <c r="LW160" s="24"/>
      <c r="LX160" s="24"/>
      <c r="LY160" s="24"/>
      <c r="LZ160" s="24"/>
      <c r="MA160" s="24"/>
      <c r="MB160" s="24"/>
      <c r="MC160" s="24"/>
      <c r="MD160" s="24"/>
      <c r="ME160" s="24"/>
      <c r="MF160" s="24"/>
      <c r="MG160" s="24"/>
      <c r="MH160" s="24"/>
      <c r="MI160" s="24"/>
    </row>
    <row r="161" spans="313:347" x14ac:dyDescent="0.25">
      <c r="LA161" s="23"/>
      <c r="LB161" s="24"/>
      <c r="LC161" s="24"/>
      <c r="LD161" s="24"/>
      <c r="LE161" s="24"/>
      <c r="LF161" s="24"/>
      <c r="LG161" s="24"/>
      <c r="LH161" s="24"/>
      <c r="LI161" s="24"/>
      <c r="LJ161" s="24"/>
      <c r="LK161" s="24"/>
      <c r="LL161" s="24"/>
      <c r="LM161" s="24"/>
      <c r="LN161" s="24"/>
      <c r="LO161" s="24"/>
      <c r="LP161" s="24"/>
      <c r="LQ161" s="24"/>
      <c r="LR161" s="24"/>
      <c r="LS161" s="24"/>
      <c r="LT161" s="24"/>
      <c r="LU161" s="24"/>
      <c r="LV161" s="24"/>
      <c r="LW161" s="24"/>
      <c r="LX161" s="24"/>
      <c r="LY161" s="24"/>
      <c r="LZ161" s="24"/>
      <c r="MA161" s="24"/>
      <c r="MB161" s="24"/>
      <c r="MC161" s="24"/>
      <c r="MD161" s="24"/>
      <c r="ME161" s="24"/>
      <c r="MF161" s="24"/>
      <c r="MG161" s="24"/>
      <c r="MH161" s="24"/>
      <c r="MI161" s="24"/>
    </row>
    <row r="162" spans="313:347" x14ac:dyDescent="0.25">
      <c r="LA162" s="23"/>
      <c r="LB162" s="24"/>
      <c r="LC162" s="24"/>
      <c r="LD162" s="24"/>
      <c r="LE162" s="24"/>
      <c r="LF162" s="24"/>
      <c r="LG162" s="24"/>
      <c r="LH162" s="24"/>
      <c r="LI162" s="24"/>
      <c r="LJ162" s="24"/>
      <c r="LK162" s="24"/>
      <c r="LL162" s="24"/>
      <c r="LM162" s="24"/>
      <c r="LN162" s="24"/>
      <c r="LO162" s="24"/>
      <c r="LP162" s="24"/>
      <c r="LQ162" s="24"/>
      <c r="LR162" s="24"/>
      <c r="LS162" s="24"/>
      <c r="LT162" s="24"/>
      <c r="LU162" s="24"/>
      <c r="LV162" s="24"/>
      <c r="LW162" s="24"/>
      <c r="LX162" s="24"/>
      <c r="LY162" s="24"/>
      <c r="LZ162" s="24"/>
      <c r="MA162" s="24"/>
      <c r="MB162" s="24"/>
      <c r="MC162" s="24"/>
      <c r="MD162" s="24"/>
      <c r="ME162" s="24"/>
      <c r="MF162" s="24"/>
      <c r="MG162" s="24"/>
      <c r="MH162" s="24"/>
      <c r="MI162" s="24"/>
    </row>
    <row r="163" spans="313:347" x14ac:dyDescent="0.25">
      <c r="LA163" s="23"/>
      <c r="LB163" s="24"/>
      <c r="LC163" s="24"/>
      <c r="LD163" s="24"/>
      <c r="LE163" s="24"/>
      <c r="LF163" s="24"/>
      <c r="LG163" s="24"/>
      <c r="LH163" s="24"/>
      <c r="LI163" s="24"/>
      <c r="LJ163" s="24"/>
      <c r="LK163" s="24"/>
      <c r="LL163" s="24"/>
      <c r="LM163" s="24"/>
      <c r="LN163" s="24"/>
      <c r="LO163" s="24"/>
      <c r="LP163" s="24"/>
      <c r="LQ163" s="24"/>
      <c r="LR163" s="24"/>
      <c r="LS163" s="24"/>
      <c r="LT163" s="24"/>
      <c r="LU163" s="24"/>
      <c r="LV163" s="24"/>
      <c r="LW163" s="24"/>
      <c r="LX163" s="24"/>
      <c r="LY163" s="24"/>
      <c r="LZ163" s="24"/>
      <c r="MA163" s="24"/>
      <c r="MB163" s="24"/>
      <c r="MC163" s="24"/>
      <c r="MD163" s="24"/>
      <c r="ME163" s="24"/>
      <c r="MF163" s="24"/>
      <c r="MG163" s="24"/>
      <c r="MH163" s="24"/>
      <c r="MI163" s="24"/>
    </row>
    <row r="164" spans="313:347" x14ac:dyDescent="0.25">
      <c r="LA164" s="23"/>
      <c r="LB164" s="24"/>
      <c r="LC164" s="24"/>
      <c r="LD164" s="24"/>
      <c r="LE164" s="24"/>
      <c r="LF164" s="24"/>
      <c r="LG164" s="24"/>
      <c r="LH164" s="24"/>
      <c r="LI164" s="24"/>
      <c r="LJ164" s="24"/>
      <c r="LK164" s="24"/>
      <c r="LL164" s="24"/>
      <c r="LM164" s="24"/>
      <c r="LN164" s="24"/>
      <c r="LO164" s="24"/>
      <c r="LP164" s="24"/>
      <c r="LQ164" s="24"/>
      <c r="LR164" s="24"/>
      <c r="LS164" s="24"/>
      <c r="LT164" s="24"/>
      <c r="LU164" s="24"/>
      <c r="LV164" s="24"/>
      <c r="LW164" s="24"/>
      <c r="LX164" s="24"/>
      <c r="LY164" s="24"/>
      <c r="LZ164" s="24"/>
      <c r="MA164" s="24"/>
      <c r="MB164" s="24"/>
      <c r="MC164" s="24"/>
      <c r="MD164" s="24"/>
      <c r="ME164" s="24"/>
      <c r="MF164" s="24"/>
      <c r="MG164" s="24"/>
      <c r="MH164" s="24"/>
      <c r="MI164" s="24"/>
    </row>
    <row r="165" spans="313:347" x14ac:dyDescent="0.25">
      <c r="LA165" s="23"/>
      <c r="LB165" s="24"/>
      <c r="LC165" s="24"/>
      <c r="LD165" s="24"/>
      <c r="LE165" s="24"/>
      <c r="LF165" s="24"/>
      <c r="LG165" s="24"/>
      <c r="LH165" s="24"/>
      <c r="LI165" s="24"/>
      <c r="LJ165" s="24"/>
      <c r="LK165" s="24"/>
      <c r="LL165" s="24"/>
      <c r="LM165" s="24"/>
      <c r="LN165" s="24"/>
      <c r="LO165" s="24"/>
      <c r="LP165" s="24"/>
      <c r="LQ165" s="24"/>
      <c r="LR165" s="24"/>
      <c r="LS165" s="24"/>
      <c r="LT165" s="24"/>
      <c r="LU165" s="24"/>
      <c r="LV165" s="24"/>
      <c r="LW165" s="24"/>
      <c r="LX165" s="24"/>
      <c r="LY165" s="24"/>
      <c r="LZ165" s="24"/>
      <c r="MA165" s="24"/>
      <c r="MB165" s="24"/>
      <c r="MC165" s="24"/>
      <c r="MD165" s="24"/>
      <c r="ME165" s="24"/>
      <c r="MF165" s="24"/>
      <c r="MG165" s="24"/>
      <c r="MH165" s="24"/>
      <c r="MI165" s="24"/>
    </row>
    <row r="166" spans="313:347" x14ac:dyDescent="0.25">
      <c r="LA166" s="23"/>
      <c r="LB166" s="24"/>
      <c r="LC166" s="24"/>
      <c r="LD166" s="24"/>
      <c r="LE166" s="24"/>
      <c r="LF166" s="24"/>
      <c r="LG166" s="24"/>
      <c r="LH166" s="24"/>
      <c r="LI166" s="24"/>
      <c r="LJ166" s="24"/>
      <c r="LK166" s="24"/>
      <c r="LL166" s="24"/>
      <c r="LM166" s="24"/>
      <c r="LN166" s="24"/>
      <c r="LO166" s="24"/>
      <c r="LP166" s="24"/>
      <c r="LQ166" s="24"/>
      <c r="LR166" s="24"/>
      <c r="LS166" s="24"/>
      <c r="LT166" s="24"/>
      <c r="LU166" s="24"/>
      <c r="LV166" s="24"/>
      <c r="LW166" s="24"/>
      <c r="LX166" s="24"/>
      <c r="LY166" s="24"/>
      <c r="LZ166" s="24"/>
      <c r="MA166" s="24"/>
      <c r="MB166" s="24"/>
      <c r="MC166" s="24"/>
      <c r="MD166" s="24"/>
      <c r="ME166" s="24"/>
      <c r="MF166" s="24"/>
      <c r="MG166" s="24"/>
      <c r="MH166" s="24"/>
      <c r="MI166" s="24"/>
    </row>
    <row r="167" spans="313:347" x14ac:dyDescent="0.25">
      <c r="LA167" s="23"/>
      <c r="LB167" s="24"/>
      <c r="LC167" s="24"/>
      <c r="LD167" s="24"/>
      <c r="LE167" s="24"/>
      <c r="LF167" s="24"/>
      <c r="LG167" s="24"/>
      <c r="LH167" s="24"/>
      <c r="LI167" s="24"/>
      <c r="LJ167" s="24"/>
      <c r="LK167" s="24"/>
      <c r="LL167" s="24"/>
      <c r="LM167" s="24"/>
      <c r="LN167" s="24"/>
      <c r="LO167" s="24"/>
      <c r="LP167" s="24"/>
      <c r="LQ167" s="24"/>
      <c r="LR167" s="24"/>
      <c r="LS167" s="24"/>
      <c r="LT167" s="24"/>
      <c r="LU167" s="24"/>
      <c r="LV167" s="24"/>
      <c r="LW167" s="24"/>
      <c r="LX167" s="24"/>
      <c r="LY167" s="24"/>
      <c r="LZ167" s="24"/>
      <c r="MA167" s="24"/>
      <c r="MB167" s="24"/>
      <c r="MC167" s="24"/>
      <c r="MD167" s="24"/>
      <c r="ME167" s="24"/>
      <c r="MF167" s="24"/>
      <c r="MG167" s="24"/>
      <c r="MH167" s="24"/>
      <c r="MI167" s="24"/>
    </row>
    <row r="168" spans="313:347" x14ac:dyDescent="0.25">
      <c r="LA168" s="23"/>
      <c r="LB168" s="24"/>
      <c r="LC168" s="24"/>
      <c r="LD168" s="24"/>
      <c r="LE168" s="24"/>
      <c r="LF168" s="24"/>
      <c r="LG168" s="24"/>
      <c r="LH168" s="24"/>
      <c r="LI168" s="24"/>
      <c r="LJ168" s="24"/>
      <c r="LK168" s="24"/>
      <c r="LL168" s="24"/>
      <c r="LM168" s="24"/>
      <c r="LN168" s="24"/>
      <c r="LO168" s="24"/>
      <c r="LP168" s="24"/>
      <c r="LQ168" s="24"/>
      <c r="LR168" s="24"/>
      <c r="LS168" s="24"/>
      <c r="LT168" s="24"/>
      <c r="LU168" s="24"/>
      <c r="LV168" s="24"/>
      <c r="LW168" s="24"/>
      <c r="LX168" s="24"/>
      <c r="LY168" s="24"/>
      <c r="LZ168" s="24"/>
      <c r="MA168" s="24"/>
      <c r="MB168" s="24"/>
      <c r="MC168" s="24"/>
      <c r="MD168" s="24"/>
      <c r="ME168" s="24"/>
      <c r="MF168" s="24"/>
      <c r="MG168" s="24"/>
      <c r="MH168" s="24"/>
      <c r="MI168" s="24"/>
    </row>
    <row r="169" spans="313:347" x14ac:dyDescent="0.25">
      <c r="LA169" s="23"/>
      <c r="LB169" s="24"/>
      <c r="LC169" s="24"/>
      <c r="LD169" s="24"/>
      <c r="LE169" s="24"/>
      <c r="LF169" s="24"/>
      <c r="LG169" s="24"/>
      <c r="LH169" s="24"/>
      <c r="LI169" s="24"/>
      <c r="LJ169" s="24"/>
      <c r="LK169" s="24"/>
      <c r="LL169" s="24"/>
      <c r="LM169" s="24"/>
      <c r="LN169" s="24"/>
      <c r="LO169" s="24"/>
      <c r="LP169" s="24"/>
      <c r="LQ169" s="24"/>
      <c r="LR169" s="24"/>
      <c r="LS169" s="24"/>
      <c r="LT169" s="24"/>
      <c r="LU169" s="24"/>
      <c r="LV169" s="24"/>
      <c r="LW169" s="24"/>
      <c r="LX169" s="24"/>
      <c r="LY169" s="24"/>
      <c r="LZ169" s="24"/>
      <c r="MA169" s="24"/>
      <c r="MB169" s="24"/>
      <c r="MC169" s="24"/>
      <c r="MD169" s="24"/>
      <c r="ME169" s="24"/>
      <c r="MF169" s="24"/>
      <c r="MG169" s="24"/>
      <c r="MH169" s="24"/>
      <c r="MI169" s="24"/>
    </row>
    <row r="170" spans="313:347" x14ac:dyDescent="0.25">
      <c r="LA170" s="23"/>
      <c r="LB170" s="24"/>
      <c r="LC170" s="24"/>
      <c r="LD170" s="24"/>
      <c r="LE170" s="24"/>
      <c r="LF170" s="24"/>
      <c r="LG170" s="24"/>
      <c r="LH170" s="24"/>
      <c r="LI170" s="24"/>
      <c r="LJ170" s="24"/>
      <c r="LK170" s="24"/>
      <c r="LL170" s="24"/>
      <c r="LM170" s="24"/>
      <c r="LN170" s="24"/>
      <c r="LO170" s="24"/>
      <c r="LP170" s="24"/>
      <c r="LQ170" s="24"/>
      <c r="LR170" s="24"/>
      <c r="LS170" s="24"/>
      <c r="LT170" s="24"/>
      <c r="LU170" s="24"/>
      <c r="LV170" s="24"/>
      <c r="LW170" s="24"/>
      <c r="LX170" s="24"/>
      <c r="LY170" s="24"/>
      <c r="LZ170" s="24"/>
      <c r="MA170" s="24"/>
      <c r="MB170" s="24"/>
      <c r="MC170" s="24"/>
      <c r="MD170" s="24"/>
      <c r="ME170" s="24"/>
      <c r="MF170" s="24"/>
      <c r="MG170" s="24"/>
      <c r="MH170" s="24"/>
      <c r="MI170" s="24"/>
    </row>
    <row r="171" spans="313:347" x14ac:dyDescent="0.25">
      <c r="LA171" s="23"/>
      <c r="LB171" s="24"/>
      <c r="LC171" s="24"/>
      <c r="LD171" s="24"/>
      <c r="LE171" s="24"/>
      <c r="LF171" s="24"/>
      <c r="LG171" s="24"/>
      <c r="LH171" s="24"/>
      <c r="LI171" s="24"/>
      <c r="LJ171" s="24"/>
      <c r="LK171" s="24"/>
      <c r="LL171" s="24"/>
      <c r="LM171" s="24"/>
      <c r="LN171" s="24"/>
      <c r="LO171" s="24"/>
      <c r="LP171" s="24"/>
      <c r="LQ171" s="24"/>
      <c r="LR171" s="24"/>
      <c r="LS171" s="24"/>
      <c r="LT171" s="24"/>
      <c r="LU171" s="24"/>
      <c r="LV171" s="24"/>
      <c r="LW171" s="24"/>
      <c r="LX171" s="24"/>
      <c r="LY171" s="24"/>
      <c r="LZ171" s="24"/>
      <c r="MA171" s="24"/>
      <c r="MB171" s="24"/>
      <c r="MC171" s="24"/>
      <c r="MD171" s="24"/>
      <c r="ME171" s="24"/>
      <c r="MF171" s="24"/>
      <c r="MG171" s="24"/>
      <c r="MH171" s="24"/>
      <c r="MI171" s="24"/>
    </row>
    <row r="172" spans="313:347" x14ac:dyDescent="0.25">
      <c r="LA172" s="23"/>
      <c r="LB172" s="24"/>
      <c r="LC172" s="24"/>
      <c r="LD172" s="24"/>
      <c r="LE172" s="24"/>
      <c r="LF172" s="24"/>
      <c r="LG172" s="24"/>
      <c r="LH172" s="24"/>
      <c r="LI172" s="24"/>
      <c r="LJ172" s="24"/>
      <c r="LK172" s="24"/>
      <c r="LL172" s="24"/>
      <c r="LM172" s="24"/>
      <c r="LN172" s="24"/>
      <c r="LO172" s="24"/>
      <c r="LP172" s="24"/>
      <c r="LQ172" s="24"/>
      <c r="LR172" s="24"/>
      <c r="LS172" s="24"/>
      <c r="LT172" s="24"/>
      <c r="LU172" s="24"/>
      <c r="LV172" s="24"/>
      <c r="LW172" s="24"/>
      <c r="LX172" s="24"/>
      <c r="LY172" s="24"/>
      <c r="LZ172" s="24"/>
      <c r="MA172" s="24"/>
      <c r="MB172" s="24"/>
      <c r="MC172" s="24"/>
      <c r="MD172" s="24"/>
      <c r="ME172" s="24"/>
      <c r="MF172" s="24"/>
      <c r="MG172" s="24"/>
      <c r="MH172" s="24"/>
      <c r="MI172" s="24"/>
    </row>
    <row r="173" spans="313:347" x14ac:dyDescent="0.25">
      <c r="LA173" s="23"/>
      <c r="LB173" s="24"/>
      <c r="LC173" s="24"/>
      <c r="LD173" s="24"/>
      <c r="LE173" s="24"/>
      <c r="LF173" s="24"/>
      <c r="LG173" s="24"/>
      <c r="LH173" s="24"/>
      <c r="LI173" s="24"/>
      <c r="LJ173" s="24"/>
      <c r="LK173" s="24"/>
      <c r="LL173" s="24"/>
      <c r="LM173" s="24"/>
      <c r="LN173" s="24"/>
      <c r="LO173" s="24"/>
      <c r="LP173" s="24"/>
      <c r="LQ173" s="24"/>
      <c r="LR173" s="24"/>
      <c r="LS173" s="24"/>
      <c r="LT173" s="24"/>
      <c r="LU173" s="24"/>
      <c r="LV173" s="24"/>
      <c r="LW173" s="24"/>
      <c r="LX173" s="24"/>
      <c r="LY173" s="24"/>
      <c r="LZ173" s="24"/>
      <c r="MA173" s="24"/>
      <c r="MB173" s="24"/>
      <c r="MC173" s="24"/>
      <c r="MD173" s="24"/>
      <c r="ME173" s="24"/>
      <c r="MF173" s="24"/>
      <c r="MG173" s="24"/>
      <c r="MH173" s="24"/>
      <c r="MI173" s="24"/>
    </row>
    <row r="174" spans="313:347" x14ac:dyDescent="0.25">
      <c r="LA174" s="23"/>
      <c r="LB174" s="24"/>
      <c r="LC174" s="24"/>
      <c r="LD174" s="24"/>
      <c r="LE174" s="24"/>
      <c r="LF174" s="24"/>
      <c r="LG174" s="24"/>
      <c r="LH174" s="24"/>
      <c r="LI174" s="24"/>
      <c r="LJ174" s="24"/>
      <c r="LK174" s="24"/>
      <c r="LL174" s="24"/>
      <c r="LM174" s="24"/>
      <c r="LN174" s="24"/>
      <c r="LO174" s="24"/>
      <c r="LP174" s="24"/>
      <c r="LQ174" s="24"/>
      <c r="LR174" s="24"/>
      <c r="LS174" s="24"/>
      <c r="LT174" s="24"/>
      <c r="LU174" s="24"/>
      <c r="LV174" s="24"/>
      <c r="LW174" s="24"/>
      <c r="LX174" s="24"/>
      <c r="LY174" s="24"/>
      <c r="LZ174" s="24"/>
      <c r="MA174" s="24"/>
      <c r="MB174" s="24"/>
      <c r="MC174" s="24"/>
      <c r="MD174" s="24"/>
      <c r="ME174" s="24"/>
      <c r="MF174" s="24"/>
      <c r="MG174" s="24"/>
      <c r="MH174" s="24"/>
      <c r="MI174" s="24"/>
    </row>
    <row r="175" spans="313:347" x14ac:dyDescent="0.25">
      <c r="LA175" s="23"/>
      <c r="LB175" s="24"/>
      <c r="LC175" s="24"/>
      <c r="LD175" s="24"/>
      <c r="LE175" s="24"/>
      <c r="LF175" s="24"/>
      <c r="LG175" s="24"/>
      <c r="LH175" s="24"/>
      <c r="LI175" s="24"/>
      <c r="LJ175" s="24"/>
      <c r="LK175" s="24"/>
      <c r="LL175" s="24"/>
      <c r="LM175" s="24"/>
      <c r="LN175" s="24"/>
      <c r="LO175" s="24"/>
      <c r="LP175" s="24"/>
      <c r="LQ175" s="24"/>
      <c r="LR175" s="24"/>
      <c r="LS175" s="24"/>
      <c r="LT175" s="24"/>
      <c r="LU175" s="24"/>
      <c r="LV175" s="24"/>
      <c r="LW175" s="24"/>
      <c r="LX175" s="24"/>
      <c r="LY175" s="24"/>
      <c r="LZ175" s="24"/>
      <c r="MA175" s="24"/>
      <c r="MB175" s="24"/>
      <c r="MC175" s="24"/>
      <c r="MD175" s="24"/>
      <c r="ME175" s="24"/>
      <c r="MF175" s="24"/>
      <c r="MG175" s="24"/>
      <c r="MH175" s="24"/>
      <c r="MI175" s="24"/>
    </row>
    <row r="176" spans="313:347" x14ac:dyDescent="0.25">
      <c r="LA176" s="23"/>
      <c r="LB176" s="24"/>
      <c r="LC176" s="24"/>
      <c r="LD176" s="24"/>
      <c r="LE176" s="24"/>
      <c r="LF176" s="24"/>
      <c r="LG176" s="24"/>
      <c r="LH176" s="24"/>
      <c r="LI176" s="24"/>
      <c r="LJ176" s="24"/>
      <c r="LK176" s="24"/>
      <c r="LL176" s="24"/>
      <c r="LM176" s="24"/>
      <c r="LN176" s="24"/>
      <c r="LO176" s="24"/>
      <c r="LP176" s="24"/>
      <c r="LQ176" s="24"/>
      <c r="LR176" s="24"/>
      <c r="LS176" s="24"/>
      <c r="LT176" s="24"/>
      <c r="LU176" s="24"/>
      <c r="LV176" s="24"/>
      <c r="LW176" s="24"/>
      <c r="LX176" s="24"/>
      <c r="LY176" s="24"/>
      <c r="LZ176" s="24"/>
      <c r="MA176" s="24"/>
      <c r="MB176" s="24"/>
      <c r="MC176" s="24"/>
      <c r="MD176" s="24"/>
      <c r="ME176" s="24"/>
      <c r="MF176" s="24"/>
      <c r="MG176" s="24"/>
      <c r="MH176" s="24"/>
      <c r="MI176" s="24"/>
    </row>
    <row r="177" spans="313:347" x14ac:dyDescent="0.25">
      <c r="LA177" s="23"/>
      <c r="LB177" s="24"/>
      <c r="LC177" s="24"/>
      <c r="LD177" s="24"/>
      <c r="LE177" s="24"/>
      <c r="LF177" s="24"/>
      <c r="LG177" s="24"/>
      <c r="LH177" s="24"/>
      <c r="LI177" s="24"/>
      <c r="LJ177" s="24"/>
      <c r="LK177" s="24"/>
      <c r="LL177" s="24"/>
      <c r="LM177" s="24"/>
      <c r="LN177" s="24"/>
      <c r="LO177" s="24"/>
      <c r="LP177" s="24"/>
      <c r="LQ177" s="24"/>
      <c r="LR177" s="24"/>
      <c r="LS177" s="24"/>
      <c r="LT177" s="24"/>
      <c r="LU177" s="24"/>
      <c r="LV177" s="24"/>
      <c r="LW177" s="24"/>
      <c r="LX177" s="24"/>
      <c r="LY177" s="24"/>
      <c r="LZ177" s="24"/>
      <c r="MA177" s="24"/>
      <c r="MB177" s="24"/>
      <c r="MC177" s="24"/>
      <c r="MD177" s="24"/>
      <c r="ME177" s="24"/>
      <c r="MF177" s="24"/>
      <c r="MG177" s="24"/>
      <c r="MH177" s="24"/>
      <c r="MI177" s="24"/>
    </row>
    <row r="178" spans="313:347" x14ac:dyDescent="0.25">
      <c r="LA178" s="23"/>
      <c r="LB178" s="24"/>
      <c r="LC178" s="24"/>
      <c r="LD178" s="24"/>
      <c r="LE178" s="24"/>
      <c r="LF178" s="24"/>
      <c r="LG178" s="24"/>
      <c r="LH178" s="24"/>
      <c r="LI178" s="24"/>
      <c r="LJ178" s="24"/>
      <c r="LK178" s="24"/>
      <c r="LL178" s="24"/>
      <c r="LM178" s="24"/>
      <c r="LN178" s="24"/>
      <c r="LO178" s="24"/>
      <c r="LP178" s="24"/>
      <c r="LQ178" s="24"/>
      <c r="LR178" s="24"/>
      <c r="LS178" s="24"/>
      <c r="LT178" s="24"/>
      <c r="LU178" s="24"/>
      <c r="LV178" s="24"/>
      <c r="LW178" s="24"/>
      <c r="LX178" s="24"/>
      <c r="LY178" s="24"/>
      <c r="LZ178" s="24"/>
      <c r="MA178" s="24"/>
      <c r="MB178" s="24"/>
      <c r="MC178" s="24"/>
      <c r="MD178" s="24"/>
      <c r="ME178" s="24"/>
      <c r="MF178" s="24"/>
      <c r="MG178" s="24"/>
      <c r="MH178" s="24"/>
      <c r="MI178" s="24"/>
    </row>
    <row r="179" spans="313:347" x14ac:dyDescent="0.25">
      <c r="LA179" s="23"/>
      <c r="LB179" s="24"/>
      <c r="LC179" s="24"/>
      <c r="LD179" s="24"/>
      <c r="LE179" s="24"/>
      <c r="LF179" s="24"/>
      <c r="LG179" s="24"/>
      <c r="LH179" s="24"/>
      <c r="LI179" s="24"/>
      <c r="LJ179" s="24"/>
      <c r="LK179" s="24"/>
      <c r="LL179" s="24"/>
      <c r="LM179" s="24"/>
      <c r="LN179" s="24"/>
      <c r="LO179" s="24"/>
      <c r="LP179" s="24"/>
      <c r="LQ179" s="24"/>
      <c r="LR179" s="24"/>
      <c r="LS179" s="24"/>
      <c r="LT179" s="24"/>
      <c r="LU179" s="24"/>
      <c r="LV179" s="24"/>
      <c r="LW179" s="24"/>
      <c r="LX179" s="24"/>
      <c r="LY179" s="24"/>
      <c r="LZ179" s="24"/>
      <c r="MA179" s="24"/>
      <c r="MB179" s="24"/>
      <c r="MC179" s="24"/>
      <c r="MD179" s="24"/>
      <c r="ME179" s="24"/>
      <c r="MF179" s="24"/>
      <c r="MG179" s="24"/>
      <c r="MH179" s="24"/>
      <c r="MI179" s="24"/>
    </row>
    <row r="180" spans="313:347" x14ac:dyDescent="0.25">
      <c r="LA180" s="23"/>
      <c r="LB180" s="24"/>
      <c r="LC180" s="24"/>
      <c r="LD180" s="24"/>
      <c r="LE180" s="24"/>
      <c r="LF180" s="24"/>
      <c r="LG180" s="24"/>
      <c r="LH180" s="24"/>
      <c r="LI180" s="24"/>
      <c r="LJ180" s="24"/>
      <c r="LK180" s="24"/>
      <c r="LL180" s="24"/>
      <c r="LM180" s="24"/>
      <c r="LN180" s="24"/>
      <c r="LO180" s="24"/>
      <c r="LP180" s="24"/>
      <c r="LQ180" s="24"/>
      <c r="LR180" s="24"/>
      <c r="LS180" s="24"/>
      <c r="LT180" s="24"/>
      <c r="LU180" s="24"/>
      <c r="LV180" s="24"/>
      <c r="LW180" s="24"/>
      <c r="LX180" s="24"/>
      <c r="LY180" s="24"/>
      <c r="LZ180" s="24"/>
      <c r="MA180" s="24"/>
      <c r="MB180" s="24"/>
      <c r="MC180" s="24"/>
      <c r="MD180" s="24"/>
      <c r="ME180" s="24"/>
      <c r="MF180" s="24"/>
      <c r="MG180" s="24"/>
      <c r="MH180" s="24"/>
      <c r="MI180" s="24"/>
    </row>
    <row r="181" spans="313:347" x14ac:dyDescent="0.25">
      <c r="LA181" s="23"/>
      <c r="LB181" s="24"/>
      <c r="LC181" s="24"/>
      <c r="LD181" s="24"/>
      <c r="LE181" s="24"/>
      <c r="LF181" s="24"/>
      <c r="LG181" s="24"/>
      <c r="LH181" s="24"/>
      <c r="LI181" s="24"/>
      <c r="LJ181" s="24"/>
      <c r="LK181" s="24"/>
      <c r="LL181" s="24"/>
      <c r="LM181" s="24"/>
      <c r="LN181" s="24"/>
      <c r="LO181" s="24"/>
      <c r="LP181" s="24"/>
      <c r="LQ181" s="24"/>
      <c r="LR181" s="24"/>
      <c r="LS181" s="24"/>
      <c r="LT181" s="24"/>
      <c r="LU181" s="24"/>
      <c r="LV181" s="24"/>
      <c r="LW181" s="24"/>
      <c r="LX181" s="24"/>
      <c r="LY181" s="24"/>
      <c r="LZ181" s="24"/>
      <c r="MA181" s="24"/>
      <c r="MB181" s="24"/>
      <c r="MC181" s="24"/>
      <c r="MD181" s="24"/>
      <c r="ME181" s="24"/>
      <c r="MF181" s="24"/>
      <c r="MG181" s="24"/>
      <c r="MH181" s="24"/>
      <c r="MI181" s="24"/>
    </row>
    <row r="182" spans="313:347" x14ac:dyDescent="0.25">
      <c r="LA182" s="23"/>
      <c r="LB182" s="24"/>
      <c r="LC182" s="24"/>
      <c r="LD182" s="24"/>
      <c r="LE182" s="24"/>
      <c r="LF182" s="24"/>
      <c r="LG182" s="24"/>
      <c r="LH182" s="24"/>
      <c r="LI182" s="24"/>
      <c r="LJ182" s="24"/>
      <c r="LK182" s="24"/>
      <c r="LL182" s="24"/>
      <c r="LM182" s="24"/>
      <c r="LN182" s="24"/>
      <c r="LO182" s="24"/>
      <c r="LP182" s="24"/>
      <c r="LQ182" s="24"/>
      <c r="LR182" s="24"/>
      <c r="LS182" s="24"/>
      <c r="LT182" s="24"/>
      <c r="LU182" s="24"/>
      <c r="LV182" s="24"/>
      <c r="LW182" s="24"/>
      <c r="LX182" s="24"/>
      <c r="LY182" s="24"/>
      <c r="LZ182" s="24"/>
      <c r="MA182" s="24"/>
      <c r="MB182" s="24"/>
      <c r="MC182" s="24"/>
      <c r="MD182" s="24"/>
      <c r="ME182" s="24"/>
      <c r="MF182" s="24"/>
      <c r="MG182" s="24"/>
      <c r="MH182" s="24"/>
      <c r="MI182" s="24"/>
    </row>
    <row r="183" spans="313:347" x14ac:dyDescent="0.25">
      <c r="LA183" s="23"/>
      <c r="LB183" s="24"/>
      <c r="LC183" s="24"/>
      <c r="LD183" s="24"/>
      <c r="LE183" s="24"/>
      <c r="LF183" s="24"/>
      <c r="LG183" s="24"/>
      <c r="LH183" s="24"/>
      <c r="LI183" s="24"/>
      <c r="LJ183" s="24"/>
      <c r="LK183" s="24"/>
      <c r="LL183" s="24"/>
      <c r="LM183" s="24"/>
      <c r="LN183" s="24"/>
      <c r="LO183" s="24"/>
      <c r="LP183" s="24"/>
      <c r="LQ183" s="24"/>
      <c r="LR183" s="24"/>
      <c r="LS183" s="24"/>
      <c r="LT183" s="24"/>
      <c r="LU183" s="24"/>
      <c r="LV183" s="24"/>
      <c r="LW183" s="24"/>
      <c r="LX183" s="24"/>
      <c r="LY183" s="24"/>
      <c r="LZ183" s="24"/>
      <c r="MA183" s="24"/>
      <c r="MB183" s="24"/>
      <c r="MC183" s="24"/>
      <c r="MD183" s="24"/>
      <c r="ME183" s="24"/>
      <c r="MF183" s="24"/>
      <c r="MG183" s="24"/>
      <c r="MH183" s="24"/>
      <c r="MI183" s="24"/>
    </row>
    <row r="184" spans="313:347" x14ac:dyDescent="0.25">
      <c r="LA184" s="23"/>
      <c r="LB184" s="24"/>
      <c r="LC184" s="24"/>
      <c r="LD184" s="24"/>
      <c r="LE184" s="24"/>
      <c r="LF184" s="24"/>
      <c r="LG184" s="24"/>
      <c r="LH184" s="24"/>
      <c r="LI184" s="24"/>
      <c r="LJ184" s="24"/>
      <c r="LK184" s="24"/>
      <c r="LL184" s="24"/>
      <c r="LM184" s="24"/>
      <c r="LN184" s="24"/>
      <c r="LO184" s="24"/>
      <c r="LP184" s="24"/>
      <c r="LQ184" s="24"/>
      <c r="LR184" s="24"/>
      <c r="LS184" s="24"/>
      <c r="LT184" s="24"/>
      <c r="LU184" s="24"/>
      <c r="LV184" s="24"/>
      <c r="LW184" s="24"/>
      <c r="LX184" s="24"/>
      <c r="LY184" s="24"/>
      <c r="LZ184" s="24"/>
      <c r="MA184" s="24"/>
      <c r="MB184" s="24"/>
      <c r="MC184" s="24"/>
      <c r="MD184" s="24"/>
      <c r="ME184" s="24"/>
      <c r="MF184" s="24"/>
      <c r="MG184" s="24"/>
      <c r="MH184" s="24"/>
      <c r="MI184" s="24"/>
    </row>
    <row r="185" spans="313:347" x14ac:dyDescent="0.25">
      <c r="LA185" s="23"/>
      <c r="LB185" s="24"/>
      <c r="LC185" s="24"/>
      <c r="LD185" s="24"/>
      <c r="LE185" s="24"/>
      <c r="LF185" s="24"/>
      <c r="LG185" s="24"/>
      <c r="LH185" s="24"/>
      <c r="LI185" s="24"/>
      <c r="LJ185" s="24"/>
      <c r="LK185" s="24"/>
      <c r="LL185" s="24"/>
      <c r="LM185" s="24"/>
      <c r="LN185" s="24"/>
      <c r="LO185" s="24"/>
      <c r="LP185" s="24"/>
      <c r="LQ185" s="24"/>
      <c r="LR185" s="24"/>
      <c r="LS185" s="24"/>
      <c r="LT185" s="24"/>
      <c r="LU185" s="24"/>
      <c r="LV185" s="24"/>
      <c r="LW185" s="24"/>
      <c r="LX185" s="24"/>
      <c r="LY185" s="24"/>
      <c r="LZ185" s="24"/>
      <c r="MA185" s="24"/>
      <c r="MB185" s="24"/>
      <c r="MC185" s="24"/>
      <c r="MD185" s="24"/>
      <c r="ME185" s="24"/>
      <c r="MF185" s="24"/>
      <c r="MG185" s="24"/>
      <c r="MH185" s="24"/>
      <c r="MI185" s="24"/>
    </row>
    <row r="186" spans="313:347" x14ac:dyDescent="0.25">
      <c r="LA186" s="23"/>
      <c r="LB186" s="24"/>
      <c r="LC186" s="24"/>
      <c r="LD186" s="24"/>
      <c r="LE186" s="24"/>
      <c r="LF186" s="24"/>
      <c r="LG186" s="24"/>
      <c r="LH186" s="24"/>
      <c r="LI186" s="24"/>
      <c r="LJ186" s="24"/>
      <c r="LK186" s="24"/>
      <c r="LL186" s="24"/>
      <c r="LM186" s="24"/>
      <c r="LN186" s="24"/>
      <c r="LO186" s="24"/>
      <c r="LP186" s="24"/>
      <c r="LQ186" s="24"/>
      <c r="LR186" s="24"/>
      <c r="LS186" s="24"/>
      <c r="LT186" s="24"/>
      <c r="LU186" s="24"/>
      <c r="LV186" s="24"/>
      <c r="LW186" s="24"/>
      <c r="LX186" s="24"/>
      <c r="LY186" s="24"/>
      <c r="LZ186" s="24"/>
      <c r="MA186" s="24"/>
      <c r="MB186" s="24"/>
      <c r="MC186" s="24"/>
      <c r="MD186" s="24"/>
      <c r="ME186" s="24"/>
      <c r="MF186" s="24"/>
      <c r="MG186" s="24"/>
      <c r="MH186" s="24"/>
      <c r="MI186" s="24"/>
    </row>
    <row r="187" spans="313:347" x14ac:dyDescent="0.25">
      <c r="LA187" s="23"/>
      <c r="LB187" s="24"/>
      <c r="LC187" s="24"/>
      <c r="LD187" s="24"/>
      <c r="LE187" s="24"/>
      <c r="LF187" s="24"/>
      <c r="LG187" s="24"/>
      <c r="LH187" s="24"/>
      <c r="LI187" s="24"/>
      <c r="LJ187" s="24"/>
      <c r="LK187" s="24"/>
      <c r="LL187" s="24"/>
      <c r="LM187" s="24"/>
      <c r="LN187" s="24"/>
      <c r="LO187" s="24"/>
      <c r="LP187" s="24"/>
      <c r="LQ187" s="24"/>
      <c r="LR187" s="24"/>
      <c r="LS187" s="24"/>
      <c r="LT187" s="24"/>
      <c r="LU187" s="24"/>
      <c r="LV187" s="24"/>
      <c r="LW187" s="24"/>
      <c r="LX187" s="24"/>
      <c r="LY187" s="24"/>
      <c r="LZ187" s="24"/>
      <c r="MA187" s="24"/>
      <c r="MB187" s="24"/>
      <c r="MC187" s="24"/>
      <c r="MD187" s="24"/>
      <c r="ME187" s="24"/>
      <c r="MF187" s="24"/>
      <c r="MG187" s="24"/>
      <c r="MH187" s="24"/>
      <c r="MI187" s="24"/>
    </row>
    <row r="188" spans="313:347" x14ac:dyDescent="0.25">
      <c r="LA188" s="23"/>
      <c r="LB188" s="24"/>
      <c r="LC188" s="24"/>
      <c r="LD188" s="24"/>
      <c r="LE188" s="24"/>
      <c r="LF188" s="24"/>
      <c r="LG188" s="24"/>
      <c r="LH188" s="24"/>
      <c r="LI188" s="24"/>
      <c r="LJ188" s="24"/>
      <c r="LK188" s="24"/>
      <c r="LL188" s="24"/>
      <c r="LM188" s="24"/>
      <c r="LN188" s="24"/>
      <c r="LO188" s="24"/>
      <c r="LP188" s="24"/>
      <c r="LQ188" s="24"/>
      <c r="LR188" s="24"/>
      <c r="LS188" s="24"/>
      <c r="LT188" s="24"/>
      <c r="LU188" s="24"/>
      <c r="LV188" s="24"/>
      <c r="LW188" s="24"/>
      <c r="LX188" s="24"/>
      <c r="LY188" s="24"/>
      <c r="LZ188" s="24"/>
      <c r="MA188" s="24"/>
      <c r="MB188" s="24"/>
      <c r="MC188" s="24"/>
      <c r="MD188" s="24"/>
      <c r="ME188" s="24"/>
      <c r="MF188" s="24"/>
      <c r="MG188" s="24"/>
      <c r="MH188" s="24"/>
      <c r="MI188" s="24"/>
    </row>
    <row r="189" spans="313:347" x14ac:dyDescent="0.25">
      <c r="LA189" s="23"/>
      <c r="LB189" s="24"/>
      <c r="LC189" s="24"/>
      <c r="LD189" s="24"/>
      <c r="LE189" s="24"/>
      <c r="LF189" s="24"/>
      <c r="LG189" s="24"/>
      <c r="LH189" s="24"/>
      <c r="LI189" s="24"/>
      <c r="LJ189" s="24"/>
      <c r="LK189" s="24"/>
      <c r="LL189" s="24"/>
      <c r="LM189" s="24"/>
      <c r="LN189" s="24"/>
      <c r="LO189" s="24"/>
      <c r="LP189" s="24"/>
      <c r="LQ189" s="24"/>
      <c r="LR189" s="24"/>
      <c r="LS189" s="24"/>
      <c r="LT189" s="24"/>
      <c r="LU189" s="24"/>
      <c r="LV189" s="24"/>
      <c r="LW189" s="24"/>
      <c r="LX189" s="24"/>
      <c r="LY189" s="24"/>
      <c r="LZ189" s="24"/>
      <c r="MA189" s="24"/>
      <c r="MB189" s="24"/>
      <c r="MC189" s="24"/>
      <c r="MD189" s="24"/>
      <c r="ME189" s="24"/>
      <c r="MF189" s="24"/>
      <c r="MG189" s="24"/>
      <c r="MH189" s="24"/>
      <c r="MI189" s="24"/>
    </row>
    <row r="190" spans="313:347" x14ac:dyDescent="0.25">
      <c r="LA190" s="23"/>
      <c r="LB190" s="24"/>
      <c r="LC190" s="24"/>
      <c r="LD190" s="24"/>
      <c r="LE190" s="24"/>
      <c r="LF190" s="24"/>
      <c r="LG190" s="24"/>
      <c r="LH190" s="24"/>
      <c r="LI190" s="24"/>
      <c r="LJ190" s="24"/>
      <c r="LK190" s="24"/>
      <c r="LL190" s="24"/>
      <c r="LM190" s="24"/>
      <c r="LN190" s="24"/>
      <c r="LO190" s="24"/>
      <c r="LP190" s="24"/>
      <c r="LQ190" s="24"/>
      <c r="LR190" s="24"/>
      <c r="LS190" s="24"/>
      <c r="LT190" s="24"/>
      <c r="LU190" s="24"/>
      <c r="LV190" s="24"/>
      <c r="LW190" s="24"/>
      <c r="LX190" s="24"/>
      <c r="LY190" s="24"/>
      <c r="LZ190" s="24"/>
      <c r="MA190" s="24"/>
      <c r="MB190" s="24"/>
      <c r="MC190" s="24"/>
      <c r="MD190" s="24"/>
      <c r="ME190" s="24"/>
      <c r="MF190" s="24"/>
      <c r="MG190" s="24"/>
      <c r="MH190" s="24"/>
      <c r="MI190" s="24"/>
    </row>
  </sheetData>
  <autoFilter ref="A1:OQ1">
    <sortState ref="A2:OQ90">
      <sortCondition ref="A1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03034F623364EA9ACA3B61BC996CC" ma:contentTypeVersion="10" ma:contentTypeDescription="Create a new document." ma:contentTypeScope="" ma:versionID="9145ff3e770946fb4f62fa309f07bb93">
  <xsd:schema xmlns:xsd="http://www.w3.org/2001/XMLSchema" xmlns:xs="http://www.w3.org/2001/XMLSchema" xmlns:p="http://schemas.microsoft.com/office/2006/metadata/properties" xmlns:ns3="972831c3-3f48-4040-bf93-e7ae3a2c1c55" targetNamespace="http://schemas.microsoft.com/office/2006/metadata/properties" ma:root="true" ma:fieldsID="e87f3cd332ca3149a9afcb0a1d4aa30c" ns3:_="">
    <xsd:import namespace="972831c3-3f48-4040-bf93-e7ae3a2c1c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831c3-3f48-4040-bf93-e7ae3a2c1c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4A3308-C6E5-4BEE-821F-55A3F86FD6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2831c3-3f48-4040-bf93-e7ae3a2c1c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14D095-145C-4BF7-A05A-B65E97D2F1F7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972831c3-3f48-4040-bf93-e7ae3a2c1c55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FAB4D1E-CDAB-4470-BFDC-3F31CA9EF4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 1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Ian</cp:lastModifiedBy>
  <dcterms:created xsi:type="dcterms:W3CDTF">2020-04-08T18:23:09Z</dcterms:created>
  <dcterms:modified xsi:type="dcterms:W3CDTF">2021-06-01T17:46:54Z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0x010100CAD03034F623364EA9ACA3B61BC996CC</vt:lpwstr>
  </property>
</Properties>
</file>